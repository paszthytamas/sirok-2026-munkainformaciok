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zt\Desktop\"/>
    </mc:Choice>
  </mc:AlternateContent>
  <xr:revisionPtr revIDLastSave="0" documentId="8_{6DBD73DA-2AEB-4265-A73B-D2CCB7D49191}" xr6:coauthVersionLast="47" xr6:coauthVersionMax="47" xr10:uidLastSave="{00000000-0000-0000-0000-000000000000}"/>
  <bookViews>
    <workbookView xWindow="-120" yWindow="-120" windowWidth="29040" windowHeight="16440" xr2:uid="{B2EB567E-4A01-4E61-9063-FD044BDB1B83}"/>
  </bookViews>
  <sheets>
    <sheet name="contacts (1)" sheetId="2" r:id="rId1"/>
    <sheet name="Sheet1" sheetId="1" r:id="rId2"/>
  </sheets>
  <definedNames>
    <definedName name="ExternalData_1" localSheetId="0" hidden="1">'contacts (1)'!$L$5:$M$3082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" i="2" l="1"/>
  <c r="P1" i="2"/>
  <c r="O3" i="2"/>
  <c r="O4" i="2" s="1"/>
  <c r="P3" i="2"/>
  <c r="P4" i="2" s="1"/>
  <c r="G745" i="2"/>
  <c r="G6" i="2"/>
  <c r="G7" i="2"/>
  <c r="G8" i="2"/>
  <c r="G9" i="2"/>
  <c r="G10" i="2"/>
  <c r="G531" i="2"/>
  <c r="G1391" i="2"/>
  <c r="G49" i="2"/>
  <c r="G54" i="2"/>
  <c r="G161" i="2"/>
  <c r="G235" i="2"/>
  <c r="G275" i="2"/>
  <c r="G279" i="2"/>
  <c r="G308" i="2"/>
  <c r="G309" i="2"/>
  <c r="G56" i="2"/>
  <c r="G414" i="2"/>
  <c r="G415" i="2"/>
  <c r="G68" i="2"/>
  <c r="G513" i="2"/>
  <c r="G2672" i="2"/>
  <c r="G73" i="2"/>
  <c r="G647" i="2"/>
  <c r="G719" i="2"/>
  <c r="G74" i="2"/>
  <c r="G76" i="2"/>
  <c r="G1031" i="2"/>
  <c r="G85" i="2"/>
  <c r="G1109" i="2"/>
  <c r="G1070" i="2"/>
  <c r="G1250" i="2"/>
  <c r="G409" i="2"/>
  <c r="G1333" i="2"/>
  <c r="G89" i="2"/>
  <c r="G1508" i="2"/>
  <c r="G1392" i="2"/>
  <c r="G1836" i="2"/>
  <c r="G91" i="2"/>
  <c r="G1881" i="2"/>
  <c r="G1905" i="2"/>
  <c r="G1938" i="2"/>
  <c r="G1944" i="2"/>
  <c r="G96" i="2"/>
  <c r="G2066" i="2"/>
  <c r="G112" i="2"/>
  <c r="G114" i="2"/>
  <c r="G2341" i="2"/>
  <c r="G2348" i="2"/>
  <c r="G128" i="2"/>
  <c r="G130" i="2"/>
  <c r="G2409" i="2"/>
  <c r="G145" i="2"/>
  <c r="G160" i="2"/>
  <c r="G2931" i="2"/>
  <c r="G205" i="2"/>
  <c r="G287" i="2"/>
  <c r="G1509" i="2"/>
  <c r="G60" i="2"/>
  <c r="G1378" i="2"/>
  <c r="G1753" i="2"/>
  <c r="G372" i="2"/>
  <c r="G373" i="2"/>
  <c r="G405" i="2"/>
  <c r="G560" i="2"/>
  <c r="G734" i="2"/>
  <c r="G969" i="2"/>
  <c r="G1766" i="2"/>
  <c r="G1906" i="2"/>
  <c r="G2325" i="2"/>
  <c r="G2371" i="2"/>
  <c r="G2422" i="2"/>
  <c r="G2555" i="2"/>
  <c r="G2892" i="2"/>
  <c r="G1192" i="2"/>
  <c r="G1510" i="2"/>
  <c r="G1772" i="2"/>
  <c r="G64" i="2"/>
  <c r="G2623" i="2"/>
  <c r="G892" i="2"/>
  <c r="G672" i="2"/>
  <c r="G1251" i="2"/>
  <c r="G1279" i="2"/>
  <c r="G1678" i="2"/>
  <c r="G1740" i="2"/>
  <c r="G2059" i="2"/>
  <c r="G2312" i="2"/>
  <c r="G2416" i="2"/>
  <c r="G2805" i="2"/>
  <c r="G72" i="2"/>
  <c r="G256" i="2"/>
  <c r="G70" i="2"/>
  <c r="G190" i="2"/>
  <c r="G199" i="2"/>
  <c r="G350" i="2"/>
  <c r="G163" i="2"/>
  <c r="G500" i="2"/>
  <c r="G518" i="2"/>
  <c r="G165" i="2"/>
  <c r="G1307" i="2"/>
  <c r="G167" i="2"/>
  <c r="G1596" i="2"/>
  <c r="G2015" i="2"/>
  <c r="G2047" i="2"/>
  <c r="G2101" i="2"/>
  <c r="G963" i="2"/>
  <c r="G2110" i="2"/>
  <c r="G2344" i="2"/>
  <c r="G2398" i="2"/>
  <c r="G168" i="2"/>
  <c r="G170" i="2"/>
  <c r="G71" i="2"/>
  <c r="G254" i="2"/>
  <c r="G2562" i="2"/>
  <c r="G179" i="2"/>
  <c r="G157" i="2"/>
  <c r="G507" i="2"/>
  <c r="G514" i="2"/>
  <c r="G193" i="2"/>
  <c r="G1393" i="2"/>
  <c r="G204" i="2"/>
  <c r="G209" i="2"/>
  <c r="G2649" i="2"/>
  <c r="G77" i="2"/>
  <c r="G521" i="2"/>
  <c r="G823" i="2"/>
  <c r="G2806" i="2"/>
  <c r="G191" i="2"/>
  <c r="G248" i="2"/>
  <c r="G307" i="2"/>
  <c r="G321" i="2"/>
  <c r="G327" i="2"/>
  <c r="G369" i="2"/>
  <c r="G370" i="2"/>
  <c r="G733" i="2"/>
  <c r="G850" i="2"/>
  <c r="G970" i="2"/>
  <c r="G1225" i="2"/>
  <c r="G1373" i="2"/>
  <c r="G1569" i="2"/>
  <c r="G1771" i="2"/>
  <c r="G1864" i="2"/>
  <c r="G2209" i="2"/>
  <c r="G2261" i="2"/>
  <c r="G2342" i="2"/>
  <c r="G2667" i="2"/>
  <c r="G2785" i="2"/>
  <c r="G2807" i="2"/>
  <c r="G2982" i="2"/>
  <c r="G207" i="2"/>
  <c r="G208" i="2"/>
  <c r="G81" i="2"/>
  <c r="G82" i="2"/>
  <c r="G83" i="2"/>
  <c r="G84" i="2"/>
  <c r="G1110" i="2"/>
  <c r="G1332" i="2"/>
  <c r="G2214" i="2"/>
  <c r="G47" i="2"/>
  <c r="G92" i="2"/>
  <c r="G2450" i="2"/>
  <c r="G1055" i="2"/>
  <c r="G3025" i="2"/>
  <c r="G93" i="2"/>
  <c r="G1366" i="2"/>
  <c r="G304" i="2"/>
  <c r="G211" i="2"/>
  <c r="G404" i="2"/>
  <c r="G410" i="2"/>
  <c r="G510" i="2"/>
  <c r="G212" i="2"/>
  <c r="G223" i="2"/>
  <c r="G849" i="2"/>
  <c r="G224" i="2"/>
  <c r="G906" i="2"/>
  <c r="G935" i="2"/>
  <c r="G1183" i="2"/>
  <c r="G1228" i="2"/>
  <c r="G231" i="2"/>
  <c r="G242" i="2"/>
  <c r="G1512" i="2"/>
  <c r="G1513" i="2"/>
  <c r="G1643" i="2"/>
  <c r="G1768" i="2"/>
  <c r="G1786" i="2"/>
  <c r="G249" i="2"/>
  <c r="G2269" i="2"/>
  <c r="G2387" i="2"/>
  <c r="G250" i="2"/>
  <c r="G251" i="2"/>
  <c r="G2674" i="2"/>
  <c r="G259" i="2"/>
  <c r="G2983" i="2"/>
  <c r="G359" i="2"/>
  <c r="G136" i="2"/>
  <c r="G186" i="2"/>
  <c r="G712" i="2"/>
  <c r="G1104" i="2"/>
  <c r="G1514" i="2"/>
  <c r="G1590" i="2"/>
  <c r="G1591" i="2"/>
  <c r="G1679" i="2"/>
  <c r="G2034" i="2"/>
  <c r="G2356" i="2"/>
  <c r="G2570" i="2"/>
  <c r="G2613" i="2"/>
  <c r="G602" i="2"/>
  <c r="G98" i="2"/>
  <c r="G52" i="2"/>
  <c r="G1071" i="2"/>
  <c r="G1451" i="2"/>
  <c r="G1515" i="2"/>
  <c r="G2539" i="2"/>
  <c r="G2689" i="2"/>
  <c r="G100" i="2"/>
  <c r="G2809" i="2"/>
  <c r="G315" i="2"/>
  <c r="G2130" i="2"/>
  <c r="G103" i="2"/>
  <c r="G283" i="2"/>
  <c r="G658" i="2"/>
  <c r="G788" i="2"/>
  <c r="G991" i="2"/>
  <c r="G1034" i="2"/>
  <c r="G1278" i="2"/>
  <c r="G1606" i="2"/>
  <c r="G1839" i="2"/>
  <c r="G1871" i="2"/>
  <c r="G2358" i="2"/>
  <c r="G2483" i="2"/>
  <c r="G2543" i="2"/>
  <c r="G2701" i="2"/>
  <c r="G2810" i="2"/>
  <c r="G265" i="2"/>
  <c r="G3031" i="2"/>
  <c r="G255" i="2"/>
  <c r="G603" i="2"/>
  <c r="G653" i="2"/>
  <c r="G789" i="2"/>
  <c r="G865" i="2"/>
  <c r="G1111" i="2"/>
  <c r="G1252" i="2"/>
  <c r="G1357" i="2"/>
  <c r="G1394" i="2"/>
  <c r="G2431" i="2"/>
  <c r="G2461" i="2"/>
  <c r="G2786" i="2"/>
  <c r="G2811" i="2"/>
  <c r="G2932" i="2"/>
  <c r="G339" i="2"/>
  <c r="G1684" i="2"/>
  <c r="G1773" i="2"/>
  <c r="G749" i="2"/>
  <c r="G1573" i="2"/>
  <c r="G1759" i="2"/>
  <c r="G1929" i="2"/>
  <c r="G1940" i="2"/>
  <c r="G466" i="2"/>
  <c r="G2591" i="2"/>
  <c r="G2603" i="2"/>
  <c r="G2787" i="2"/>
  <c r="G2812" i="2"/>
  <c r="G3011" i="2"/>
  <c r="G2484" i="2"/>
  <c r="G108" i="2"/>
  <c r="G515" i="2"/>
  <c r="G762" i="2"/>
  <c r="G673" i="2"/>
  <c r="G1286" i="2"/>
  <c r="G2140" i="2"/>
  <c r="G2675" i="2"/>
  <c r="G109" i="2"/>
  <c r="G2722" i="2"/>
  <c r="G118" i="2"/>
  <c r="G119" i="2"/>
  <c r="G120" i="2"/>
  <c r="G121" i="2"/>
  <c r="G123" i="2"/>
  <c r="G1478" i="2"/>
  <c r="G126" i="2"/>
  <c r="G127" i="2"/>
  <c r="G266" i="2"/>
  <c r="G487" i="2"/>
  <c r="G1483" i="2"/>
  <c r="G134" i="2"/>
  <c r="G2270" i="2"/>
  <c r="G270" i="2"/>
  <c r="G1044" i="2"/>
  <c r="G271" i="2"/>
  <c r="G2105" i="2"/>
  <c r="G1358" i="2"/>
  <c r="G1516" i="2"/>
  <c r="G2630" i="2"/>
  <c r="G272" i="2"/>
  <c r="G2670" i="2"/>
  <c r="G2696" i="2"/>
  <c r="G2813" i="2"/>
  <c r="G3003" i="2"/>
  <c r="G393" i="2"/>
  <c r="G1274" i="2"/>
  <c r="G2300" i="2"/>
  <c r="G2814" i="2"/>
  <c r="G471" i="2"/>
  <c r="G274" i="2"/>
  <c r="G141" i="2"/>
  <c r="G142" i="2"/>
  <c r="G53" i="2"/>
  <c r="G2538" i="2"/>
  <c r="G278" i="2"/>
  <c r="G258" i="2"/>
  <c r="G385" i="2"/>
  <c r="G412" i="2"/>
  <c r="G282" i="2"/>
  <c r="G461" i="2"/>
  <c r="G284" i="2"/>
  <c r="G296" i="2"/>
  <c r="G305" i="2"/>
  <c r="G306" i="2"/>
  <c r="G783" i="2"/>
  <c r="G790" i="2"/>
  <c r="G824" i="2"/>
  <c r="G883" i="2"/>
  <c r="G929" i="2"/>
  <c r="G973" i="2"/>
  <c r="G999" i="2"/>
  <c r="G1147" i="2"/>
  <c r="G675" i="2"/>
  <c r="G1186" i="2"/>
  <c r="G314" i="2"/>
  <c r="G323" i="2"/>
  <c r="G1344" i="2"/>
  <c r="G324" i="2"/>
  <c r="G1517" i="2"/>
  <c r="G1776" i="2"/>
  <c r="G1826" i="2"/>
  <c r="G1876" i="2"/>
  <c r="G331" i="2"/>
  <c r="G332" i="2"/>
  <c r="G2165" i="2"/>
  <c r="G336" i="2"/>
  <c r="G2185" i="2"/>
  <c r="G2252" i="2"/>
  <c r="G2290" i="2"/>
  <c r="G2293" i="2"/>
  <c r="G340" i="2"/>
  <c r="G341" i="2"/>
  <c r="G343" i="2"/>
  <c r="G344" i="2"/>
  <c r="G2604" i="2"/>
  <c r="G351" i="2"/>
  <c r="G2646" i="2"/>
  <c r="G352" i="2"/>
  <c r="G354" i="2"/>
  <c r="G2773" i="2"/>
  <c r="G356" i="2"/>
  <c r="G2804" i="2"/>
  <c r="G358" i="2"/>
  <c r="G2864" i="2"/>
  <c r="G361" i="2"/>
  <c r="G2957" i="2"/>
  <c r="G363" i="2"/>
  <c r="G2984" i="2"/>
  <c r="G3041" i="2"/>
  <c r="G144" i="2"/>
  <c r="G146" i="2"/>
  <c r="G147" i="2"/>
  <c r="G2636" i="2"/>
  <c r="G149" i="2"/>
  <c r="G150" i="2"/>
  <c r="G75" i="2"/>
  <c r="G298" i="2"/>
  <c r="G137" i="2"/>
  <c r="G669" i="2"/>
  <c r="G360" i="2"/>
  <c r="G837" i="2"/>
  <c r="G894" i="2"/>
  <c r="G954" i="2"/>
  <c r="G365" i="2"/>
  <c r="G676" i="2"/>
  <c r="G376" i="2"/>
  <c r="G380" i="2"/>
  <c r="G1395" i="2"/>
  <c r="G1419" i="2"/>
  <c r="G1631" i="2"/>
  <c r="G384" i="2"/>
  <c r="G1691" i="2"/>
  <c r="G386" i="2"/>
  <c r="G1946" i="2"/>
  <c r="G1994" i="2"/>
  <c r="G2063" i="2"/>
  <c r="G2075" i="2"/>
  <c r="G388" i="2"/>
  <c r="G2149" i="2"/>
  <c r="G2424" i="2"/>
  <c r="G2557" i="2"/>
  <c r="G2558" i="2"/>
  <c r="G389" i="2"/>
  <c r="G390" i="2"/>
  <c r="G408" i="2"/>
  <c r="G413" i="2"/>
  <c r="G691" i="2"/>
  <c r="G3070" i="2"/>
  <c r="G198" i="2"/>
  <c r="G139" i="2"/>
  <c r="G425" i="2"/>
  <c r="G791" i="2"/>
  <c r="G792" i="2"/>
  <c r="G1497" i="2"/>
  <c r="G428" i="2"/>
  <c r="G1660" i="2"/>
  <c r="G429" i="2"/>
  <c r="G437" i="2"/>
  <c r="G438" i="2"/>
  <c r="G228" i="2"/>
  <c r="G3061" i="2"/>
  <c r="G11" i="2"/>
  <c r="G392" i="2"/>
  <c r="G434" i="2"/>
  <c r="G1080" i="2"/>
  <c r="G1112" i="2"/>
  <c r="G1232" i="2"/>
  <c r="G1275" i="2"/>
  <c r="G1396" i="2"/>
  <c r="G1449" i="2"/>
  <c r="G1947" i="2"/>
  <c r="G2048" i="2"/>
  <c r="G2114" i="2"/>
  <c r="G2411" i="2"/>
  <c r="G2664" i="2"/>
  <c r="G2761" i="2"/>
  <c r="G2789" i="2"/>
  <c r="G3044" i="2"/>
  <c r="G243" i="2"/>
  <c r="G222" i="2"/>
  <c r="G245" i="2"/>
  <c r="G3023" i="2"/>
  <c r="G1375" i="2"/>
  <c r="G441" i="2"/>
  <c r="G173" i="2"/>
  <c r="G263" i="2"/>
  <c r="G635" i="2"/>
  <c r="G1113" i="2"/>
  <c r="G2380" i="2"/>
  <c r="G442" i="2"/>
  <c r="G1465" i="2"/>
  <c r="G583" i="2"/>
  <c r="G2129" i="2"/>
  <c r="G12" i="2"/>
  <c r="G985" i="2"/>
  <c r="G291" i="2"/>
  <c r="G941" i="2"/>
  <c r="G1009" i="2"/>
  <c r="G1349" i="2"/>
  <c r="G529" i="2"/>
  <c r="G532" i="2"/>
  <c r="G1519" i="2"/>
  <c r="G1948" i="2"/>
  <c r="G2223" i="2"/>
  <c r="G2388" i="2"/>
  <c r="G2432" i="2"/>
  <c r="G2962" i="2"/>
  <c r="G2235" i="2"/>
  <c r="G295" i="2"/>
  <c r="G449" i="2"/>
  <c r="G417" i="2"/>
  <c r="G1330" i="2"/>
  <c r="G450" i="2"/>
  <c r="G1838" i="2"/>
  <c r="G451" i="2"/>
  <c r="G452" i="2"/>
  <c r="G2364" i="2"/>
  <c r="G453" i="2"/>
  <c r="G2933" i="2"/>
  <c r="G192" i="2"/>
  <c r="G297" i="2"/>
  <c r="G334" i="2"/>
  <c r="G533" i="2"/>
  <c r="G188" i="2"/>
  <c r="G203" i="2"/>
  <c r="G457" i="2"/>
  <c r="G459" i="2"/>
  <c r="G469" i="2"/>
  <c r="G904" i="2"/>
  <c r="G1000" i="2"/>
  <c r="G1007" i="2"/>
  <c r="G2487" i="2"/>
  <c r="G1027" i="2"/>
  <c r="G1036" i="2"/>
  <c r="G1052" i="2"/>
  <c r="G1114" i="2"/>
  <c r="G1521" i="2"/>
  <c r="G470" i="2"/>
  <c r="G494" i="2"/>
  <c r="G1476" i="2"/>
  <c r="G1520" i="2"/>
  <c r="G1833" i="2"/>
  <c r="G1893" i="2"/>
  <c r="G2104" i="2"/>
  <c r="G497" i="2"/>
  <c r="G499" i="2"/>
  <c r="G2386" i="2"/>
  <c r="G502" i="2"/>
  <c r="G2690" i="2"/>
  <c r="G505" i="2"/>
  <c r="G2739" i="2"/>
  <c r="G2818" i="2"/>
  <c r="G509" i="2"/>
  <c r="G3000" i="2"/>
  <c r="G300" i="2"/>
  <c r="G1636" i="2"/>
  <c r="G2554" i="2"/>
  <c r="G1255" i="2"/>
  <c r="G511" i="2"/>
  <c r="G522" i="2"/>
  <c r="G535" i="2"/>
  <c r="G2781" i="2"/>
  <c r="G310" i="2"/>
  <c r="G210" i="2"/>
  <c r="G696" i="2"/>
  <c r="G1987" i="2"/>
  <c r="G2002" i="2"/>
  <c r="G2158" i="2"/>
  <c r="G2634" i="2"/>
  <c r="G2647" i="2"/>
  <c r="G2819" i="2"/>
  <c r="G2903" i="2"/>
  <c r="G330" i="2"/>
  <c r="G229" i="2"/>
  <c r="G59" i="2"/>
  <c r="G2021" i="2"/>
  <c r="G601" i="2"/>
  <c r="G2473" i="2"/>
  <c r="G3007" i="2"/>
  <c r="G346" i="2"/>
  <c r="G3008" i="2"/>
  <c r="G1950" i="2"/>
  <c r="G2106" i="2"/>
  <c r="G2215" i="2"/>
  <c r="G2488" i="2"/>
  <c r="G2676" i="2"/>
  <c r="G1372" i="2"/>
  <c r="G418" i="2"/>
  <c r="G184" i="2"/>
  <c r="G2184" i="2"/>
  <c r="G349" i="2"/>
  <c r="G357" i="2"/>
  <c r="G367" i="2"/>
  <c r="G368" i="2"/>
  <c r="G961" i="2"/>
  <c r="G2479" i="2"/>
  <c r="G1326" i="2"/>
  <c r="G2724" i="2"/>
  <c r="G3005" i="2"/>
  <c r="G290" i="2"/>
  <c r="G175" i="2"/>
  <c r="G984" i="2"/>
  <c r="G1066" i="2"/>
  <c r="G1341" i="2"/>
  <c r="G1908" i="2"/>
  <c r="G1951" i="2"/>
  <c r="G2900" i="2"/>
  <c r="G1243" i="2"/>
  <c r="G2212" i="2"/>
  <c r="G401" i="2"/>
  <c r="G2236" i="2"/>
  <c r="G2535" i="2"/>
  <c r="G13" i="2"/>
  <c r="G1115" i="2"/>
  <c r="G2373" i="2"/>
  <c r="G2192" i="2"/>
  <c r="G483" i="2"/>
  <c r="G432" i="2"/>
  <c r="G986" i="2"/>
  <c r="G1731" i="2"/>
  <c r="G2271" i="2"/>
  <c r="G775" i="2"/>
  <c r="G1629" i="2"/>
  <c r="G267" i="2"/>
  <c r="G447" i="2"/>
  <c r="G480" i="2"/>
  <c r="G530" i="2"/>
  <c r="G793" i="2"/>
  <c r="G1043" i="2"/>
  <c r="G2489" i="2"/>
  <c r="G1522" i="2"/>
  <c r="G1579" i="2"/>
  <c r="G537" i="2"/>
  <c r="G1851" i="2"/>
  <c r="G2175" i="2"/>
  <c r="G2249" i="2"/>
  <c r="G2266" i="2"/>
  <c r="G690" i="2"/>
  <c r="G2924" i="2"/>
  <c r="G14" i="2"/>
  <c r="G527" i="2"/>
  <c r="G467" i="2"/>
  <c r="G472" i="2"/>
  <c r="G2285" i="2"/>
  <c r="G15" i="2"/>
  <c r="G475" i="2"/>
  <c r="G1224" i="2"/>
  <c r="G477" i="2"/>
  <c r="G16" i="2"/>
  <c r="G478" i="2"/>
  <c r="G1064" i="2"/>
  <c r="G446" i="2"/>
  <c r="G455" i="2"/>
  <c r="G983" i="2"/>
  <c r="G407" i="2"/>
  <c r="G2061" i="2"/>
  <c r="G2065" i="2"/>
  <c r="G481" i="2"/>
  <c r="G2284" i="2"/>
  <c r="G621" i="2"/>
  <c r="G17" i="2"/>
  <c r="G724" i="2"/>
  <c r="G538" i="2"/>
  <c r="G551" i="2"/>
  <c r="G504" i="2"/>
  <c r="G552" i="2"/>
  <c r="G544" i="2"/>
  <c r="G617" i="2"/>
  <c r="G554" i="2"/>
  <c r="G784" i="2"/>
  <c r="G884" i="2"/>
  <c r="G555" i="2"/>
  <c r="G1116" i="2"/>
  <c r="G1342" i="2"/>
  <c r="G1445" i="2"/>
  <c r="G1454" i="2"/>
  <c r="G1523" i="2"/>
  <c r="G1682" i="2"/>
  <c r="G1726" i="2"/>
  <c r="G561" i="2"/>
  <c r="G1803" i="2"/>
  <c r="G1909" i="2"/>
  <c r="G1952" i="2"/>
  <c r="G2003" i="2"/>
  <c r="G2254" i="2"/>
  <c r="G2259" i="2"/>
  <c r="G2360" i="2"/>
  <c r="G2397" i="2"/>
  <c r="G2027" i="2"/>
  <c r="G2774" i="2"/>
  <c r="G2820" i="2"/>
  <c r="G2821" i="2"/>
  <c r="G566" i="2"/>
  <c r="G580" i="2"/>
  <c r="G2822" i="2"/>
  <c r="G486" i="2"/>
  <c r="G51" i="2"/>
  <c r="G3069" i="2"/>
  <c r="G18" i="2"/>
  <c r="G80" i="2"/>
  <c r="G138" i="2"/>
  <c r="G2279" i="2"/>
  <c r="G2308" i="2"/>
  <c r="G525" i="2"/>
  <c r="G19" i="2"/>
  <c r="G1315" i="2"/>
  <c r="G2890" i="2"/>
  <c r="G547" i="2"/>
  <c r="G226" i="2"/>
  <c r="G387" i="2"/>
  <c r="G1079" i="2"/>
  <c r="G965" i="2"/>
  <c r="G2115" i="2"/>
  <c r="G3053" i="2"/>
  <c r="G570" i="2"/>
  <c r="G571" i="2"/>
  <c r="G846" i="2"/>
  <c r="G132" i="2"/>
  <c r="G721" i="2"/>
  <c r="G1287" i="2"/>
  <c r="G2440" i="2"/>
  <c r="G572" i="2"/>
  <c r="G573" i="2"/>
  <c r="G586" i="2"/>
  <c r="G587" i="2"/>
  <c r="G545" i="2"/>
  <c r="G549" i="2"/>
  <c r="G563" i="2"/>
  <c r="G595" i="2"/>
  <c r="G618" i="2"/>
  <c r="G643" i="2"/>
  <c r="G646" i="2"/>
  <c r="G794" i="2"/>
  <c r="G917" i="2"/>
  <c r="G918" i="2"/>
  <c r="G2824" i="2"/>
  <c r="G1093" i="2"/>
  <c r="G1466" i="2"/>
  <c r="G1601" i="2"/>
  <c r="G1698" i="2"/>
  <c r="G588" i="2"/>
  <c r="G1849" i="2"/>
  <c r="G598" i="2"/>
  <c r="G656" i="2"/>
  <c r="G2346" i="2"/>
  <c r="G2454" i="2"/>
  <c r="G605" i="2"/>
  <c r="G2549" i="2"/>
  <c r="G2569" i="2"/>
  <c r="G2719" i="2"/>
  <c r="G2720" i="2"/>
  <c r="G2790" i="2"/>
  <c r="G2823" i="2"/>
  <c r="G2874" i="2"/>
  <c r="G609" i="2"/>
  <c r="G2993" i="2"/>
  <c r="G3073" i="2"/>
  <c r="G1154" i="2"/>
  <c r="G1308" i="2"/>
  <c r="G122" i="2"/>
  <c r="G610" i="2"/>
  <c r="G3020" i="2"/>
  <c r="G411" i="2"/>
  <c r="G582" i="2"/>
  <c r="G1398" i="2"/>
  <c r="G619" i="2"/>
  <c r="G261" i="2"/>
  <c r="G399" i="2"/>
  <c r="G695" i="2"/>
  <c r="G620" i="2"/>
  <c r="G934" i="2"/>
  <c r="G951" i="2"/>
  <c r="G629" i="2"/>
  <c r="G1117" i="2"/>
  <c r="G1118" i="2"/>
  <c r="G1206" i="2"/>
  <c r="G1322" i="2"/>
  <c r="G1359" i="2"/>
  <c r="G1376" i="2"/>
  <c r="G1397" i="2"/>
  <c r="G1580" i="2"/>
  <c r="G630" i="2"/>
  <c r="G1719" i="2"/>
  <c r="G1777" i="2"/>
  <c r="G632" i="2"/>
  <c r="G1910" i="2"/>
  <c r="G1953" i="2"/>
  <c r="G1993" i="2"/>
  <c r="G2004" i="2"/>
  <c r="G2147" i="2"/>
  <c r="G2336" i="2"/>
  <c r="G634" i="2"/>
  <c r="G2430" i="2"/>
  <c r="G637" i="2"/>
  <c r="G2605" i="2"/>
  <c r="G2116" i="2"/>
  <c r="G2888" i="2"/>
  <c r="G3009" i="2"/>
  <c r="G640" i="2"/>
  <c r="G20" i="2"/>
  <c r="G21" i="2"/>
  <c r="G2060" i="2"/>
  <c r="G593" i="2"/>
  <c r="G2708" i="2"/>
  <c r="G99" i="2"/>
  <c r="G2935" i="2"/>
  <c r="G644" i="2"/>
  <c r="G1566" i="2"/>
  <c r="G2085" i="2"/>
  <c r="G2566" i="2"/>
  <c r="G22" i="2"/>
  <c r="G611" i="2"/>
  <c r="G613" i="2"/>
  <c r="G2474" i="2"/>
  <c r="G1639" i="2"/>
  <c r="G650" i="2"/>
  <c r="G654" i="2"/>
  <c r="G512" i="2"/>
  <c r="G663" i="2"/>
  <c r="G1094" i="2"/>
  <c r="G2730" i="2"/>
  <c r="G2825" i="2"/>
  <c r="G482" i="2"/>
  <c r="G623" i="2"/>
  <c r="G980" i="2"/>
  <c r="G2898" i="2"/>
  <c r="G2737" i="2"/>
  <c r="G143" i="2"/>
  <c r="G435" i="2"/>
  <c r="G1858" i="2"/>
  <c r="G2468" i="2"/>
  <c r="G381" i="2"/>
  <c r="G1041" i="2"/>
  <c r="G1256" i="2"/>
  <c r="G1399" i="2"/>
  <c r="G1400" i="2"/>
  <c r="G2327" i="2"/>
  <c r="G2709" i="2"/>
  <c r="G648" i="2"/>
  <c r="G1887" i="2"/>
  <c r="G694" i="2"/>
  <c r="G708" i="2"/>
  <c r="G1233" i="2"/>
  <c r="G1257" i="2"/>
  <c r="G1577" i="2"/>
  <c r="G1989" i="2"/>
  <c r="G2081" i="2"/>
  <c r="G2826" i="2"/>
  <c r="G652" i="2"/>
  <c r="G651" i="2"/>
  <c r="G490" i="2"/>
  <c r="G1271" i="2"/>
  <c r="G110" i="2"/>
  <c r="G236" i="2"/>
  <c r="G796" i="2"/>
  <c r="G1024" i="2"/>
  <c r="G312" i="2"/>
  <c r="G516" i="2"/>
  <c r="G576" i="2"/>
  <c r="G2082" i="2"/>
  <c r="G227" i="2"/>
  <c r="G426" i="2"/>
  <c r="G845" i="2"/>
  <c r="G655" i="2"/>
  <c r="G1368" i="2"/>
  <c r="G2677" i="2"/>
  <c r="G899" i="2"/>
  <c r="G697" i="2"/>
  <c r="G1620" i="2"/>
  <c r="G2304" i="2"/>
  <c r="G1013" i="2"/>
  <c r="G596" i="2"/>
  <c r="G797" i="2"/>
  <c r="G1018" i="2"/>
  <c r="G1831" i="2"/>
  <c r="G714" i="2"/>
  <c r="G1456" i="2"/>
  <c r="G86" i="2"/>
  <c r="G371" i="2"/>
  <c r="G798" i="2"/>
  <c r="G859" i="2"/>
  <c r="G1644" i="2"/>
  <c r="G717" i="2"/>
  <c r="G1820" i="2"/>
  <c r="G2064" i="2"/>
  <c r="G2098" i="2"/>
  <c r="G2131" i="2"/>
  <c r="G795" i="2"/>
  <c r="G2995" i="2"/>
  <c r="G3033" i="2"/>
  <c r="G213" i="2"/>
  <c r="G2871" i="2"/>
  <c r="G1163" i="2"/>
  <c r="G2013" i="2"/>
  <c r="G718" i="2"/>
  <c r="G1857" i="2"/>
  <c r="G727" i="2"/>
  <c r="G23" i="2"/>
  <c r="G731" i="2"/>
  <c r="G1488" i="2"/>
  <c r="G939" i="2"/>
  <c r="G799" i="2"/>
  <c r="G2028" i="2"/>
  <c r="G257" i="2"/>
  <c r="G896" i="2"/>
  <c r="G1090" i="2"/>
  <c r="G2237" i="2"/>
  <c r="G2491" i="2"/>
  <c r="G2492" i="2"/>
  <c r="G2493" i="2"/>
  <c r="G2668" i="2"/>
  <c r="G1258" i="2"/>
  <c r="G1870" i="2"/>
  <c r="G915" i="2"/>
  <c r="G2182" i="2"/>
  <c r="G1210" i="2"/>
  <c r="G3065" i="2"/>
  <c r="G1119" i="2"/>
  <c r="G152" i="2"/>
  <c r="G936" i="2"/>
  <c r="G937" i="2"/>
  <c r="G1672" i="2"/>
  <c r="G2186" i="2"/>
  <c r="G657" i="2"/>
  <c r="G693" i="2"/>
  <c r="G744" i="2"/>
  <c r="G293" i="2"/>
  <c r="G800" i="2"/>
  <c r="G2274" i="2"/>
  <c r="G1078" i="2"/>
  <c r="G1229" i="2"/>
  <c r="G1911" i="2"/>
  <c r="G2206" i="2"/>
  <c r="G2791" i="2"/>
  <c r="G2827" i="2"/>
  <c r="G3017" i="2"/>
  <c r="G746" i="2"/>
  <c r="G1161" i="2"/>
  <c r="G2950" i="2"/>
  <c r="G659" i="2"/>
  <c r="G683" i="2"/>
  <c r="G699" i="2"/>
  <c r="G2644" i="2"/>
  <c r="G2731" i="2"/>
  <c r="G2780" i="2"/>
  <c r="G322" i="2"/>
  <c r="G1259" i="2"/>
  <c r="G1418" i="2"/>
  <c r="G1524" i="2"/>
  <c r="G2097" i="2"/>
  <c r="G2257" i="2"/>
  <c r="G2359" i="2"/>
  <c r="G2622" i="2"/>
  <c r="G2678" i="2"/>
  <c r="G2718" i="2"/>
  <c r="G3016" i="2"/>
  <c r="G761" i="2"/>
  <c r="G1861" i="2"/>
  <c r="G703" i="2"/>
  <c r="G764" i="2"/>
  <c r="G493" i="2"/>
  <c r="G2138" i="2"/>
  <c r="G2164" i="2"/>
  <c r="G705" i="2"/>
  <c r="G2494" i="2"/>
  <c r="G1095" i="2"/>
  <c r="G1760" i="2"/>
  <c r="G232" i="2"/>
  <c r="G237" i="2"/>
  <c r="G567" i="2"/>
  <c r="G631" i="2"/>
  <c r="G1072" i="2"/>
  <c r="G1260" i="2"/>
  <c r="G1294" i="2"/>
  <c r="G1525" i="2"/>
  <c r="G1683" i="2"/>
  <c r="G1780" i="2"/>
  <c r="G1853" i="2"/>
  <c r="G2036" i="2"/>
  <c r="G2191" i="2"/>
  <c r="G2412" i="2"/>
  <c r="G2495" i="2"/>
  <c r="G2686" i="2"/>
  <c r="G2870" i="2"/>
  <c r="G3045" i="2"/>
  <c r="G1645" i="2"/>
  <c r="G2415" i="2"/>
  <c r="G2612" i="2"/>
  <c r="G2896" i="2"/>
  <c r="G2176" i="2"/>
  <c r="G540" i="2"/>
  <c r="G553" i="2"/>
  <c r="G742" i="2"/>
  <c r="G838" i="2"/>
  <c r="G1873" i="2"/>
  <c r="G1166" i="2"/>
  <c r="G1498" i="2"/>
  <c r="G1526" i="2"/>
  <c r="G680" i="2"/>
  <c r="G1869" i="2"/>
  <c r="G2210" i="2"/>
  <c r="G2283" i="2"/>
  <c r="G2355" i="2"/>
  <c r="G2455" i="2"/>
  <c r="G2743" i="2"/>
  <c r="G2746" i="2"/>
  <c r="G770" i="2"/>
  <c r="G3068" i="2"/>
  <c r="G24" i="2"/>
  <c r="G771" i="2"/>
  <c r="G664" i="2"/>
  <c r="G801" i="2"/>
  <c r="G821" i="2"/>
  <c r="G706" i="2"/>
  <c r="G1360" i="2"/>
  <c r="G1462" i="2"/>
  <c r="G1745" i="2"/>
  <c r="G2244" i="2"/>
  <c r="G2421" i="2"/>
  <c r="G2624" i="2"/>
  <c r="G2893" i="2"/>
  <c r="G773" i="2"/>
  <c r="G851" i="2"/>
  <c r="G852" i="2"/>
  <c r="G1506" i="2"/>
  <c r="G1527" i="2"/>
  <c r="G2496" i="2"/>
  <c r="G802" i="2"/>
  <c r="G1291" i="2"/>
  <c r="G1298" i="2"/>
  <c r="G1730" i="2"/>
  <c r="G2905" i="2"/>
  <c r="G3054" i="2"/>
  <c r="G782" i="2"/>
  <c r="G822" i="2"/>
  <c r="G1990" i="2"/>
  <c r="G25" i="2"/>
  <c r="G1092" i="2"/>
  <c r="G67" i="2"/>
  <c r="G26" i="2"/>
  <c r="G2296" i="2"/>
  <c r="G711" i="2"/>
  <c r="G318" i="2"/>
  <c r="G722" i="2"/>
  <c r="G728" i="2"/>
  <c r="G737" i="2"/>
  <c r="G1184" i="2"/>
  <c r="G738" i="2"/>
  <c r="G677" i="2"/>
  <c r="G1827" i="2"/>
  <c r="G1955" i="2"/>
  <c r="G1995" i="2"/>
  <c r="G741" i="2"/>
  <c r="G2049" i="2"/>
  <c r="G2067" i="2"/>
  <c r="G2107" i="2"/>
  <c r="G2207" i="2"/>
  <c r="G747" i="2"/>
  <c r="G2349" i="2"/>
  <c r="G2497" i="2"/>
  <c r="G2571" i="2"/>
  <c r="G2679" i="2"/>
  <c r="G2703" i="2"/>
  <c r="G750" i="2"/>
  <c r="G2828" i="2"/>
  <c r="G2876" i="2"/>
  <c r="G3079" i="2"/>
  <c r="G848" i="2"/>
  <c r="G2710" i="2"/>
  <c r="G751" i="2"/>
  <c r="G752" i="2"/>
  <c r="G1646" i="2"/>
  <c r="G2792" i="2"/>
  <c r="G2985" i="2"/>
  <c r="G861" i="2"/>
  <c r="G862" i="2"/>
  <c r="G665" i="2"/>
  <c r="G464" i="2"/>
  <c r="G1732" i="2"/>
  <c r="G863" i="2"/>
  <c r="G2695" i="2"/>
  <c r="G754" i="2"/>
  <c r="G362" i="2"/>
  <c r="G479" i="2"/>
  <c r="G890" i="2"/>
  <c r="G1609" i="2"/>
  <c r="G891" i="2"/>
  <c r="G900" i="2"/>
  <c r="G2399" i="2"/>
  <c r="G786" i="2"/>
  <c r="G419" i="2"/>
  <c r="G427" i="2"/>
  <c r="G565" i="2"/>
  <c r="G803" i="2"/>
  <c r="G1025" i="2"/>
  <c r="G1056" i="2"/>
  <c r="G436" i="2"/>
  <c r="G2498" i="2"/>
  <c r="G756" i="2"/>
  <c r="G758" i="2"/>
  <c r="G766" i="2"/>
  <c r="G2117" i="2"/>
  <c r="G768" i="2"/>
  <c r="G908" i="2"/>
  <c r="G178" i="2"/>
  <c r="G246" i="2"/>
  <c r="G462" i="2"/>
  <c r="G778" i="2"/>
  <c r="G622" i="2"/>
  <c r="G781" i="2"/>
  <c r="G639" i="2"/>
  <c r="G787" i="2"/>
  <c r="G876" i="2"/>
  <c r="G877" i="2"/>
  <c r="G932" i="2"/>
  <c r="G776" i="2"/>
  <c r="G807" i="2"/>
  <c r="G835" i="2"/>
  <c r="G889" i="2"/>
  <c r="G933" i="2"/>
  <c r="G974" i="2"/>
  <c r="G992" i="2"/>
  <c r="G812" i="2"/>
  <c r="G1083" i="2"/>
  <c r="G1107" i="2"/>
  <c r="G1120" i="2"/>
  <c r="G815" i="2"/>
  <c r="G825" i="2"/>
  <c r="G829" i="2"/>
  <c r="G831" i="2"/>
  <c r="G839" i="2"/>
  <c r="G1318" i="2"/>
  <c r="G1361" i="2"/>
  <c r="G1377" i="2"/>
  <c r="G1401" i="2"/>
  <c r="G1402" i="2"/>
  <c r="G1428" i="2"/>
  <c r="G1528" i="2"/>
  <c r="G1529" i="2"/>
  <c r="G1530" i="2"/>
  <c r="G1585" i="2"/>
  <c r="G1713" i="2"/>
  <c r="G853" i="2"/>
  <c r="G1743" i="2"/>
  <c r="G1784" i="2"/>
  <c r="G1807" i="2"/>
  <c r="G1809" i="2"/>
  <c r="G1814" i="2"/>
  <c r="G1835" i="2"/>
  <c r="G858" i="2"/>
  <c r="G685" i="2"/>
  <c r="G1878" i="2"/>
  <c r="G866" i="2"/>
  <c r="G1898" i="2"/>
  <c r="G1902" i="2"/>
  <c r="G1956" i="2"/>
  <c r="G868" i="2"/>
  <c r="G870" i="2"/>
  <c r="G2043" i="2"/>
  <c r="G2050" i="2"/>
  <c r="G2088" i="2"/>
  <c r="G2118" i="2"/>
  <c r="G2139" i="2"/>
  <c r="G875" i="2"/>
  <c r="G993" i="2"/>
  <c r="G1051" i="2"/>
  <c r="G886" i="2"/>
  <c r="G2221" i="2"/>
  <c r="G2263" i="2"/>
  <c r="G2309" i="2"/>
  <c r="G2323" i="2"/>
  <c r="G2370" i="2"/>
  <c r="G2377" i="2"/>
  <c r="G920" i="2"/>
  <c r="G2499" i="2"/>
  <c r="G2500" i="2"/>
  <c r="G2559" i="2"/>
  <c r="G2585" i="2"/>
  <c r="G2697" i="2"/>
  <c r="G2721" i="2"/>
  <c r="G2729" i="2"/>
  <c r="G893" i="2"/>
  <c r="G901" i="2"/>
  <c r="G3029" i="2"/>
  <c r="G661" i="2"/>
  <c r="G982" i="2"/>
  <c r="G1089" i="2"/>
  <c r="G1312" i="2"/>
  <c r="G1403" i="2"/>
  <c r="G1862" i="2"/>
  <c r="G2005" i="2"/>
  <c r="G2420" i="2"/>
  <c r="G2711" i="2"/>
  <c r="G2929" i="2"/>
  <c r="G27" i="2"/>
  <c r="G919" i="2"/>
  <c r="G940" i="2"/>
  <c r="G28" i="2"/>
  <c r="G1912" i="2"/>
  <c r="G910" i="2"/>
  <c r="G912" i="2"/>
  <c r="G326" i="2"/>
  <c r="G559" i="2"/>
  <c r="G996" i="2"/>
  <c r="G2915" i="2"/>
  <c r="G2544" i="2"/>
  <c r="G913" i="2"/>
  <c r="G804" i="2"/>
  <c r="G924" i="2"/>
  <c r="G1026" i="2"/>
  <c r="G1297" i="2"/>
  <c r="G1484" i="2"/>
  <c r="G1531" i="2"/>
  <c r="G1674" i="2"/>
  <c r="G1146" i="2"/>
  <c r="G2119" i="2"/>
  <c r="G926" i="2"/>
  <c r="G930" i="2"/>
  <c r="G1203" i="2"/>
  <c r="G956" i="2"/>
  <c r="G942" i="2"/>
  <c r="G172" i="2"/>
  <c r="G200" i="2"/>
  <c r="G303" i="2"/>
  <c r="G944" i="2"/>
  <c r="G945" i="2"/>
  <c r="G456" i="2"/>
  <c r="G952" i="2"/>
  <c r="G957" i="2"/>
  <c r="G627" i="2"/>
  <c r="G628" i="2"/>
  <c r="G709" i="2"/>
  <c r="G960" i="2"/>
  <c r="G981" i="2"/>
  <c r="G834" i="2"/>
  <c r="G1054" i="2"/>
  <c r="G987" i="2"/>
  <c r="G2475" i="2"/>
  <c r="G1236" i="2"/>
  <c r="G454" i="2"/>
  <c r="G995" i="2"/>
  <c r="G1532" i="2"/>
  <c r="G998" i="2"/>
  <c r="G2100" i="2"/>
  <c r="G1504" i="2"/>
  <c r="G2968" i="2"/>
  <c r="G1002" i="2"/>
  <c r="G104" i="2"/>
  <c r="G958" i="2"/>
  <c r="G1014" i="2"/>
  <c r="G1167" i="2"/>
  <c r="G1180" i="2"/>
  <c r="G1334" i="2"/>
  <c r="G1534" i="2"/>
  <c r="G2909" i="2"/>
  <c r="G959" i="2"/>
  <c r="G292" i="2"/>
  <c r="G1030" i="2"/>
  <c r="G671" i="2"/>
  <c r="G2651" i="2"/>
  <c r="G2772" i="2"/>
  <c r="G997" i="2"/>
  <c r="G55" i="2"/>
  <c r="G968" i="2"/>
  <c r="G2006" i="2"/>
  <c r="G1594" i="2"/>
  <c r="G176" i="2"/>
  <c r="G1035" i="2"/>
  <c r="G503" i="2"/>
  <c r="G633" i="2"/>
  <c r="G805" i="2"/>
  <c r="G1045" i="2"/>
  <c r="G3042" i="2"/>
  <c r="G1230" i="2"/>
  <c r="G1798" i="2"/>
  <c r="G1048" i="2"/>
  <c r="G1049" i="2"/>
  <c r="G1883" i="2"/>
  <c r="G2132" i="2"/>
  <c r="G2301" i="2"/>
  <c r="G2447" i="2"/>
  <c r="G2459" i="2"/>
  <c r="G2542" i="2"/>
  <c r="G1141" i="2"/>
  <c r="G2919" i="2"/>
  <c r="G3037" i="2"/>
  <c r="G1057" i="2"/>
  <c r="G3076" i="2"/>
  <c r="G1647" i="2"/>
  <c r="G1012" i="2"/>
  <c r="G1058" i="2"/>
  <c r="G897" i="2"/>
  <c r="G1068" i="2"/>
  <c r="G1076" i="2"/>
  <c r="G1608" i="2"/>
  <c r="G1077" i="2"/>
  <c r="G1088" i="2"/>
  <c r="G1033" i="2"/>
  <c r="G1091" i="2"/>
  <c r="G2936" i="2"/>
  <c r="G1017" i="2"/>
  <c r="G1016" i="2"/>
  <c r="G1098" i="2"/>
  <c r="G1021" i="2"/>
  <c r="G180" i="2"/>
  <c r="G1211" i="2"/>
  <c r="G1536" i="2"/>
  <c r="G625" i="2"/>
  <c r="G29" i="2"/>
  <c r="G1714" i="2"/>
  <c r="G1059" i="2"/>
  <c r="G111" i="2"/>
  <c r="G1537" i="2"/>
  <c r="G2763" i="2"/>
  <c r="G1319" i="2"/>
  <c r="G1422" i="2"/>
  <c r="G1283" i="2"/>
  <c r="G65" i="2"/>
  <c r="G1667" i="2"/>
  <c r="G1455" i="2"/>
  <c r="G1103" i="2"/>
  <c r="G1941" i="2"/>
  <c r="G2037" i="2"/>
  <c r="G1442" i="2"/>
  <c r="G599" i="2"/>
  <c r="G832" i="2"/>
  <c r="G1727" i="2"/>
  <c r="G1958" i="2"/>
  <c r="G420" i="2"/>
  <c r="G1023" i="2"/>
  <c r="G1105" i="2"/>
  <c r="G1139" i="2"/>
  <c r="G1129" i="2"/>
  <c r="G2227" i="2"/>
  <c r="G2417" i="2"/>
  <c r="G268" i="2"/>
  <c r="G423" i="2"/>
  <c r="G1130" i="2"/>
  <c r="G524" i="2"/>
  <c r="G1042" i="2"/>
  <c r="G1102" i="2"/>
  <c r="G107" i="2"/>
  <c r="G608" i="2"/>
  <c r="G1992" i="2"/>
  <c r="G1136" i="2"/>
  <c r="G30" i="2"/>
  <c r="G966" i="2"/>
  <c r="G1241" i="2"/>
  <c r="G2501" i="2"/>
  <c r="G1699" i="2"/>
  <c r="G394" i="2"/>
  <c r="G1135" i="2"/>
  <c r="G1152" i="2"/>
  <c r="G1153" i="2"/>
  <c r="G87" i="2"/>
  <c r="G1586" i="2"/>
  <c r="G1084" i="2"/>
  <c r="G1379" i="2"/>
  <c r="G1538" i="2"/>
  <c r="G1813" i="2"/>
  <c r="G1959" i="2"/>
  <c r="G2120" i="2"/>
  <c r="G2615" i="2"/>
  <c r="G2680" i="2"/>
  <c r="G3062" i="2"/>
  <c r="G1423" i="2"/>
  <c r="G1142" i="2"/>
  <c r="G1160" i="2"/>
  <c r="G2740" i="2"/>
  <c r="G440" i="2"/>
  <c r="G638" i="2"/>
  <c r="G1177" i="2"/>
  <c r="G1037" i="2"/>
  <c r="G1221" i="2"/>
  <c r="G1733" i="2"/>
  <c r="G1747" i="2"/>
  <c r="G402" i="2"/>
  <c r="G2382" i="2"/>
  <c r="G2567" i="2"/>
  <c r="G1165" i="2"/>
  <c r="G1168" i="2"/>
  <c r="G1677" i="2"/>
  <c r="G2169" i="2"/>
  <c r="G1801" i="2"/>
  <c r="G1961" i="2"/>
  <c r="G1169" i="2"/>
  <c r="G1171" i="2"/>
  <c r="G1155" i="2"/>
  <c r="G1156" i="2"/>
  <c r="G1173" i="2"/>
  <c r="G1213" i="2"/>
  <c r="G113" i="2"/>
  <c r="G125" i="2"/>
  <c r="G201" i="2"/>
  <c r="G382" i="2"/>
  <c r="G1181" i="2"/>
  <c r="G1187" i="2"/>
  <c r="G517" i="2"/>
  <c r="G539" i="2"/>
  <c r="G541" i="2"/>
  <c r="G606" i="2"/>
  <c r="G614" i="2"/>
  <c r="G636" i="2"/>
  <c r="G1188" i="2"/>
  <c r="G806" i="2"/>
  <c r="G1190" i="2"/>
  <c r="G895" i="2"/>
  <c r="G1193" i="2"/>
  <c r="G1194" i="2"/>
  <c r="G1195" i="2"/>
  <c r="G971" i="2"/>
  <c r="G1200" i="2"/>
  <c r="G1073" i="2"/>
  <c r="G1201" i="2"/>
  <c r="G1121" i="2"/>
  <c r="G1633" i="2"/>
  <c r="G1209" i="2"/>
  <c r="G1222" i="2"/>
  <c r="G1404" i="2"/>
  <c r="G843" i="2"/>
  <c r="G1475" i="2"/>
  <c r="G1489" i="2"/>
  <c r="G1539" i="2"/>
  <c r="G1571" i="2"/>
  <c r="G1618" i="2"/>
  <c r="G1913" i="2"/>
  <c r="G1962" i="2"/>
  <c r="G1410" i="2"/>
  <c r="G2051" i="2"/>
  <c r="G2121" i="2"/>
  <c r="G1217" i="2"/>
  <c r="G2242" i="2"/>
  <c r="G2255" i="2"/>
  <c r="G2375" i="2"/>
  <c r="G1218" i="2"/>
  <c r="G1234" i="2"/>
  <c r="G2480" i="2"/>
  <c r="G1235" i="2"/>
  <c r="G288" i="2"/>
  <c r="G1253" i="2"/>
  <c r="G2572" i="2"/>
  <c r="G2576" i="2"/>
  <c r="G2692" i="2"/>
  <c r="G2705" i="2"/>
  <c r="G689" i="2"/>
  <c r="G2727" i="2"/>
  <c r="G2758" i="2"/>
  <c r="G2830" i="2"/>
  <c r="G1254" i="2"/>
  <c r="G2922" i="2"/>
  <c r="G1261" i="2"/>
  <c r="G2977" i="2"/>
  <c r="G3059" i="2"/>
  <c r="G3066" i="2"/>
  <c r="G1597" i="2"/>
  <c r="G1621" i="2"/>
  <c r="G1697" i="2"/>
  <c r="G1265" i="2"/>
  <c r="G2597" i="2"/>
  <c r="G2938" i="2"/>
  <c r="G1262" i="2"/>
  <c r="G1182" i="2"/>
  <c r="G692" i="2"/>
  <c r="G2264" i="2"/>
  <c r="G840" i="2"/>
  <c r="G1269" i="2"/>
  <c r="G1185" i="2"/>
  <c r="G1204" i="2"/>
  <c r="G2916" i="2"/>
  <c r="G1273" i="2"/>
  <c r="G403" i="2"/>
  <c r="G1284" i="2"/>
  <c r="G2803" i="2"/>
  <c r="G1205" i="2"/>
  <c r="G1122" i="2"/>
  <c r="G967" i="2"/>
  <c r="G1207" i="2"/>
  <c r="G1208" i="2"/>
  <c r="G133" i="2"/>
  <c r="G269" i="2"/>
  <c r="G301" i="2"/>
  <c r="G1288" i="2"/>
  <c r="G1296" i="2"/>
  <c r="G375" i="2"/>
  <c r="G1305" i="2"/>
  <c r="G536" i="2"/>
  <c r="G1316" i="2"/>
  <c r="G577" i="2"/>
  <c r="G1337" i="2"/>
  <c r="G1339" i="2"/>
  <c r="G600" i="2"/>
  <c r="G1350" i="2"/>
  <c r="G826" i="2"/>
  <c r="G921" i="2"/>
  <c r="G1354" i="2"/>
  <c r="G1082" i="2"/>
  <c r="G1380" i="2"/>
  <c r="G1389" i="2"/>
  <c r="G1356" i="2"/>
  <c r="G1363" i="2"/>
  <c r="G1364" i="2"/>
  <c r="G1540" i="2"/>
  <c r="G1575" i="2"/>
  <c r="G1615" i="2"/>
  <c r="G1365" i="2"/>
  <c r="G1754" i="2"/>
  <c r="G1843" i="2"/>
  <c r="G1900" i="2"/>
  <c r="G1374" i="2"/>
  <c r="G1388" i="2"/>
  <c r="G1405" i="2"/>
  <c r="G2378" i="2"/>
  <c r="G2460" i="2"/>
  <c r="G1409" i="2"/>
  <c r="G841" i="2"/>
  <c r="G2778" i="2"/>
  <c r="G2832" i="2"/>
  <c r="G3077" i="2"/>
  <c r="G3002" i="2"/>
  <c r="G1424" i="2"/>
  <c r="G1750" i="2"/>
  <c r="G1227" i="2"/>
  <c r="G238" i="2"/>
  <c r="G1303" i="2"/>
  <c r="G1415" i="2"/>
  <c r="G1964" i="2"/>
  <c r="G95" i="2"/>
  <c r="G2429" i="2"/>
  <c r="G1416" i="2"/>
  <c r="G1421" i="2"/>
  <c r="G316" i="2"/>
  <c r="G827" i="2"/>
  <c r="G977" i="2"/>
  <c r="G1028" i="2"/>
  <c r="G1438" i="2"/>
  <c r="G1263" i="2"/>
  <c r="G1290" i="2"/>
  <c r="G1406" i="2"/>
  <c r="G678" i="2"/>
  <c r="G97" i="2"/>
  <c r="G1432" i="2"/>
  <c r="G1434" i="2"/>
  <c r="G1675" i="2"/>
  <c r="G1915" i="2"/>
  <c r="G2328" i="2"/>
  <c r="G2331" i="2"/>
  <c r="G1425" i="2"/>
  <c r="G1430" i="2"/>
  <c r="G1656" i="2"/>
  <c r="G2693" i="2"/>
  <c r="G2833" i="2"/>
  <c r="G1459" i="2"/>
  <c r="G1461" i="2"/>
  <c r="G1467" i="2"/>
  <c r="G2586" i="2"/>
  <c r="G289" i="2"/>
  <c r="G1468" i="2"/>
  <c r="G1244" i="2"/>
  <c r="G1245" i="2"/>
  <c r="G338" i="2"/>
  <c r="G342" i="2"/>
  <c r="G424" i="2"/>
  <c r="G1029" i="2"/>
  <c r="G1345" i="2"/>
  <c r="G1541" i="2"/>
  <c r="G1965" i="2"/>
  <c r="G2071" i="2"/>
  <c r="G2219" i="2"/>
  <c r="G2505" i="2"/>
  <c r="G2580" i="2"/>
  <c r="G2904" i="2"/>
  <c r="G1321" i="2"/>
  <c r="G1249" i="2"/>
  <c r="G667" i="2"/>
  <c r="G1277" i="2"/>
  <c r="G743" i="2"/>
  <c r="G1855" i="2"/>
  <c r="G1473" i="2"/>
  <c r="G1272" i="2"/>
  <c r="G2020" i="2"/>
  <c r="G66" i="2"/>
  <c r="G616" i="2"/>
  <c r="G1485" i="2"/>
  <c r="G1407" i="2"/>
  <c r="G715" i="2"/>
  <c r="G2592" i="2"/>
  <c r="G1487" i="2"/>
  <c r="G1668" i="2"/>
  <c r="G1314" i="2"/>
  <c r="G1491" i="2"/>
  <c r="G1501" i="2"/>
  <c r="G2414" i="2"/>
  <c r="G1242" i="2"/>
  <c r="G1542" i="2"/>
  <c r="G214" i="2"/>
  <c r="G1543" i="2"/>
  <c r="G1507" i="2"/>
  <c r="G1003" i="2"/>
  <c r="G1408" i="2"/>
  <c r="G1996" i="2"/>
  <c r="G2917" i="2"/>
  <c r="G808" i="2"/>
  <c r="G1295" i="2"/>
  <c r="G1371" i="2"/>
  <c r="G1381" i="2"/>
  <c r="G1433" i="2"/>
  <c r="G1734" i="2"/>
  <c r="G1327" i="2"/>
  <c r="G183" i="2"/>
  <c r="G215" i="2"/>
  <c r="G391" i="2"/>
  <c r="G421" i="2"/>
  <c r="G2889" i="2"/>
  <c r="G809" i="2"/>
  <c r="G1216" i="2"/>
  <c r="G1903" i="2"/>
  <c r="G2506" i="2"/>
  <c r="G2560" i="2"/>
  <c r="G2744" i="2"/>
  <c r="G1331" i="2"/>
  <c r="G153" i="2"/>
  <c r="G31" i="2"/>
  <c r="G2863" i="2"/>
  <c r="G1174" i="2"/>
  <c r="G1511" i="2"/>
  <c r="G1212" i="2"/>
  <c r="G1518" i="2"/>
  <c r="G32" i="2"/>
  <c r="G1533" i="2"/>
  <c r="G2712" i="2"/>
  <c r="G1535" i="2"/>
  <c r="G1352" i="2"/>
  <c r="G1640" i="2"/>
  <c r="G662" i="2"/>
  <c r="G1778" i="2"/>
  <c r="G1966" i="2"/>
  <c r="G1369" i="2"/>
  <c r="G476" i="2"/>
  <c r="G753" i="2"/>
  <c r="G1574" i="2"/>
  <c r="G3043" i="2"/>
  <c r="G1904" i="2"/>
  <c r="G488" i="2"/>
  <c r="G2258" i="2"/>
  <c r="G299" i="2"/>
  <c r="G1328" i="2"/>
  <c r="G777" i="2"/>
  <c r="G833" i="2"/>
  <c r="G847" i="2"/>
  <c r="G1081" i="2"/>
  <c r="G1444" i="2"/>
  <c r="G1492" i="2"/>
  <c r="G1500" i="2"/>
  <c r="G1648" i="2"/>
  <c r="G2445" i="2"/>
  <c r="G1875" i="2"/>
  <c r="G2008" i="2"/>
  <c r="G2068" i="2"/>
  <c r="G2272" i="2"/>
  <c r="G2291" i="2"/>
  <c r="G2587" i="2"/>
  <c r="G2834" i="2"/>
  <c r="G2877" i="2"/>
  <c r="G589" i="2"/>
  <c r="G1735" i="2"/>
  <c r="G2760" i="2"/>
  <c r="G2052" i="2"/>
  <c r="G2648" i="2"/>
  <c r="G1755" i="2"/>
  <c r="G700" i="2"/>
  <c r="G701" i="2"/>
  <c r="G1481" i="2"/>
  <c r="G1494" i="2"/>
  <c r="G1595" i="2"/>
  <c r="G1604" i="2"/>
  <c r="G1673" i="2"/>
  <c r="G1999" i="2"/>
  <c r="G911" i="2"/>
  <c r="G2442" i="2"/>
  <c r="G1439" i="2"/>
  <c r="G1446" i="2"/>
  <c r="G1447" i="2"/>
  <c r="G1448" i="2"/>
  <c r="G1547" i="2"/>
  <c r="G1553" i="2"/>
  <c r="G1452" i="2"/>
  <c r="G62" i="2"/>
  <c r="G1335" i="2"/>
  <c r="G1561" i="2"/>
  <c r="G1477" i="2"/>
  <c r="G1480" i="2"/>
  <c r="G2347" i="2"/>
  <c r="G398" i="2"/>
  <c r="G1570" i="2"/>
  <c r="G1463" i="2"/>
  <c r="G1576" i="2"/>
  <c r="G1544" i="2"/>
  <c r="G1584" i="2"/>
  <c r="G1937" i="2"/>
  <c r="G2507" i="2"/>
  <c r="G769" i="2"/>
  <c r="G713" i="2"/>
  <c r="G1004" i="2"/>
  <c r="G1015" i="2"/>
  <c r="G3024" i="2"/>
  <c r="G1568" i="2"/>
  <c r="G1247" i="2"/>
  <c r="G2713" i="2"/>
  <c r="G1583" i="2"/>
  <c r="G194" i="2"/>
  <c r="G558" i="2"/>
  <c r="G666" i="2"/>
  <c r="G828" i="2"/>
  <c r="G1123" i="2"/>
  <c r="G1158" i="2"/>
  <c r="G1264" i="2"/>
  <c r="G1593" i="2"/>
  <c r="G2444" i="2"/>
  <c r="G2666" i="2"/>
  <c r="G2581" i="2"/>
  <c r="G2939" i="2"/>
  <c r="G2963" i="2"/>
  <c r="G1600" i="2"/>
  <c r="G1602" i="2"/>
  <c r="G774" i="2"/>
  <c r="G867" i="2"/>
  <c r="G948" i="2"/>
  <c r="G674" i="2"/>
  <c r="G1189" i="2"/>
  <c r="G1220" i="2"/>
  <c r="G1340" i="2"/>
  <c r="G1382" i="2"/>
  <c r="G1383" i="2"/>
  <c r="G1603" i="2"/>
  <c r="G1611" i="2"/>
  <c r="G1612" i="2"/>
  <c r="G1592" i="2"/>
  <c r="G1613" i="2"/>
  <c r="G1614" i="2"/>
  <c r="G1624" i="2"/>
  <c r="G1724" i="2"/>
  <c r="G1628" i="2"/>
  <c r="G1967" i="2"/>
  <c r="G1654" i="2"/>
  <c r="G1634" i="2"/>
  <c r="G2835" i="2"/>
  <c r="G2865" i="2"/>
  <c r="G2940" i="2"/>
  <c r="G355" i="2"/>
  <c r="G2316" i="2"/>
  <c r="G779" i="2"/>
  <c r="G943" i="2"/>
  <c r="G1065" i="2"/>
  <c r="G1075" i="2"/>
  <c r="G1074" i="2"/>
  <c r="G1431" i="2"/>
  <c r="G2196" i="2"/>
  <c r="G2335" i="2"/>
  <c r="G2340" i="2"/>
  <c r="G2383" i="2"/>
  <c r="G2408" i="2"/>
  <c r="G2508" i="2"/>
  <c r="G2660" i="2"/>
  <c r="G2738" i="2"/>
  <c r="G3030" i="2"/>
  <c r="G33" i="2"/>
  <c r="G34" i="2"/>
  <c r="G1605" i="2"/>
  <c r="G1607" i="2"/>
  <c r="G739" i="2"/>
  <c r="G916" i="2"/>
  <c r="G1635" i="2"/>
  <c r="G1638" i="2"/>
  <c r="G2141" i="2"/>
  <c r="G1653" i="2"/>
  <c r="G2941" i="2"/>
  <c r="G1630" i="2"/>
  <c r="G2113" i="2"/>
  <c r="G1469" i="2"/>
  <c r="G1490" i="2"/>
  <c r="G1545" i="2"/>
  <c r="G1709" i="2"/>
  <c r="G1816" i="2"/>
  <c r="G1847" i="2"/>
  <c r="G1968" i="2"/>
  <c r="G2122" i="2"/>
  <c r="G2133" i="2"/>
  <c r="G2134" i="2"/>
  <c r="G2401" i="2"/>
  <c r="G2435" i="2"/>
  <c r="G2942" i="2"/>
  <c r="G2136" i="2"/>
  <c r="G3013" i="2"/>
  <c r="G1642" i="2"/>
  <c r="G1663" i="2"/>
  <c r="G1657" i="2"/>
  <c r="G397" i="2"/>
  <c r="G1659" i="2"/>
  <c r="G1658" i="2"/>
  <c r="G88" i="2"/>
  <c r="G1665" i="2"/>
  <c r="G1688" i="2"/>
  <c r="G276" i="2"/>
  <c r="G311" i="2"/>
  <c r="G1704" i="2"/>
  <c r="G400" i="2"/>
  <c r="G1708" i="2"/>
  <c r="G2510" i="2"/>
  <c r="G491" i="2"/>
  <c r="G492" i="2"/>
  <c r="G498" i="2"/>
  <c r="G578" i="2"/>
  <c r="G597" i="2"/>
  <c r="G1722" i="2"/>
  <c r="G2194" i="2"/>
  <c r="G1723" i="2"/>
  <c r="G702" i="2"/>
  <c r="G1725" i="2"/>
  <c r="G1728" i="2"/>
  <c r="G755" i="2"/>
  <c r="G810" i="2"/>
  <c r="G1729" i="2"/>
  <c r="G2511" i="2"/>
  <c r="G1738" i="2"/>
  <c r="G1144" i="2"/>
  <c r="G1159" i="2"/>
  <c r="G1170" i="2"/>
  <c r="G1280" i="2"/>
  <c r="G1744" i="2"/>
  <c r="G1746" i="2"/>
  <c r="G1384" i="2"/>
  <c r="G1748" i="2"/>
  <c r="G1426" i="2"/>
  <c r="G1427" i="2"/>
  <c r="G1474" i="2"/>
  <c r="G1486" i="2"/>
  <c r="G1546" i="2"/>
  <c r="G1762" i="2"/>
  <c r="G1622" i="2"/>
  <c r="G1649" i="2"/>
  <c r="G1666" i="2"/>
  <c r="G1756" i="2"/>
  <c r="G1796" i="2"/>
  <c r="G1811" i="2"/>
  <c r="G1879" i="2"/>
  <c r="G1767" i="2"/>
  <c r="G1770" i="2"/>
  <c r="G2017" i="2"/>
  <c r="G2074" i="2"/>
  <c r="G2125" i="2"/>
  <c r="G2198" i="2"/>
  <c r="G1775" i="2"/>
  <c r="G1815" i="2"/>
  <c r="G2315" i="2"/>
  <c r="G2350" i="2"/>
  <c r="G2374" i="2"/>
  <c r="G1779" i="2"/>
  <c r="G2402" i="2"/>
  <c r="G2428" i="2"/>
  <c r="G2467" i="2"/>
  <c r="G2509" i="2"/>
  <c r="G2573" i="2"/>
  <c r="G2698" i="2"/>
  <c r="G2726" i="2"/>
  <c r="G1781" i="2"/>
  <c r="G1783" i="2"/>
  <c r="G2784" i="2"/>
  <c r="G2894" i="2"/>
  <c r="G2930" i="2"/>
  <c r="G2959" i="2"/>
  <c r="G1787" i="2"/>
  <c r="G2974" i="2"/>
  <c r="G3018" i="2"/>
  <c r="G3034" i="2"/>
  <c r="G3046" i="2"/>
  <c r="G3075" i="2"/>
  <c r="G294" i="2"/>
  <c r="G1351" i="2"/>
  <c r="G1495" i="2"/>
  <c r="G1821" i="2"/>
  <c r="G2619" i="2"/>
  <c r="G2682" i="2"/>
  <c r="G2981" i="2"/>
  <c r="G2987" i="2"/>
  <c r="G2598" i="2"/>
  <c r="G1680" i="2"/>
  <c r="G1689" i="2"/>
  <c r="G1420" i="2"/>
  <c r="G1097" i="2"/>
  <c r="G1788" i="2"/>
  <c r="G3063" i="2"/>
  <c r="G1062" i="2"/>
  <c r="G1503" i="2"/>
  <c r="G1793" i="2"/>
  <c r="G1650" i="2"/>
  <c r="G1934" i="2"/>
  <c r="G2339" i="2"/>
  <c r="G1695" i="2"/>
  <c r="G1700" i="2"/>
  <c r="G2775" i="2"/>
  <c r="G230" i="2"/>
  <c r="G1548" i="2"/>
  <c r="G1715" i="2"/>
  <c r="G1931" i="2"/>
  <c r="G2403" i="2"/>
  <c r="G2404" i="2"/>
  <c r="G202" i="2"/>
  <c r="G216" i="2"/>
  <c r="G260" i="2"/>
  <c r="G548" i="2"/>
  <c r="G1085" i="2"/>
  <c r="G1323" i="2"/>
  <c r="G1453" i="2"/>
  <c r="G1482" i="2"/>
  <c r="G1737" i="2"/>
  <c r="G1822" i="2"/>
  <c r="G2009" i="2"/>
  <c r="G2016" i="2"/>
  <c r="G2389" i="2"/>
  <c r="G2448" i="2"/>
  <c r="G1702" i="2"/>
  <c r="G1703" i="2"/>
  <c r="G1301" i="2"/>
  <c r="G1795" i="2"/>
  <c r="G2766" i="2"/>
  <c r="G2943" i="2"/>
  <c r="G335" i="2"/>
  <c r="G1800" i="2"/>
  <c r="G206" i="2"/>
  <c r="G1806" i="2"/>
  <c r="G1810" i="2"/>
  <c r="G1411" i="2"/>
  <c r="G35" i="2"/>
  <c r="G1812" i="2"/>
  <c r="G1471" i="2"/>
  <c r="G1685" i="2"/>
  <c r="G1549" i="2"/>
  <c r="G2899" i="2"/>
  <c r="G2998" i="2"/>
  <c r="G1763" i="2"/>
  <c r="G1226" i="2"/>
  <c r="G1774" i="2"/>
  <c r="G448" i="2"/>
  <c r="G1479" i="2"/>
  <c r="G1791" i="2"/>
  <c r="G1792" i="2"/>
  <c r="G2902" i="2"/>
  <c r="G869" i="2"/>
  <c r="G2146" i="2"/>
  <c r="G2735" i="2"/>
  <c r="G2771" i="2"/>
  <c r="G2836" i="2"/>
  <c r="G2920" i="2"/>
  <c r="G1945" i="2"/>
  <c r="G1885" i="2"/>
  <c r="G1794" i="2"/>
  <c r="G273" i="2"/>
  <c r="G2951" i="2"/>
  <c r="G158" i="2"/>
  <c r="G994" i="2"/>
  <c r="G1355" i="2"/>
  <c r="G1797" i="2"/>
  <c r="G698" i="2"/>
  <c r="G1589" i="2"/>
  <c r="G1655" i="2"/>
  <c r="G2240" i="2"/>
  <c r="G2338" i="2"/>
  <c r="G1819" i="2"/>
  <c r="G364" i="2"/>
  <c r="G1293" i="2"/>
  <c r="G2369" i="2"/>
  <c r="G931" i="2"/>
  <c r="G642" i="2"/>
  <c r="G2203" i="2"/>
  <c r="G94" i="2"/>
  <c r="G460" i="2"/>
  <c r="G1823" i="2"/>
  <c r="G830" i="2"/>
  <c r="G887" i="2"/>
  <c r="G1830" i="2"/>
  <c r="G2837" i="2"/>
  <c r="G1844" i="2"/>
  <c r="G1145" i="2"/>
  <c r="G1845" i="2"/>
  <c r="G1338" i="2"/>
  <c r="G1505" i="2"/>
  <c r="G1716" i="2"/>
  <c r="G1852" i="2"/>
  <c r="G1854" i="2"/>
  <c r="G1935" i="2"/>
  <c r="G1856" i="2"/>
  <c r="G1859" i="2"/>
  <c r="G1802" i="2"/>
  <c r="G720" i="2"/>
  <c r="G1829" i="2"/>
  <c r="G2042" i="2"/>
  <c r="G2980" i="2"/>
  <c r="G922" i="2"/>
  <c r="G1868" i="2"/>
  <c r="G1412" i="2"/>
  <c r="G1808" i="2"/>
  <c r="G1890" i="2"/>
  <c r="G1891" i="2"/>
  <c r="G2513" i="2"/>
  <c r="G1899" i="2"/>
  <c r="G1907" i="2"/>
  <c r="G2694" i="2"/>
  <c r="G2838" i="2"/>
  <c r="G556" i="2"/>
  <c r="G707" i="2"/>
  <c r="G988" i="2"/>
  <c r="G760" i="2"/>
  <c r="G759" i="2"/>
  <c r="G1087" i="2"/>
  <c r="G1137" i="2"/>
  <c r="G1914" i="2"/>
  <c r="G1385" i="2"/>
  <c r="G1970" i="2"/>
  <c r="G1149" i="2"/>
  <c r="G1916" i="2"/>
  <c r="G1001" i="2"/>
  <c r="G1124" i="2"/>
  <c r="G1140" i="2"/>
  <c r="G1429" i="2"/>
  <c r="G1550" i="2"/>
  <c r="G1578" i="2"/>
  <c r="G1917" i="2"/>
  <c r="G923" i="2"/>
  <c r="G1818" i="2"/>
  <c r="G189" i="2"/>
  <c r="G1610" i="2"/>
  <c r="G2839" i="2"/>
  <c r="G1825" i="2"/>
  <c r="G1720" i="2"/>
  <c r="G1837" i="2"/>
  <c r="G584" i="2"/>
  <c r="G1828" i="2"/>
  <c r="G1834" i="2"/>
  <c r="G1046" i="2"/>
  <c r="G1047" i="2"/>
  <c r="G1304" i="2"/>
  <c r="G562" i="2"/>
  <c r="G1567" i="2"/>
  <c r="G1805" i="2"/>
  <c r="G1817" i="2"/>
  <c r="G2956" i="2"/>
  <c r="G1840" i="2"/>
  <c r="G2250" i="2"/>
  <c r="G1841" i="2"/>
  <c r="G607" i="2"/>
  <c r="G1892" i="2"/>
  <c r="G1850" i="2"/>
  <c r="G1329" i="2"/>
  <c r="G2736" i="2"/>
  <c r="G844" i="2"/>
  <c r="G568" i="2"/>
  <c r="G860" i="2"/>
  <c r="G185" i="2"/>
  <c r="G1923" i="2"/>
  <c r="G564" i="2"/>
  <c r="G591" i="2"/>
  <c r="G604" i="2"/>
  <c r="G1458" i="2"/>
  <c r="G1928" i="2"/>
  <c r="G2025" i="2"/>
  <c r="G2725" i="2"/>
  <c r="G36" i="2"/>
  <c r="G1933" i="2"/>
  <c r="G1942" i="2"/>
  <c r="G763" i="2"/>
  <c r="G811" i="2"/>
  <c r="G1096" i="2"/>
  <c r="G1943" i="2"/>
  <c r="G2046" i="2"/>
  <c r="G2152" i="2"/>
  <c r="G2637" i="2"/>
  <c r="G1949" i="2"/>
  <c r="G3026" i="2"/>
  <c r="G2211" i="2"/>
  <c r="G2882" i="2"/>
  <c r="G46" i="2"/>
  <c r="G902" i="2"/>
  <c r="G1464" i="2"/>
  <c r="G1957" i="2"/>
  <c r="G1960" i="2"/>
  <c r="G1963" i="2"/>
  <c r="G1969" i="2"/>
  <c r="G1162" i="2"/>
  <c r="G2035" i="2"/>
  <c r="G2515" i="2"/>
  <c r="G1880" i="2"/>
  <c r="G2944" i="2"/>
  <c r="G2516" i="2"/>
  <c r="G1971" i="2"/>
  <c r="G1954" i="2"/>
  <c r="G2752" i="2"/>
  <c r="G2793" i="2"/>
  <c r="G1886" i="2"/>
  <c r="G1889" i="2"/>
  <c r="G496" i="2"/>
  <c r="G1897" i="2"/>
  <c r="G484" i="2"/>
  <c r="G78" i="2"/>
  <c r="G37" i="2"/>
  <c r="G1551" i="2"/>
  <c r="G1924" i="2"/>
  <c r="G221" i="2"/>
  <c r="G495" i="2"/>
  <c r="G757" i="2"/>
  <c r="G927" i="2"/>
  <c r="G1973" i="2"/>
  <c r="G1552" i="2"/>
  <c r="G1866" i="2"/>
  <c r="G2476" i="2"/>
  <c r="G2563" i="2"/>
  <c r="G2842" i="2"/>
  <c r="G1390" i="2"/>
  <c r="G1976" i="2"/>
  <c r="G1930" i="2"/>
  <c r="G1932" i="2"/>
  <c r="G2039" i="2"/>
  <c r="G1443" i="2"/>
  <c r="G1175" i="2"/>
  <c r="G79" i="2"/>
  <c r="G2715" i="2"/>
  <c r="G102" i="2"/>
  <c r="G990" i="2"/>
  <c r="G1040" i="2"/>
  <c r="G1757" i="2"/>
  <c r="G1991" i="2"/>
  <c r="G2481" i="2"/>
  <c r="G177" i="2"/>
  <c r="G1701" i="2"/>
  <c r="G1179" i="2"/>
  <c r="G2151" i="2"/>
  <c r="G649" i="2"/>
  <c r="G2011" i="2"/>
  <c r="G2012" i="2"/>
  <c r="G2014" i="2"/>
  <c r="G2716" i="2"/>
  <c r="G317" i="2"/>
  <c r="G2226" i="2"/>
  <c r="G2019" i="2"/>
  <c r="G626" i="2"/>
  <c r="G2044" i="2"/>
  <c r="G1977" i="2"/>
  <c r="G57" i="2"/>
  <c r="G101" i="2"/>
  <c r="G474" i="2"/>
  <c r="G534" i="2"/>
  <c r="G550" i="2"/>
  <c r="G585" i="2"/>
  <c r="G1215" i="2"/>
  <c r="G1460" i="2"/>
  <c r="G2108" i="2"/>
  <c r="G1692" i="2"/>
  <c r="G2053" i="2"/>
  <c r="G1979" i="2"/>
  <c r="G443" i="2"/>
  <c r="G1324" i="2"/>
  <c r="G1353" i="2"/>
  <c r="G1386" i="2"/>
  <c r="G1918" i="2"/>
  <c r="G2170" i="2"/>
  <c r="G2295" i="2"/>
  <c r="G2376" i="2"/>
  <c r="G2843" i="2"/>
  <c r="G1285" i="2"/>
  <c r="G38" i="2"/>
  <c r="G2022" i="2"/>
  <c r="G277" i="2"/>
  <c r="G383" i="2"/>
  <c r="G557" i="2"/>
  <c r="G780" i="2"/>
  <c r="G1032" i="2"/>
  <c r="G1196" i="2"/>
  <c r="G2620" i="2"/>
  <c r="G2629" i="2"/>
  <c r="G2925" i="2"/>
  <c r="G39" i="2"/>
  <c r="G881" i="2"/>
  <c r="G2197" i="2"/>
  <c r="G2091" i="2"/>
  <c r="G2969" i="2"/>
  <c r="G2024" i="2"/>
  <c r="G234" i="2"/>
  <c r="G519" i="2"/>
  <c r="G1980" i="2"/>
  <c r="G1981" i="2"/>
  <c r="G1982" i="2"/>
  <c r="G1972" i="2"/>
  <c r="G2031" i="2"/>
  <c r="G2054" i="2"/>
  <c r="G2089" i="2"/>
  <c r="G2124" i="2"/>
  <c r="G2178" i="2"/>
  <c r="G1984" i="2"/>
  <c r="G2241" i="2"/>
  <c r="G1997" i="2"/>
  <c r="G2582" i="2"/>
  <c r="G458" i="2"/>
  <c r="G1998" i="2"/>
  <c r="G2007" i="2"/>
  <c r="G2683" i="2"/>
  <c r="G2029" i="2"/>
  <c r="G48" i="2"/>
  <c r="G347" i="2"/>
  <c r="G2032" i="2"/>
  <c r="G2038" i="2"/>
  <c r="G2988" i="2"/>
  <c r="G864" i="2"/>
  <c r="G905" i="2"/>
  <c r="G953" i="2"/>
  <c r="G1281" i="2"/>
  <c r="G1846" i="2"/>
  <c r="G2446" i="2"/>
  <c r="G162" i="2"/>
  <c r="G2965" i="2"/>
  <c r="G217" i="2"/>
  <c r="G366" i="2"/>
  <c r="G710" i="2"/>
  <c r="G1143" i="2"/>
  <c r="G1238" i="2"/>
  <c r="G1626" i="2"/>
  <c r="G1651" i="2"/>
  <c r="G2297" i="2"/>
  <c r="G2436" i="2"/>
  <c r="G3067" i="2"/>
  <c r="G3081" i="2"/>
  <c r="G2073" i="2"/>
  <c r="G2076" i="2"/>
  <c r="G1693" i="2"/>
  <c r="G2077" i="2"/>
  <c r="G2078" i="2"/>
  <c r="G2079" i="2"/>
  <c r="G2310" i="2"/>
  <c r="G2055" i="2"/>
  <c r="G1721" i="2"/>
  <c r="G1150" i="2"/>
  <c r="G1765" i="2"/>
  <c r="G2056" i="2"/>
  <c r="G2080" i="2"/>
  <c r="G40" i="2"/>
  <c r="G2058" i="2"/>
  <c r="G2213" i="2"/>
  <c r="G1641" i="2"/>
  <c r="G439" i="2"/>
  <c r="G2096" i="2"/>
  <c r="G2551" i="2"/>
  <c r="G2999" i="2"/>
  <c r="G2762" i="2"/>
  <c r="G2142" i="2"/>
  <c r="G2225" i="2"/>
  <c r="G2518" i="2"/>
  <c r="G2844" i="2"/>
  <c r="G239" i="2"/>
  <c r="G2109" i="2"/>
  <c r="G2112" i="2"/>
  <c r="G1005" i="2"/>
  <c r="G41" i="2"/>
  <c r="G2128" i="2"/>
  <c r="G725" i="2"/>
  <c r="G2135" i="2"/>
  <c r="G1231" i="2"/>
  <c r="G880" i="2"/>
  <c r="G2023" i="2"/>
  <c r="G950" i="2"/>
  <c r="G1554" i="2"/>
  <c r="G2069" i="2"/>
  <c r="G1413" i="2"/>
  <c r="G2150" i="2"/>
  <c r="G885" i="2"/>
  <c r="G2070" i="2"/>
  <c r="G978" i="2"/>
  <c r="G2072" i="2"/>
  <c r="G2030" i="2"/>
  <c r="G2094" i="2"/>
  <c r="G2260" i="2"/>
  <c r="G2086" i="2"/>
  <c r="G2093" i="2"/>
  <c r="G2520" i="2"/>
  <c r="G2095" i="2"/>
  <c r="G42" i="2"/>
  <c r="G2154" i="2"/>
  <c r="G767" i="2"/>
  <c r="G2156" i="2"/>
  <c r="G1741" i="2"/>
  <c r="G2166" i="2"/>
  <c r="G2167" i="2"/>
  <c r="G131" i="2"/>
  <c r="G154" i="2"/>
  <c r="G156" i="2"/>
  <c r="G187" i="2"/>
  <c r="G195" i="2"/>
  <c r="G2102" i="2"/>
  <c r="G2123" i="2"/>
  <c r="G2384" i="2"/>
  <c r="G2126" i="2"/>
  <c r="G302" i="2"/>
  <c r="G2143" i="2"/>
  <c r="G377" i="2"/>
  <c r="G520" i="2"/>
  <c r="G542" i="2"/>
  <c r="G590" i="2"/>
  <c r="G645" i="2"/>
  <c r="G2144" i="2"/>
  <c r="G660" i="2"/>
  <c r="G2148" i="2"/>
  <c r="G856" i="2"/>
  <c r="G2155" i="2"/>
  <c r="G878" i="2"/>
  <c r="G2168" i="2"/>
  <c r="G2159" i="2"/>
  <c r="G947" i="2"/>
  <c r="G949" i="2"/>
  <c r="G1063" i="2"/>
  <c r="G2161" i="2"/>
  <c r="G1197" i="2"/>
  <c r="G1266" i="2"/>
  <c r="G1267" i="2"/>
  <c r="G1268" i="2"/>
  <c r="G1299" i="2"/>
  <c r="G1343" i="2"/>
  <c r="G2171" i="2"/>
  <c r="G1707" i="2"/>
  <c r="G1758" i="2"/>
  <c r="G1782" i="2"/>
  <c r="G1867" i="2"/>
  <c r="G1901" i="2"/>
  <c r="G2173" i="2"/>
  <c r="G2179" i="2"/>
  <c r="G2361" i="2"/>
  <c r="G2187" i="2"/>
  <c r="G2575" i="2"/>
  <c r="G2368" i="2"/>
  <c r="G2418" i="2"/>
  <c r="G2437" i="2"/>
  <c r="G2469" i="2"/>
  <c r="G2521" i="2"/>
  <c r="G2190" i="2"/>
  <c r="G2193" i="2"/>
  <c r="G2625" i="2"/>
  <c r="G2643" i="2"/>
  <c r="G2656" i="2"/>
  <c r="G2657" i="2"/>
  <c r="G2201" i="2"/>
  <c r="G2846" i="2"/>
  <c r="G2847" i="2"/>
  <c r="G2202" i="2"/>
  <c r="G2954" i="2"/>
  <c r="G2204" i="2"/>
  <c r="G1669" i="2"/>
  <c r="G218" i="2"/>
  <c r="G2626" i="2"/>
  <c r="G581" i="2"/>
  <c r="G2205" i="2"/>
  <c r="G1292" i="2"/>
  <c r="G2230" i="2"/>
  <c r="G2232" i="2"/>
  <c r="G2174" i="2"/>
  <c r="G280" i="2"/>
  <c r="G374" i="2"/>
  <c r="G508" i="2"/>
  <c r="G1282" i="2"/>
  <c r="G1493" i="2"/>
  <c r="G1927" i="2"/>
  <c r="G2218" i="2"/>
  <c r="G2222" i="2"/>
  <c r="G2224" i="2"/>
  <c r="G2407" i="2"/>
  <c r="G2463" i="2"/>
  <c r="G2523" i="2"/>
  <c r="G2748" i="2"/>
  <c r="G1038" i="2"/>
  <c r="G2181" i="2"/>
  <c r="G2183" i="2"/>
  <c r="G2245" i="2"/>
  <c r="G2189" i="2"/>
  <c r="G2251" i="2"/>
  <c r="G2083" i="2"/>
  <c r="G2524" i="2"/>
  <c r="G2868" i="2"/>
  <c r="G115" i="2"/>
  <c r="G2253" i="2"/>
  <c r="G1219" i="2"/>
  <c r="G1896" i="2"/>
  <c r="G2195" i="2"/>
  <c r="G2229" i="2"/>
  <c r="G2231" i="2"/>
  <c r="G2234" i="2"/>
  <c r="G169" i="2"/>
  <c r="G2262" i="2"/>
  <c r="G928" i="2"/>
  <c r="G2267" i="2"/>
  <c r="G473" i="2"/>
  <c r="G1616" i="2"/>
  <c r="G1874" i="2"/>
  <c r="G2470" i="2"/>
  <c r="G2794" i="2"/>
  <c r="G3014" i="2"/>
  <c r="G2273" i="2"/>
  <c r="G2276" i="2"/>
  <c r="G2278" i="2"/>
  <c r="G140" i="2"/>
  <c r="G1435" i="2"/>
  <c r="G1652" i="2"/>
  <c r="G1974" i="2"/>
  <c r="G2302" i="2"/>
  <c r="G979" i="2"/>
  <c r="G286" i="2"/>
  <c r="G395" i="2"/>
  <c r="G813" i="2"/>
  <c r="G871" i="2"/>
  <c r="G1125" i="2"/>
  <c r="G1581" i="2"/>
  <c r="G1975" i="2"/>
  <c r="G2298" i="2"/>
  <c r="G2600" i="2"/>
  <c r="G2618" i="2"/>
  <c r="G2741" i="2"/>
  <c r="G2770" i="2"/>
  <c r="G2875" i="2"/>
  <c r="G3071" i="2"/>
  <c r="G1670" i="2"/>
  <c r="G569" i="2"/>
  <c r="G181" i="2"/>
  <c r="G523" i="2"/>
  <c r="G2111" i="2"/>
  <c r="G2363" i="2"/>
  <c r="G2848" i="2"/>
  <c r="G2849" i="2"/>
  <c r="G2850" i="2"/>
  <c r="G2280" i="2"/>
  <c r="G1824" i="2"/>
  <c r="G2287" i="2"/>
  <c r="G2177" i="2"/>
  <c r="G1246" i="2"/>
  <c r="G2330" i="2"/>
  <c r="G2294" i="2"/>
  <c r="G396" i="2"/>
  <c r="G882" i="2"/>
  <c r="G732" i="2"/>
  <c r="G1099" i="2"/>
  <c r="G2282" i="2"/>
  <c r="G1311" i="2"/>
  <c r="G2288" i="2"/>
  <c r="G1662" i="2"/>
  <c r="G1863" i="2"/>
  <c r="G2292" i="2"/>
  <c r="G2305" i="2"/>
  <c r="G2307" i="2"/>
  <c r="G2256" i="2"/>
  <c r="G2318" i="2"/>
  <c r="G2320" i="2"/>
  <c r="G2321" i="2"/>
  <c r="G2322" i="2"/>
  <c r="G2757" i="2"/>
  <c r="G2324" i="2"/>
  <c r="G2326" i="2"/>
  <c r="G2299" i="2"/>
  <c r="G348" i="2"/>
  <c r="G2246" i="2"/>
  <c r="G964" i="2"/>
  <c r="G1126" i="2"/>
  <c r="G1336" i="2"/>
  <c r="G1436" i="2"/>
  <c r="G1599" i="2"/>
  <c r="G2405" i="2"/>
  <c r="G2745" i="2"/>
  <c r="G2441" i="2"/>
  <c r="G2303" i="2"/>
  <c r="G240" i="2"/>
  <c r="G2343" i="2"/>
  <c r="G2345" i="2"/>
  <c r="G2354" i="2"/>
  <c r="G888" i="2"/>
  <c r="G907" i="2"/>
  <c r="G1127" i="2"/>
  <c r="G2365" i="2"/>
  <c r="G2379" i="2"/>
  <c r="G1450" i="2"/>
  <c r="G2381" i="2"/>
  <c r="G1598" i="2"/>
  <c r="G2472" i="2"/>
  <c r="G1894" i="2"/>
  <c r="G1926" i="2"/>
  <c r="G2385" i="2"/>
  <c r="G2239" i="2"/>
  <c r="G2243" i="2"/>
  <c r="G2265" i="2"/>
  <c r="G2313" i="2"/>
  <c r="G2362" i="2"/>
  <c r="G2392" i="2"/>
  <c r="G2684" i="2"/>
  <c r="G594" i="2"/>
  <c r="G765" i="2"/>
  <c r="G2393" i="2"/>
  <c r="G2000" i="2"/>
  <c r="G3004" i="2"/>
  <c r="G2311" i="2"/>
  <c r="G219" i="2"/>
  <c r="G2394" i="2"/>
  <c r="G3040" i="2"/>
  <c r="G955" i="2"/>
  <c r="G1128" i="2"/>
  <c r="G2247" i="2"/>
  <c r="G2396" i="2"/>
  <c r="G1555" i="2"/>
  <c r="G1751" i="2"/>
  <c r="G1764" i="2"/>
  <c r="G1895" i="2"/>
  <c r="G1978" i="2"/>
  <c r="G2419" i="2"/>
  <c r="G2545" i="2"/>
  <c r="G2400" i="2"/>
  <c r="G2906" i="2"/>
  <c r="G2945" i="2"/>
  <c r="G2289" i="2"/>
  <c r="G325" i="2"/>
  <c r="G2767" i="2"/>
  <c r="G244" i="2"/>
  <c r="G2317" i="2"/>
  <c r="G2921" i="2"/>
  <c r="G681" i="2"/>
  <c r="G1050" i="2"/>
  <c r="G2319" i="2"/>
  <c r="G2334" i="2"/>
  <c r="G2638" i="2"/>
  <c r="G2410" i="2"/>
  <c r="G1148" i="2"/>
  <c r="G281" i="2"/>
  <c r="G2413" i="2"/>
  <c r="G2423" i="2"/>
  <c r="G501" i="2"/>
  <c r="G2425" i="2"/>
  <c r="G2001" i="2"/>
  <c r="G814" i="2"/>
  <c r="G857" i="2"/>
  <c r="G972" i="2"/>
  <c r="G2426" i="2"/>
  <c r="G253" i="2"/>
  <c r="G1270" i="2"/>
  <c r="G2433" i="2"/>
  <c r="G1556" i="2"/>
  <c r="G1769" i="2"/>
  <c r="G1848" i="2"/>
  <c r="G2443" i="2"/>
  <c r="G2456" i="2"/>
  <c r="G2220" i="2"/>
  <c r="G2367" i="2"/>
  <c r="G2631" i="2"/>
  <c r="G2866" i="2"/>
  <c r="G2457" i="2"/>
  <c r="G2462" i="2"/>
  <c r="G2351" i="2"/>
  <c r="G2465" i="2"/>
  <c r="G2352" i="2"/>
  <c r="G2851" i="2"/>
  <c r="G2923" i="2"/>
  <c r="G2357" i="2"/>
  <c r="G2275" i="2"/>
  <c r="G2372" i="2"/>
  <c r="G2466" i="2"/>
  <c r="G3039" i="2"/>
  <c r="G2556" i="2"/>
  <c r="G2632" i="2"/>
  <c r="G2439" i="2"/>
  <c r="G2449" i="2"/>
  <c r="G2248" i="2"/>
  <c r="G2406" i="2"/>
  <c r="G2458" i="2"/>
  <c r="G816" i="2"/>
  <c r="G1832" i="2"/>
  <c r="G624" i="2"/>
  <c r="G2478" i="2"/>
  <c r="G489" i="2"/>
  <c r="G2514" i="2"/>
  <c r="G2852" i="2"/>
  <c r="G416" i="2"/>
  <c r="G445" i="2"/>
  <c r="G1706" i="2"/>
  <c r="G1939" i="2"/>
  <c r="G2153" i="2"/>
  <c r="G2568" i="2"/>
  <c r="G2653" i="2"/>
  <c r="G2755" i="2"/>
  <c r="G61" i="2"/>
  <c r="G2482" i="2"/>
  <c r="G736" i="2"/>
  <c r="G1696" i="2"/>
  <c r="G2026" i="2"/>
  <c r="G3057" i="2"/>
  <c r="G135" i="2"/>
  <c r="G148" i="2"/>
  <c r="G2485" i="2"/>
  <c r="G2486" i="2"/>
  <c r="G836" i="2"/>
  <c r="G2490" i="2"/>
  <c r="G1198" i="2"/>
  <c r="G1414" i="2"/>
  <c r="G1761" i="2"/>
  <c r="G1919" i="2"/>
  <c r="G2090" i="2"/>
  <c r="G2099" i="2"/>
  <c r="G2157" i="2"/>
  <c r="G2160" i="2"/>
  <c r="G2390" i="2"/>
  <c r="G2452" i="2"/>
  <c r="G2548" i="2"/>
  <c r="G2564" i="2"/>
  <c r="G2639" i="2"/>
  <c r="G2502" i="2"/>
  <c r="G2973" i="2"/>
  <c r="G2536" i="2"/>
  <c r="G2553" i="2"/>
  <c r="G2552" i="2"/>
  <c r="G2588" i="2"/>
  <c r="G2669" i="2"/>
  <c r="G2801" i="2"/>
  <c r="G2503" i="2"/>
  <c r="G2574" i="2"/>
  <c r="G2617" i="2"/>
  <c r="G345" i="2"/>
  <c r="G2608" i="2"/>
  <c r="G2609" i="2"/>
  <c r="G1172" i="2"/>
  <c r="G63" i="2"/>
  <c r="G1587" i="2"/>
  <c r="G2627" i="2"/>
  <c r="G2633" i="2"/>
  <c r="G319" i="2"/>
  <c r="G2635" i="2"/>
  <c r="G2777" i="2"/>
  <c r="G159" i="2"/>
  <c r="G2504" i="2"/>
  <c r="G1865" i="2"/>
  <c r="G2795" i="2"/>
  <c r="G151" i="2"/>
  <c r="G328" i="2"/>
  <c r="G1008" i="2"/>
  <c r="G1557" i="2"/>
  <c r="G2541" i="2"/>
  <c r="G2869" i="2"/>
  <c r="G3010" i="2"/>
  <c r="G1320" i="2"/>
  <c r="G2753" i="2"/>
  <c r="G909" i="2"/>
  <c r="G641" i="2"/>
  <c r="G1625" i="2"/>
  <c r="G2769" i="2"/>
  <c r="G2699" i="2"/>
  <c r="G2512" i="2"/>
  <c r="G2802" i="2"/>
  <c r="G2996" i="2"/>
  <c r="G90" i="2"/>
  <c r="G116" i="2"/>
  <c r="G2522" i="2"/>
  <c r="G2517" i="2"/>
  <c r="G2519" i="2"/>
  <c r="G2614" i="2"/>
  <c r="G313" i="2"/>
  <c r="G2525" i="2"/>
  <c r="G333" i="2"/>
  <c r="G2527" i="2"/>
  <c r="G2534" i="2"/>
  <c r="G422" i="2"/>
  <c r="G465" i="2"/>
  <c r="G526" i="2"/>
  <c r="G543" i="2"/>
  <c r="G546" i="2"/>
  <c r="G592" i="2"/>
  <c r="G2540" i="2"/>
  <c r="G612" i="2"/>
  <c r="G615" i="2"/>
  <c r="G2550" i="2"/>
  <c r="G2577" i="2"/>
  <c r="G668" i="2"/>
  <c r="G735" i="2"/>
  <c r="G2578" i="2"/>
  <c r="G785" i="2"/>
  <c r="G2579" i="2"/>
  <c r="G854" i="2"/>
  <c r="G872" i="2"/>
  <c r="G873" i="2"/>
  <c r="G879" i="2"/>
  <c r="G2590" i="2"/>
  <c r="G1100" i="2"/>
  <c r="G2593" i="2"/>
  <c r="G1164" i="2"/>
  <c r="G1223" i="2"/>
  <c r="G1214" i="2"/>
  <c r="G1239" i="2"/>
  <c r="G716" i="2"/>
  <c r="G1346" i="2"/>
  <c r="G1470" i="2"/>
  <c r="G679" i="2"/>
  <c r="G1565" i="2"/>
  <c r="G2594" i="2"/>
  <c r="G1671" i="2"/>
  <c r="G1676" i="2"/>
  <c r="G1681" i="2"/>
  <c r="G1687" i="2"/>
  <c r="G2714" i="2"/>
  <c r="G2596" i="2"/>
  <c r="G1717" i="2"/>
  <c r="G2599" i="2"/>
  <c r="G1749" i="2"/>
  <c r="G2601" i="2"/>
  <c r="G2602" i="2"/>
  <c r="G2606" i="2"/>
  <c r="G1877" i="2"/>
  <c r="G1882" i="2"/>
  <c r="G2610" i="2"/>
  <c r="G2611" i="2"/>
  <c r="G2616" i="2"/>
  <c r="G2137" i="2"/>
  <c r="G2650" i="2"/>
  <c r="G2621" i="2"/>
  <c r="G2199" i="2"/>
  <c r="G2233" i="2"/>
  <c r="G2277" i="2"/>
  <c r="G2333" i="2"/>
  <c r="G2673" i="2"/>
  <c r="G2652" i="2"/>
  <c r="G2427" i="2"/>
  <c r="G2451" i="2"/>
  <c r="G2471" i="2"/>
  <c r="G2655" i="2"/>
  <c r="G2607" i="2"/>
  <c r="G2658" i="2"/>
  <c r="G2659" i="2"/>
  <c r="G2654" i="2"/>
  <c r="G2665" i="2"/>
  <c r="G2687" i="2"/>
  <c r="G2765" i="2"/>
  <c r="G2783" i="2"/>
  <c r="G2663" i="2"/>
  <c r="G2853" i="2"/>
  <c r="G2854" i="2"/>
  <c r="G2878" i="2"/>
  <c r="G2671" i="2"/>
  <c r="G3021" i="2"/>
  <c r="G3064" i="2"/>
  <c r="G1799" i="2"/>
  <c r="G2337" i="2"/>
  <c r="G2537" i="2"/>
  <c r="G2281" i="2"/>
  <c r="G285" i="2"/>
  <c r="G2749" i="2"/>
  <c r="G2880" i="2"/>
  <c r="G2750" i="2"/>
  <c r="G2751" i="2"/>
  <c r="G1437" i="2"/>
  <c r="G2734" i="2"/>
  <c r="G2681" i="2"/>
  <c r="G2688" i="2"/>
  <c r="G2691" i="2"/>
  <c r="G2700" i="2"/>
  <c r="G155" i="2"/>
  <c r="G225" i="2"/>
  <c r="G463" i="2"/>
  <c r="G579" i="2"/>
  <c r="G925" i="2"/>
  <c r="G1019" i="2"/>
  <c r="G2702" i="2"/>
  <c r="G1240" i="2"/>
  <c r="G1300" i="2"/>
  <c r="G1302" i="2"/>
  <c r="G2704" i="2"/>
  <c r="G2707" i="2"/>
  <c r="G1457" i="2"/>
  <c r="G1572" i="2"/>
  <c r="G682" i="2"/>
  <c r="G1711" i="2"/>
  <c r="G1920" i="2"/>
  <c r="G2033" i="2"/>
  <c r="G2092" i="2"/>
  <c r="G2188" i="2"/>
  <c r="G2723" i="2"/>
  <c r="G2565" i="2"/>
  <c r="G2759" i="2"/>
  <c r="G2856" i="2"/>
  <c r="G2857" i="2"/>
  <c r="G2732" i="2"/>
  <c r="G2797" i="2"/>
  <c r="G704" i="2"/>
  <c r="G817" i="2"/>
  <c r="G1347" i="2"/>
  <c r="G2145" i="2"/>
  <c r="G2391" i="2"/>
  <c r="G2526" i="2"/>
  <c r="G2228" i="2"/>
  <c r="G2764" i="2"/>
  <c r="G2546" i="2"/>
  <c r="G2286" i="2"/>
  <c r="G1752" i="2"/>
  <c r="G2018" i="2"/>
  <c r="G2353" i="2"/>
  <c r="G43" i="2"/>
  <c r="G2768" i="2"/>
  <c r="G2733" i="2"/>
  <c r="G105" i="2"/>
  <c r="G574" i="2"/>
  <c r="G2808" i="2"/>
  <c r="G2438" i="2"/>
  <c r="G2881" i="2"/>
  <c r="G2776" i="2"/>
  <c r="G684" i="2"/>
  <c r="G1925" i="2"/>
  <c r="G2172" i="2"/>
  <c r="G772" i="2"/>
  <c r="G1472" i="2"/>
  <c r="G2642" i="2"/>
  <c r="G2645" i="2"/>
  <c r="G2855" i="2"/>
  <c r="G2872" i="2"/>
  <c r="G444" i="2"/>
  <c r="G575" i="2"/>
  <c r="G842" i="2"/>
  <c r="G1067" i="2"/>
  <c r="G1178" i="2"/>
  <c r="G2798" i="2"/>
  <c r="G2858" i="2"/>
  <c r="G2966" i="2"/>
  <c r="G2306" i="2"/>
  <c r="G2883" i="2"/>
  <c r="G2884" i="2"/>
  <c r="G2885" i="2"/>
  <c r="G2886" i="2"/>
  <c r="G2887" i="2"/>
  <c r="G1370" i="2"/>
  <c r="G2901" i="2"/>
  <c r="G2912" i="2"/>
  <c r="G2747" i="2"/>
  <c r="G1884" i="2"/>
  <c r="G1739" i="2"/>
  <c r="G485" i="2"/>
  <c r="G1011" i="2"/>
  <c r="G1842" i="2"/>
  <c r="G2329" i="2"/>
  <c r="G378" i="2"/>
  <c r="G2238" i="2"/>
  <c r="G2859" i="2"/>
  <c r="G106" i="2"/>
  <c r="G1176" i="2"/>
  <c r="G2958" i="2"/>
  <c r="G1888" i="2"/>
  <c r="G1623" i="2"/>
  <c r="G2756" i="2"/>
  <c r="G818" i="2"/>
  <c r="G44" i="2"/>
  <c r="G946" i="2"/>
  <c r="G1020" i="2"/>
  <c r="G1069" i="2"/>
  <c r="G1157" i="2"/>
  <c r="G2216" i="2"/>
  <c r="G2528" i="2"/>
  <c r="G2754" i="2"/>
  <c r="G2926" i="2"/>
  <c r="G3080" i="2"/>
  <c r="G1936" i="2"/>
  <c r="G1310" i="2"/>
  <c r="G3001" i="2"/>
  <c r="G2779" i="2"/>
  <c r="G2782" i="2"/>
  <c r="G406" i="2"/>
  <c r="G468" i="2"/>
  <c r="G1131" i="2"/>
  <c r="G1132" i="2"/>
  <c r="G1138" i="2"/>
  <c r="G1499" i="2"/>
  <c r="G1718" i="2"/>
  <c r="G2788" i="2"/>
  <c r="G2796" i="2"/>
  <c r="G2062" i="2"/>
  <c r="G2831" i="2"/>
  <c r="G2529" i="2"/>
  <c r="G688" i="2"/>
  <c r="G2685" i="2"/>
  <c r="G2815" i="2"/>
  <c r="G129" i="2"/>
  <c r="G220" i="2"/>
  <c r="G320" i="2"/>
  <c r="G430" i="2"/>
  <c r="G898" i="2"/>
  <c r="G962" i="2"/>
  <c r="G1348" i="2"/>
  <c r="G1108" i="2"/>
  <c r="G1558" i="2"/>
  <c r="G1686" i="2"/>
  <c r="G2084" i="2"/>
  <c r="G2816" i="2"/>
  <c r="G2453" i="2"/>
  <c r="G2530" i="2"/>
  <c r="G2531" i="2"/>
  <c r="G2946" i="2"/>
  <c r="G2975" i="2"/>
  <c r="G2992" i="2"/>
  <c r="G1199" i="2"/>
  <c r="G2817" i="2"/>
  <c r="G2829" i="2"/>
  <c r="G2947" i="2"/>
  <c r="G1710" i="2"/>
  <c r="G2208" i="2"/>
  <c r="G182" i="2"/>
  <c r="G1006" i="2"/>
  <c r="G1289" i="2"/>
  <c r="G1860" i="2"/>
  <c r="G2217" i="2"/>
  <c r="G687" i="2"/>
  <c r="G353" i="2"/>
  <c r="G124" i="2"/>
  <c r="G2041" i="2"/>
  <c r="G3022" i="2"/>
  <c r="G748" i="2"/>
  <c r="G855" i="2"/>
  <c r="G1010" i="2"/>
  <c r="G1060" i="2"/>
  <c r="G1317" i="2"/>
  <c r="G1367" i="2"/>
  <c r="G1387" i="2"/>
  <c r="G1441" i="2"/>
  <c r="G1559" i="2"/>
  <c r="G1560" i="2"/>
  <c r="G1661" i="2"/>
  <c r="G1705" i="2"/>
  <c r="G1736" i="2"/>
  <c r="G1789" i="2"/>
  <c r="G1921" i="2"/>
  <c r="G1983" i="2"/>
  <c r="G2532" i="2"/>
  <c r="G2547" i="2"/>
  <c r="G2860" i="2"/>
  <c r="G2861" i="2"/>
  <c r="G2927" i="2"/>
  <c r="G2948" i="2"/>
  <c r="G3015" i="2"/>
  <c r="G3027" i="2"/>
  <c r="G3028" i="2"/>
  <c r="G117" i="2"/>
  <c r="G3036" i="2"/>
  <c r="G2045" i="2"/>
  <c r="G3038" i="2"/>
  <c r="G3055" i="2"/>
  <c r="G2706" i="2"/>
  <c r="G819" i="2"/>
  <c r="G1202" i="2"/>
  <c r="G1276" i="2"/>
  <c r="G1248" i="2"/>
  <c r="G3048" i="2"/>
  <c r="G2840" i="2"/>
  <c r="G914" i="2"/>
  <c r="G726" i="2"/>
  <c r="G2895" i="2"/>
  <c r="G820" i="2"/>
  <c r="G2953" i="2"/>
  <c r="G45" i="2"/>
  <c r="G2841" i="2"/>
  <c r="G2595" i="2"/>
  <c r="G2717" i="2"/>
  <c r="G3058" i="2"/>
  <c r="G3060" i="2"/>
  <c r="G50" i="2"/>
  <c r="G2845" i="2"/>
  <c r="G69" i="2"/>
  <c r="G164" i="2"/>
  <c r="G196" i="2"/>
  <c r="G197" i="2"/>
  <c r="G241" i="2"/>
  <c r="G252" i="2"/>
  <c r="G2867" i="2"/>
  <c r="G2873" i="2"/>
  <c r="G740" i="2"/>
  <c r="G874" i="2"/>
  <c r="G938" i="2"/>
  <c r="G2879" i="2"/>
  <c r="G989" i="2"/>
  <c r="G1039" i="2"/>
  <c r="G1101" i="2"/>
  <c r="G1133" i="2"/>
  <c r="G2891" i="2"/>
  <c r="G1306" i="2"/>
  <c r="G1325" i="2"/>
  <c r="G1362" i="2"/>
  <c r="G2907" i="2"/>
  <c r="G1417" i="2"/>
  <c r="G2908" i="2"/>
  <c r="G1617" i="2"/>
  <c r="G1694" i="2"/>
  <c r="G2910" i="2"/>
  <c r="G2911" i="2"/>
  <c r="G1872" i="2"/>
  <c r="G1922" i="2"/>
  <c r="G2913" i="2"/>
  <c r="G1988" i="2"/>
  <c r="G2057" i="2"/>
  <c r="G2914" i="2"/>
  <c r="G2918" i="2"/>
  <c r="G2087" i="2"/>
  <c r="G2103" i="2"/>
  <c r="G2949" i="2"/>
  <c r="G2180" i="2"/>
  <c r="G2200" i="2"/>
  <c r="G2314" i="2"/>
  <c r="G2366" i="2"/>
  <c r="G2434" i="2"/>
  <c r="G1664" i="2"/>
  <c r="G2583" i="2"/>
  <c r="G2928" i="2"/>
  <c r="G2862" i="2"/>
  <c r="G2967" i="2"/>
  <c r="G2970" i="2"/>
  <c r="G58" i="2"/>
  <c r="G262" i="2"/>
  <c r="G729" i="2"/>
  <c r="G1502" i="2"/>
  <c r="G2010" i="2"/>
  <c r="G2127" i="2"/>
  <c r="G2728" i="2"/>
  <c r="G1562" i="2"/>
  <c r="G1627" i="2"/>
  <c r="G3074" i="2"/>
  <c r="G2991" i="2"/>
  <c r="G433" i="2"/>
  <c r="G506" i="2"/>
  <c r="G903" i="2"/>
  <c r="G976" i="2"/>
  <c r="G1134" i="2"/>
  <c r="G1237" i="2"/>
  <c r="G1440" i="2"/>
  <c r="G2268" i="2"/>
  <c r="G2533" i="2"/>
  <c r="G2561" i="2"/>
  <c r="G3012" i="2"/>
  <c r="G2934" i="2"/>
  <c r="G166" i="2"/>
  <c r="G171" i="2"/>
  <c r="G174" i="2"/>
  <c r="G2937" i="2"/>
  <c r="G233" i="2"/>
  <c r="G2952" i="2"/>
  <c r="G247" i="2"/>
  <c r="G2955" i="2"/>
  <c r="G2961" i="2"/>
  <c r="G337" i="2"/>
  <c r="G2964" i="2"/>
  <c r="G379" i="2"/>
  <c r="G2971" i="2"/>
  <c r="G2972" i="2"/>
  <c r="G2976" i="2"/>
  <c r="G2978" i="2"/>
  <c r="G528" i="2"/>
  <c r="G2979" i="2"/>
  <c r="G2986" i="2"/>
  <c r="G723" i="2"/>
  <c r="G730" i="2"/>
  <c r="G2989" i="2"/>
  <c r="G975" i="2"/>
  <c r="G1022" i="2"/>
  <c r="G1053" i="2"/>
  <c r="G1061" i="2"/>
  <c r="G1191" i="2"/>
  <c r="G2990" i="2"/>
  <c r="G1309" i="2"/>
  <c r="G1313" i="2"/>
  <c r="G1563" i="2"/>
  <c r="G1582" i="2"/>
  <c r="G2994" i="2"/>
  <c r="G1632" i="2"/>
  <c r="G1637" i="2"/>
  <c r="G2997" i="2"/>
  <c r="G1690" i="2"/>
  <c r="G1742" i="2"/>
  <c r="G3006" i="2"/>
  <c r="G3019" i="2"/>
  <c r="G3032" i="2"/>
  <c r="G1790" i="2"/>
  <c r="G1804" i="2"/>
  <c r="G686" i="2"/>
  <c r="G2040" i="2"/>
  <c r="G2162" i="2"/>
  <c r="G2163" i="2"/>
  <c r="G3035" i="2"/>
  <c r="G2395" i="2"/>
  <c r="G3047" i="2"/>
  <c r="G2464" i="2"/>
  <c r="G2477" i="2"/>
  <c r="G2589" i="2"/>
  <c r="G2640" i="2"/>
  <c r="G2641" i="2"/>
  <c r="G2661" i="2"/>
  <c r="G2662" i="2"/>
  <c r="G3049" i="2"/>
  <c r="G2742" i="2"/>
  <c r="G2799" i="2"/>
  <c r="G2800" i="2"/>
  <c r="G1151" i="2"/>
  <c r="G3050" i="2"/>
  <c r="G2960" i="2"/>
  <c r="G3052" i="2"/>
  <c r="G3051" i="2"/>
  <c r="G3056" i="2"/>
  <c r="G264" i="2"/>
  <c r="G3072" i="2"/>
  <c r="G1496" i="2"/>
  <c r="G3078" i="2"/>
  <c r="G329" i="2"/>
  <c r="G431" i="2"/>
  <c r="G1086" i="2"/>
  <c r="G2897" i="2"/>
  <c r="G1564" i="2"/>
  <c r="G1785" i="2"/>
  <c r="G1985" i="2"/>
  <c r="G1986" i="2"/>
  <c r="G2332" i="2"/>
  <c r="G2584" i="2"/>
  <c r="G670" i="2"/>
  <c r="G1106" i="2"/>
  <c r="G1588" i="2"/>
  <c r="G1619" i="2"/>
  <c r="G1712" i="2"/>
  <c r="G2628" i="2"/>
  <c r="G3082" i="2"/>
  <c r="AB3" i="2"/>
  <c r="AB4" i="2" s="1"/>
  <c r="AB1" i="2"/>
  <c r="D2310" i="2" l="1"/>
  <c r="E2310" i="2"/>
  <c r="D1937" i="2"/>
  <c r="E1937" i="2"/>
  <c r="Q1" i="2"/>
  <c r="R1" i="2"/>
  <c r="S1" i="2"/>
  <c r="T1" i="2"/>
  <c r="U1" i="2"/>
  <c r="V1" i="2"/>
  <c r="W1" i="2"/>
  <c r="X1" i="2"/>
  <c r="Y1" i="2"/>
  <c r="Z1" i="2"/>
  <c r="AA1" i="2"/>
  <c r="AC1" i="2"/>
  <c r="AD1" i="2"/>
  <c r="AE1" i="2"/>
  <c r="AF1" i="2"/>
  <c r="D2136" i="2"/>
  <c r="E2136" i="2"/>
  <c r="D745" i="2"/>
  <c r="D6" i="2"/>
  <c r="D7" i="2"/>
  <c r="D8" i="2"/>
  <c r="D9" i="2"/>
  <c r="D10" i="2"/>
  <c r="D531" i="2"/>
  <c r="D1391" i="2"/>
  <c r="D49" i="2"/>
  <c r="D54" i="2"/>
  <c r="D161" i="2"/>
  <c r="D235" i="2"/>
  <c r="D275" i="2"/>
  <c r="D279" i="2"/>
  <c r="D308" i="2"/>
  <c r="D309" i="2"/>
  <c r="D56" i="2"/>
  <c r="D414" i="2"/>
  <c r="D415" i="2"/>
  <c r="D68" i="2"/>
  <c r="D513" i="2"/>
  <c r="D2672" i="2"/>
  <c r="D73" i="2"/>
  <c r="D647" i="2"/>
  <c r="D719" i="2"/>
  <c r="D74" i="2"/>
  <c r="D76" i="2"/>
  <c r="D1031" i="2"/>
  <c r="D85" i="2"/>
  <c r="D1109" i="2"/>
  <c r="D1070" i="2"/>
  <c r="D1250" i="2"/>
  <c r="D409" i="2"/>
  <c r="D1333" i="2"/>
  <c r="D89" i="2"/>
  <c r="D1508" i="2"/>
  <c r="D1392" i="2"/>
  <c r="D1836" i="2"/>
  <c r="D91" i="2"/>
  <c r="D1881" i="2"/>
  <c r="D1905" i="2"/>
  <c r="D1938" i="2"/>
  <c r="D1944" i="2"/>
  <c r="D96" i="2"/>
  <c r="D2066" i="2"/>
  <c r="D112" i="2"/>
  <c r="D114" i="2"/>
  <c r="D2341" i="2"/>
  <c r="D2348" i="2"/>
  <c r="D128" i="2"/>
  <c r="D130" i="2"/>
  <c r="D2409" i="2"/>
  <c r="D145" i="2"/>
  <c r="D160" i="2"/>
  <c r="D2931" i="2"/>
  <c r="D205" i="2"/>
  <c r="D287" i="2"/>
  <c r="D1509" i="2"/>
  <c r="D60" i="2"/>
  <c r="D1378" i="2"/>
  <c r="D1753" i="2"/>
  <c r="D372" i="2"/>
  <c r="D373" i="2"/>
  <c r="D405" i="2"/>
  <c r="D560" i="2"/>
  <c r="D734" i="2"/>
  <c r="D969" i="2"/>
  <c r="D1766" i="2"/>
  <c r="D1906" i="2"/>
  <c r="D2325" i="2"/>
  <c r="D2371" i="2"/>
  <c r="D2422" i="2"/>
  <c r="D2555" i="2"/>
  <c r="D2892" i="2"/>
  <c r="D1192" i="2"/>
  <c r="D1510" i="2"/>
  <c r="D1772" i="2"/>
  <c r="D64" i="2"/>
  <c r="D2623" i="2"/>
  <c r="D892" i="2"/>
  <c r="D672" i="2"/>
  <c r="D1251" i="2"/>
  <c r="D1279" i="2"/>
  <c r="D1678" i="2"/>
  <c r="D1740" i="2"/>
  <c r="D2059" i="2"/>
  <c r="D2312" i="2"/>
  <c r="D2416" i="2"/>
  <c r="D2805" i="2"/>
  <c r="D72" i="2"/>
  <c r="D256" i="2"/>
  <c r="D70" i="2"/>
  <c r="D190" i="2"/>
  <c r="D199" i="2"/>
  <c r="D350" i="2"/>
  <c r="D163" i="2"/>
  <c r="D500" i="2"/>
  <c r="D518" i="2"/>
  <c r="D165" i="2"/>
  <c r="D1307" i="2"/>
  <c r="D167" i="2"/>
  <c r="D1596" i="2"/>
  <c r="D2015" i="2"/>
  <c r="D2047" i="2"/>
  <c r="D2101" i="2"/>
  <c r="D963" i="2"/>
  <c r="D2110" i="2"/>
  <c r="D2344" i="2"/>
  <c r="D2398" i="2"/>
  <c r="D168" i="2"/>
  <c r="D170" i="2"/>
  <c r="D71" i="2"/>
  <c r="D254" i="2"/>
  <c r="D2562" i="2"/>
  <c r="D179" i="2"/>
  <c r="D157" i="2"/>
  <c r="D507" i="2"/>
  <c r="D514" i="2"/>
  <c r="D193" i="2"/>
  <c r="D1393" i="2"/>
  <c r="D204" i="2"/>
  <c r="D209" i="2"/>
  <c r="D2649" i="2"/>
  <c r="D77" i="2"/>
  <c r="D521" i="2"/>
  <c r="D823" i="2"/>
  <c r="D2806" i="2"/>
  <c r="D191" i="2"/>
  <c r="D248" i="2"/>
  <c r="D307" i="2"/>
  <c r="D321" i="2"/>
  <c r="D327" i="2"/>
  <c r="D369" i="2"/>
  <c r="D370" i="2"/>
  <c r="D733" i="2"/>
  <c r="D850" i="2"/>
  <c r="D970" i="2"/>
  <c r="D1225" i="2"/>
  <c r="D1373" i="2"/>
  <c r="D1569" i="2"/>
  <c r="D1771" i="2"/>
  <c r="D1864" i="2"/>
  <c r="D2209" i="2"/>
  <c r="D2261" i="2"/>
  <c r="D2342" i="2"/>
  <c r="D2667" i="2"/>
  <c r="D2785" i="2"/>
  <c r="D2807" i="2"/>
  <c r="D2982" i="2"/>
  <c r="D207" i="2"/>
  <c r="D208" i="2"/>
  <c r="D81" i="2"/>
  <c r="D82" i="2"/>
  <c r="D83" i="2"/>
  <c r="D84" i="2"/>
  <c r="D1110" i="2"/>
  <c r="D1332" i="2"/>
  <c r="D2214" i="2"/>
  <c r="D47" i="2"/>
  <c r="D92" i="2"/>
  <c r="D2450" i="2"/>
  <c r="D1055" i="2"/>
  <c r="D3025" i="2"/>
  <c r="D93" i="2"/>
  <c r="D1366" i="2"/>
  <c r="D304" i="2"/>
  <c r="D211" i="2"/>
  <c r="D404" i="2"/>
  <c r="D410" i="2"/>
  <c r="D510" i="2"/>
  <c r="D212" i="2"/>
  <c r="D223" i="2"/>
  <c r="D849" i="2"/>
  <c r="D224" i="2"/>
  <c r="D906" i="2"/>
  <c r="D935" i="2"/>
  <c r="D1183" i="2"/>
  <c r="D1228" i="2"/>
  <c r="D231" i="2"/>
  <c r="D242" i="2"/>
  <c r="D1512" i="2"/>
  <c r="D1513" i="2"/>
  <c r="D1643" i="2"/>
  <c r="D1768" i="2"/>
  <c r="D1786" i="2"/>
  <c r="D249" i="2"/>
  <c r="D2269" i="2"/>
  <c r="D2387" i="2"/>
  <c r="D250" i="2"/>
  <c r="D251" i="2"/>
  <c r="D2674" i="2"/>
  <c r="D259" i="2"/>
  <c r="D2983" i="2"/>
  <c r="D359" i="2"/>
  <c r="D136" i="2"/>
  <c r="D186" i="2"/>
  <c r="D712" i="2"/>
  <c r="D1104" i="2"/>
  <c r="D1514" i="2"/>
  <c r="D1590" i="2"/>
  <c r="D1591" i="2"/>
  <c r="D1679" i="2"/>
  <c r="D2034" i="2"/>
  <c r="D2356" i="2"/>
  <c r="D2570" i="2"/>
  <c r="D2613" i="2"/>
  <c r="D602" i="2"/>
  <c r="D98" i="2"/>
  <c r="D52" i="2"/>
  <c r="D1071" i="2"/>
  <c r="D1451" i="2"/>
  <c r="D1515" i="2"/>
  <c r="D2539" i="2"/>
  <c r="D2689" i="2"/>
  <c r="D100" i="2"/>
  <c r="D2809" i="2"/>
  <c r="D315" i="2"/>
  <c r="D2130" i="2"/>
  <c r="D103" i="2"/>
  <c r="D283" i="2"/>
  <c r="D658" i="2"/>
  <c r="D788" i="2"/>
  <c r="D991" i="2"/>
  <c r="D1034" i="2"/>
  <c r="D1278" i="2"/>
  <c r="D1606" i="2"/>
  <c r="D1839" i="2"/>
  <c r="D1871" i="2"/>
  <c r="D2358" i="2"/>
  <c r="D2483" i="2"/>
  <c r="D2543" i="2"/>
  <c r="D2701" i="2"/>
  <c r="D2810" i="2"/>
  <c r="D265" i="2"/>
  <c r="D3031" i="2"/>
  <c r="D255" i="2"/>
  <c r="D603" i="2"/>
  <c r="D653" i="2"/>
  <c r="D789" i="2"/>
  <c r="D865" i="2"/>
  <c r="D1111" i="2"/>
  <c r="D1252" i="2"/>
  <c r="D1357" i="2"/>
  <c r="D1394" i="2"/>
  <c r="D2431" i="2"/>
  <c r="D2461" i="2"/>
  <c r="D2786" i="2"/>
  <c r="D2811" i="2"/>
  <c r="D2932" i="2"/>
  <c r="D339" i="2"/>
  <c r="D1684" i="2"/>
  <c r="D1773" i="2"/>
  <c r="D749" i="2"/>
  <c r="D1573" i="2"/>
  <c r="D1759" i="2"/>
  <c r="D1929" i="2"/>
  <c r="D1940" i="2"/>
  <c r="D466" i="2"/>
  <c r="D2591" i="2"/>
  <c r="D2603" i="2"/>
  <c r="D2787" i="2"/>
  <c r="D2812" i="2"/>
  <c r="D3011" i="2"/>
  <c r="D2484" i="2"/>
  <c r="D108" i="2"/>
  <c r="D515" i="2"/>
  <c r="D762" i="2"/>
  <c r="D673" i="2"/>
  <c r="D1286" i="2"/>
  <c r="D2140" i="2"/>
  <c r="D2675" i="2"/>
  <c r="D109" i="2"/>
  <c r="D2722" i="2"/>
  <c r="D118" i="2"/>
  <c r="D119" i="2"/>
  <c r="D120" i="2"/>
  <c r="D121" i="2"/>
  <c r="D123" i="2"/>
  <c r="D1478" i="2"/>
  <c r="D126" i="2"/>
  <c r="D127" i="2"/>
  <c r="D266" i="2"/>
  <c r="D487" i="2"/>
  <c r="D1483" i="2"/>
  <c r="D134" i="2"/>
  <c r="D2270" i="2"/>
  <c r="D270" i="2"/>
  <c r="D1044" i="2"/>
  <c r="D271" i="2"/>
  <c r="D2105" i="2"/>
  <c r="D1358" i="2"/>
  <c r="D1516" i="2"/>
  <c r="D2630" i="2"/>
  <c r="D272" i="2"/>
  <c r="D2670" i="2"/>
  <c r="D2696" i="2"/>
  <c r="D2813" i="2"/>
  <c r="D3003" i="2"/>
  <c r="D393" i="2"/>
  <c r="D1274" i="2"/>
  <c r="D2300" i="2"/>
  <c r="D2814" i="2"/>
  <c r="D471" i="2"/>
  <c r="D274" i="2"/>
  <c r="D141" i="2"/>
  <c r="D142" i="2"/>
  <c r="D53" i="2"/>
  <c r="D2538" i="2"/>
  <c r="D278" i="2"/>
  <c r="D258" i="2"/>
  <c r="D385" i="2"/>
  <c r="D412" i="2"/>
  <c r="D282" i="2"/>
  <c r="D461" i="2"/>
  <c r="D284" i="2"/>
  <c r="D296" i="2"/>
  <c r="D305" i="2"/>
  <c r="D306" i="2"/>
  <c r="D783" i="2"/>
  <c r="D790" i="2"/>
  <c r="D824" i="2"/>
  <c r="D883" i="2"/>
  <c r="D929" i="2"/>
  <c r="D973" i="2"/>
  <c r="D999" i="2"/>
  <c r="D1147" i="2"/>
  <c r="D675" i="2"/>
  <c r="D1186" i="2"/>
  <c r="D314" i="2"/>
  <c r="D323" i="2"/>
  <c r="D1344" i="2"/>
  <c r="D324" i="2"/>
  <c r="D1517" i="2"/>
  <c r="D1776" i="2"/>
  <c r="D1826" i="2"/>
  <c r="D1876" i="2"/>
  <c r="D331" i="2"/>
  <c r="D332" i="2"/>
  <c r="D2165" i="2"/>
  <c r="D336" i="2"/>
  <c r="D2185" i="2"/>
  <c r="D2252" i="2"/>
  <c r="D2290" i="2"/>
  <c r="D2293" i="2"/>
  <c r="D340" i="2"/>
  <c r="D341" i="2"/>
  <c r="D343" i="2"/>
  <c r="D344" i="2"/>
  <c r="D2604" i="2"/>
  <c r="D351" i="2"/>
  <c r="D2646" i="2"/>
  <c r="D352" i="2"/>
  <c r="D354" i="2"/>
  <c r="D2773" i="2"/>
  <c r="D356" i="2"/>
  <c r="D2804" i="2"/>
  <c r="D358" i="2"/>
  <c r="D2864" i="2"/>
  <c r="D361" i="2"/>
  <c r="D2957" i="2"/>
  <c r="D363" i="2"/>
  <c r="D2984" i="2"/>
  <c r="D3041" i="2"/>
  <c r="D144" i="2"/>
  <c r="D146" i="2"/>
  <c r="D147" i="2"/>
  <c r="D2636" i="2"/>
  <c r="D149" i="2"/>
  <c r="D150" i="2"/>
  <c r="D75" i="2"/>
  <c r="D298" i="2"/>
  <c r="D137" i="2"/>
  <c r="D669" i="2"/>
  <c r="D360" i="2"/>
  <c r="D837" i="2"/>
  <c r="D894" i="2"/>
  <c r="D954" i="2"/>
  <c r="D365" i="2"/>
  <c r="D676" i="2"/>
  <c r="D376" i="2"/>
  <c r="D380" i="2"/>
  <c r="D1395" i="2"/>
  <c r="D1419" i="2"/>
  <c r="D1631" i="2"/>
  <c r="D384" i="2"/>
  <c r="D1691" i="2"/>
  <c r="D386" i="2"/>
  <c r="D1946" i="2"/>
  <c r="D1994" i="2"/>
  <c r="D2063" i="2"/>
  <c r="D2075" i="2"/>
  <c r="D388" i="2"/>
  <c r="D2149" i="2"/>
  <c r="D2424" i="2"/>
  <c r="D2557" i="2"/>
  <c r="D2558" i="2"/>
  <c r="D389" i="2"/>
  <c r="D390" i="2"/>
  <c r="D408" i="2"/>
  <c r="D413" i="2"/>
  <c r="D691" i="2"/>
  <c r="D3070" i="2"/>
  <c r="D198" i="2"/>
  <c r="D139" i="2"/>
  <c r="D425" i="2"/>
  <c r="D791" i="2"/>
  <c r="D792" i="2"/>
  <c r="D1497" i="2"/>
  <c r="D428" i="2"/>
  <c r="D1660" i="2"/>
  <c r="D429" i="2"/>
  <c r="D437" i="2"/>
  <c r="D438" i="2"/>
  <c r="D228" i="2"/>
  <c r="D3061" i="2"/>
  <c r="D11" i="2"/>
  <c r="D392" i="2"/>
  <c r="D434" i="2"/>
  <c r="D1080" i="2"/>
  <c r="D1112" i="2"/>
  <c r="D1232" i="2"/>
  <c r="D1275" i="2"/>
  <c r="D1396" i="2"/>
  <c r="D1449" i="2"/>
  <c r="D1947" i="2"/>
  <c r="D2048" i="2"/>
  <c r="D2114" i="2"/>
  <c r="D2411" i="2"/>
  <c r="D2664" i="2"/>
  <c r="D2761" i="2"/>
  <c r="D2789" i="2"/>
  <c r="D3044" i="2"/>
  <c r="D243" i="2"/>
  <c r="D222" i="2"/>
  <c r="D245" i="2"/>
  <c r="D3023" i="2"/>
  <c r="D1375" i="2"/>
  <c r="D441" i="2"/>
  <c r="D173" i="2"/>
  <c r="D263" i="2"/>
  <c r="D635" i="2"/>
  <c r="D1113" i="2"/>
  <c r="D2380" i="2"/>
  <c r="D442" i="2"/>
  <c r="D1465" i="2"/>
  <c r="D583" i="2"/>
  <c r="D2129" i="2"/>
  <c r="D12" i="2"/>
  <c r="D985" i="2"/>
  <c r="D291" i="2"/>
  <c r="D941" i="2"/>
  <c r="D1009" i="2"/>
  <c r="D1349" i="2"/>
  <c r="D529" i="2"/>
  <c r="D532" i="2"/>
  <c r="D1519" i="2"/>
  <c r="D1948" i="2"/>
  <c r="D2223" i="2"/>
  <c r="D2388" i="2"/>
  <c r="D2432" i="2"/>
  <c r="D2962" i="2"/>
  <c r="D2235" i="2"/>
  <c r="D295" i="2"/>
  <c r="D449" i="2"/>
  <c r="D417" i="2"/>
  <c r="D1330" i="2"/>
  <c r="D450" i="2"/>
  <c r="D1838" i="2"/>
  <c r="D451" i="2"/>
  <c r="D452" i="2"/>
  <c r="D2364" i="2"/>
  <c r="D453" i="2"/>
  <c r="D2933" i="2"/>
  <c r="D192" i="2"/>
  <c r="D297" i="2"/>
  <c r="D334" i="2"/>
  <c r="D2831" i="2"/>
  <c r="D188" i="2"/>
  <c r="D203" i="2"/>
  <c r="D457" i="2"/>
  <c r="D459" i="2"/>
  <c r="D469" i="2"/>
  <c r="D904" i="2"/>
  <c r="D1000" i="2"/>
  <c r="D1007" i="2"/>
  <c r="D2487" i="2"/>
  <c r="D1027" i="2"/>
  <c r="D1036" i="2"/>
  <c r="D1052" i="2"/>
  <c r="D1114" i="2"/>
  <c r="D1521" i="2"/>
  <c r="D470" i="2"/>
  <c r="D494" i="2"/>
  <c r="D1476" i="2"/>
  <c r="D1520" i="2"/>
  <c r="D1833" i="2"/>
  <c r="D1893" i="2"/>
  <c r="D2104" i="2"/>
  <c r="D497" i="2"/>
  <c r="D499" i="2"/>
  <c r="D2386" i="2"/>
  <c r="D502" i="2"/>
  <c r="D2690" i="2"/>
  <c r="D505" i="2"/>
  <c r="D2739" i="2"/>
  <c r="D2818" i="2"/>
  <c r="D509" i="2"/>
  <c r="D3000" i="2"/>
  <c r="D300" i="2"/>
  <c r="D1636" i="2"/>
  <c r="D2554" i="2"/>
  <c r="D1255" i="2"/>
  <c r="D511" i="2"/>
  <c r="D522" i="2"/>
  <c r="D533" i="2"/>
  <c r="D2781" i="2"/>
  <c r="D310" i="2"/>
  <c r="D210" i="2"/>
  <c r="D696" i="2"/>
  <c r="D1987" i="2"/>
  <c r="D2002" i="2"/>
  <c r="D2158" i="2"/>
  <c r="D2634" i="2"/>
  <c r="D2647" i="2"/>
  <c r="D2819" i="2"/>
  <c r="D2903" i="2"/>
  <c r="D330" i="2"/>
  <c r="D229" i="2"/>
  <c r="D59" i="2"/>
  <c r="D2021" i="2"/>
  <c r="D535" i="2"/>
  <c r="D2473" i="2"/>
  <c r="D3007" i="2"/>
  <c r="D346" i="2"/>
  <c r="D3008" i="2"/>
  <c r="D1950" i="2"/>
  <c r="D2106" i="2"/>
  <c r="D2215" i="2"/>
  <c r="D2488" i="2"/>
  <c r="D2676" i="2"/>
  <c r="D1372" i="2"/>
  <c r="D418" i="2"/>
  <c r="D184" i="2"/>
  <c r="D2184" i="2"/>
  <c r="D349" i="2"/>
  <c r="D357" i="2"/>
  <c r="D367" i="2"/>
  <c r="D368" i="2"/>
  <c r="D961" i="2"/>
  <c r="D2479" i="2"/>
  <c r="D1326" i="2"/>
  <c r="D2724" i="2"/>
  <c r="D3005" i="2"/>
  <c r="D290" i="2"/>
  <c r="D175" i="2"/>
  <c r="D984" i="2"/>
  <c r="D1066" i="2"/>
  <c r="D1341" i="2"/>
  <c r="D1908" i="2"/>
  <c r="D1951" i="2"/>
  <c r="D2900" i="2"/>
  <c r="D1243" i="2"/>
  <c r="D2212" i="2"/>
  <c r="D401" i="2"/>
  <c r="D2236" i="2"/>
  <c r="D2535" i="2"/>
  <c r="D13" i="2"/>
  <c r="D1115" i="2"/>
  <c r="D2373" i="2"/>
  <c r="D2192" i="2"/>
  <c r="D483" i="2"/>
  <c r="D432" i="2"/>
  <c r="D986" i="2"/>
  <c r="D1731" i="2"/>
  <c r="D2271" i="2"/>
  <c r="D775" i="2"/>
  <c r="D1629" i="2"/>
  <c r="D267" i="2"/>
  <c r="D447" i="2"/>
  <c r="D480" i="2"/>
  <c r="D530" i="2"/>
  <c r="D793" i="2"/>
  <c r="D1043" i="2"/>
  <c r="D2489" i="2"/>
  <c r="D1522" i="2"/>
  <c r="D1579" i="2"/>
  <c r="D537" i="2"/>
  <c r="D1851" i="2"/>
  <c r="D2175" i="2"/>
  <c r="D2249" i="2"/>
  <c r="D2266" i="2"/>
  <c r="D690" i="2"/>
  <c r="D2924" i="2"/>
  <c r="D14" i="2"/>
  <c r="D527" i="2"/>
  <c r="D467" i="2"/>
  <c r="D472" i="2"/>
  <c r="D2285" i="2"/>
  <c r="D15" i="2"/>
  <c r="D475" i="2"/>
  <c r="D1224" i="2"/>
  <c r="D477" i="2"/>
  <c r="D16" i="2"/>
  <c r="D478" i="2"/>
  <c r="D1064" i="2"/>
  <c r="D446" i="2"/>
  <c r="D455" i="2"/>
  <c r="D983" i="2"/>
  <c r="D407" i="2"/>
  <c r="D2061" i="2"/>
  <c r="D2065" i="2"/>
  <c r="D481" i="2"/>
  <c r="D2284" i="2"/>
  <c r="D621" i="2"/>
  <c r="D17" i="2"/>
  <c r="D724" i="2"/>
  <c r="D538" i="2"/>
  <c r="D551" i="2"/>
  <c r="D504" i="2"/>
  <c r="D552" i="2"/>
  <c r="D544" i="2"/>
  <c r="D617" i="2"/>
  <c r="D554" i="2"/>
  <c r="D784" i="2"/>
  <c r="D884" i="2"/>
  <c r="D555" i="2"/>
  <c r="D1116" i="2"/>
  <c r="D1342" i="2"/>
  <c r="D1445" i="2"/>
  <c r="D1454" i="2"/>
  <c r="D1523" i="2"/>
  <c r="D1682" i="2"/>
  <c r="D1726" i="2"/>
  <c r="D561" i="2"/>
  <c r="D1803" i="2"/>
  <c r="D1909" i="2"/>
  <c r="D1952" i="2"/>
  <c r="D2003" i="2"/>
  <c r="D2254" i="2"/>
  <c r="D2259" i="2"/>
  <c r="D2360" i="2"/>
  <c r="D2397" i="2"/>
  <c r="D2027" i="2"/>
  <c r="D2774" i="2"/>
  <c r="D2820" i="2"/>
  <c r="D2821" i="2"/>
  <c r="D566" i="2"/>
  <c r="D580" i="2"/>
  <c r="D2822" i="2"/>
  <c r="D486" i="2"/>
  <c r="D51" i="2"/>
  <c r="D3069" i="2"/>
  <c r="D18" i="2"/>
  <c r="D80" i="2"/>
  <c r="D138" i="2"/>
  <c r="D2279" i="2"/>
  <c r="D2308" i="2"/>
  <c r="D525" i="2"/>
  <c r="D19" i="2"/>
  <c r="D1315" i="2"/>
  <c r="D2890" i="2"/>
  <c r="D547" i="2"/>
  <c r="D226" i="2"/>
  <c r="D387" i="2"/>
  <c r="D1079" i="2"/>
  <c r="D965" i="2"/>
  <c r="D2115" i="2"/>
  <c r="D3053" i="2"/>
  <c r="D570" i="2"/>
  <c r="D571" i="2"/>
  <c r="D846" i="2"/>
  <c r="D132" i="2"/>
  <c r="D721" i="2"/>
  <c r="D1287" i="2"/>
  <c r="D2440" i="2"/>
  <c r="D572" i="2"/>
  <c r="D573" i="2"/>
  <c r="D586" i="2"/>
  <c r="D587" i="2"/>
  <c r="D545" i="2"/>
  <c r="D549" i="2"/>
  <c r="D563" i="2"/>
  <c r="D595" i="2"/>
  <c r="D618" i="2"/>
  <c r="D643" i="2"/>
  <c r="D646" i="2"/>
  <c r="D794" i="2"/>
  <c r="D917" i="2"/>
  <c r="D918" i="2"/>
  <c r="D2824" i="2"/>
  <c r="D1093" i="2"/>
  <c r="D1466" i="2"/>
  <c r="D1601" i="2"/>
  <c r="D1698" i="2"/>
  <c r="D588" i="2"/>
  <c r="D1849" i="2"/>
  <c r="D598" i="2"/>
  <c r="D601" i="2"/>
  <c r="D2346" i="2"/>
  <c r="D2454" i="2"/>
  <c r="D605" i="2"/>
  <c r="D2549" i="2"/>
  <c r="D2569" i="2"/>
  <c r="D2719" i="2"/>
  <c r="D2720" i="2"/>
  <c r="D2790" i="2"/>
  <c r="D2823" i="2"/>
  <c r="D2874" i="2"/>
  <c r="D609" i="2"/>
  <c r="D2993" i="2"/>
  <c r="D3073" i="2"/>
  <c r="D1154" i="2"/>
  <c r="D1308" i="2"/>
  <c r="D122" i="2"/>
  <c r="D610" i="2"/>
  <c r="D3020" i="2"/>
  <c r="D411" i="2"/>
  <c r="D582" i="2"/>
  <c r="D1398" i="2"/>
  <c r="D619" i="2"/>
  <c r="D261" i="2"/>
  <c r="D399" i="2"/>
  <c r="D695" i="2"/>
  <c r="D620" i="2"/>
  <c r="D934" i="2"/>
  <c r="D951" i="2"/>
  <c r="D629" i="2"/>
  <c r="D1117" i="2"/>
  <c r="D1118" i="2"/>
  <c r="D1206" i="2"/>
  <c r="D1322" i="2"/>
  <c r="D1359" i="2"/>
  <c r="D1376" i="2"/>
  <c r="D1397" i="2"/>
  <c r="D1580" i="2"/>
  <c r="D630" i="2"/>
  <c r="D1719" i="2"/>
  <c r="D1777" i="2"/>
  <c r="D632" i="2"/>
  <c r="D1910" i="2"/>
  <c r="D1953" i="2"/>
  <c r="D1993" i="2"/>
  <c r="D2004" i="2"/>
  <c r="D2147" i="2"/>
  <c r="D2336" i="2"/>
  <c r="D634" i="2"/>
  <c r="D2430" i="2"/>
  <c r="D637" i="2"/>
  <c r="D2605" i="2"/>
  <c r="D2116" i="2"/>
  <c r="D2888" i="2"/>
  <c r="D3009" i="2"/>
  <c r="D640" i="2"/>
  <c r="D20" i="2"/>
  <c r="D21" i="2"/>
  <c r="D2060" i="2"/>
  <c r="D593" i="2"/>
  <c r="D2708" i="2"/>
  <c r="D99" i="2"/>
  <c r="D2935" i="2"/>
  <c r="D644" i="2"/>
  <c r="D1566" i="2"/>
  <c r="D2085" i="2"/>
  <c r="D2566" i="2"/>
  <c r="D22" i="2"/>
  <c r="D611" i="2"/>
  <c r="D613" i="2"/>
  <c r="D2474" i="2"/>
  <c r="D1639" i="2"/>
  <c r="D650" i="2"/>
  <c r="D654" i="2"/>
  <c r="D512" i="2"/>
  <c r="D663" i="2"/>
  <c r="D1094" i="2"/>
  <c r="D2730" i="2"/>
  <c r="D2825" i="2"/>
  <c r="D482" i="2"/>
  <c r="D623" i="2"/>
  <c r="D980" i="2"/>
  <c r="D2898" i="2"/>
  <c r="D2737" i="2"/>
  <c r="D143" i="2"/>
  <c r="D435" i="2"/>
  <c r="D1858" i="2"/>
  <c r="D2468" i="2"/>
  <c r="D381" i="2"/>
  <c r="D1041" i="2"/>
  <c r="D1256" i="2"/>
  <c r="D1399" i="2"/>
  <c r="D1400" i="2"/>
  <c r="D2327" i="2"/>
  <c r="D2709" i="2"/>
  <c r="D648" i="2"/>
  <c r="D1887" i="2"/>
  <c r="D694" i="2"/>
  <c r="D708" i="2"/>
  <c r="D1233" i="2"/>
  <c r="D1257" i="2"/>
  <c r="D1577" i="2"/>
  <c r="D1989" i="2"/>
  <c r="D2081" i="2"/>
  <c r="D2826" i="2"/>
  <c r="D652" i="2"/>
  <c r="D651" i="2"/>
  <c r="D490" i="2"/>
  <c r="D1271" i="2"/>
  <c r="D110" i="2"/>
  <c r="D236" i="2"/>
  <c r="D796" i="2"/>
  <c r="D1024" i="2"/>
  <c r="D312" i="2"/>
  <c r="D516" i="2"/>
  <c r="D576" i="2"/>
  <c r="D2082" i="2"/>
  <c r="D227" i="2"/>
  <c r="D426" i="2"/>
  <c r="D845" i="2"/>
  <c r="D655" i="2"/>
  <c r="D1368" i="2"/>
  <c r="D2677" i="2"/>
  <c r="D899" i="2"/>
  <c r="D697" i="2"/>
  <c r="D1620" i="2"/>
  <c r="D2304" i="2"/>
  <c r="D1013" i="2"/>
  <c r="D596" i="2"/>
  <c r="D797" i="2"/>
  <c r="D1018" i="2"/>
  <c r="D1831" i="2"/>
  <c r="D714" i="2"/>
  <c r="D1456" i="2"/>
  <c r="D86" i="2"/>
  <c r="D371" i="2"/>
  <c r="D798" i="2"/>
  <c r="D859" i="2"/>
  <c r="D1644" i="2"/>
  <c r="D717" i="2"/>
  <c r="D1820" i="2"/>
  <c r="D2064" i="2"/>
  <c r="D2098" i="2"/>
  <c r="D2131" i="2"/>
  <c r="D656" i="2"/>
  <c r="D2995" i="2"/>
  <c r="D3033" i="2"/>
  <c r="D213" i="2"/>
  <c r="D2871" i="2"/>
  <c r="D1163" i="2"/>
  <c r="D2013" i="2"/>
  <c r="D718" i="2"/>
  <c r="D1857" i="2"/>
  <c r="D727" i="2"/>
  <c r="D23" i="2"/>
  <c r="D731" i="2"/>
  <c r="D1488" i="2"/>
  <c r="D939" i="2"/>
  <c r="D799" i="2"/>
  <c r="D2028" i="2"/>
  <c r="D257" i="2"/>
  <c r="D896" i="2"/>
  <c r="D1090" i="2"/>
  <c r="D2237" i="2"/>
  <c r="D2491" i="2"/>
  <c r="D2492" i="2"/>
  <c r="D2493" i="2"/>
  <c r="D2668" i="2"/>
  <c r="D1258" i="2"/>
  <c r="D1870" i="2"/>
  <c r="D915" i="2"/>
  <c r="D2182" i="2"/>
  <c r="D1210" i="2"/>
  <c r="D3065" i="2"/>
  <c r="D1119" i="2"/>
  <c r="D152" i="2"/>
  <c r="D936" i="2"/>
  <c r="D937" i="2"/>
  <c r="D1672" i="2"/>
  <c r="D2186" i="2"/>
  <c r="D657" i="2"/>
  <c r="D693" i="2"/>
  <c r="D744" i="2"/>
  <c r="D293" i="2"/>
  <c r="D800" i="2"/>
  <c r="D2274" i="2"/>
  <c r="D1078" i="2"/>
  <c r="D1229" i="2"/>
  <c r="D1911" i="2"/>
  <c r="D2206" i="2"/>
  <c r="D2791" i="2"/>
  <c r="D2827" i="2"/>
  <c r="D3017" i="2"/>
  <c r="D746" i="2"/>
  <c r="D1161" i="2"/>
  <c r="D2950" i="2"/>
  <c r="D659" i="2"/>
  <c r="D683" i="2"/>
  <c r="D699" i="2"/>
  <c r="D2644" i="2"/>
  <c r="D2731" i="2"/>
  <c r="D2780" i="2"/>
  <c r="D322" i="2"/>
  <c r="D1259" i="2"/>
  <c r="D1418" i="2"/>
  <c r="D1524" i="2"/>
  <c r="D2097" i="2"/>
  <c r="D2257" i="2"/>
  <c r="D2359" i="2"/>
  <c r="D2622" i="2"/>
  <c r="D2678" i="2"/>
  <c r="D2718" i="2"/>
  <c r="D3016" i="2"/>
  <c r="D761" i="2"/>
  <c r="D1861" i="2"/>
  <c r="D703" i="2"/>
  <c r="D764" i="2"/>
  <c r="D493" i="2"/>
  <c r="D2138" i="2"/>
  <c r="D2164" i="2"/>
  <c r="D705" i="2"/>
  <c r="D2494" i="2"/>
  <c r="D1095" i="2"/>
  <c r="D1760" i="2"/>
  <c r="D232" i="2"/>
  <c r="D237" i="2"/>
  <c r="D567" i="2"/>
  <c r="D631" i="2"/>
  <c r="D1072" i="2"/>
  <c r="D1260" i="2"/>
  <c r="D1294" i="2"/>
  <c r="D1525" i="2"/>
  <c r="D1683" i="2"/>
  <c r="D1780" i="2"/>
  <c r="D1853" i="2"/>
  <c r="D2036" i="2"/>
  <c r="D2191" i="2"/>
  <c r="D2412" i="2"/>
  <c r="D2495" i="2"/>
  <c r="D2686" i="2"/>
  <c r="D2870" i="2"/>
  <c r="D3045" i="2"/>
  <c r="D1645" i="2"/>
  <c r="D2415" i="2"/>
  <c r="D2612" i="2"/>
  <c r="D2896" i="2"/>
  <c r="D2176" i="2"/>
  <c r="D540" i="2"/>
  <c r="D553" i="2"/>
  <c r="D742" i="2"/>
  <c r="D838" i="2"/>
  <c r="D1873" i="2"/>
  <c r="D1166" i="2"/>
  <c r="D1498" i="2"/>
  <c r="D1526" i="2"/>
  <c r="D680" i="2"/>
  <c r="D1869" i="2"/>
  <c r="D2210" i="2"/>
  <c r="D2283" i="2"/>
  <c r="D2355" i="2"/>
  <c r="D2455" i="2"/>
  <c r="D2743" i="2"/>
  <c r="D2746" i="2"/>
  <c r="D770" i="2"/>
  <c r="D3068" i="2"/>
  <c r="D24" i="2"/>
  <c r="D771" i="2"/>
  <c r="D664" i="2"/>
  <c r="D801" i="2"/>
  <c r="D821" i="2"/>
  <c r="D706" i="2"/>
  <c r="D1360" i="2"/>
  <c r="D1462" i="2"/>
  <c r="D1745" i="2"/>
  <c r="D2244" i="2"/>
  <c r="D2421" i="2"/>
  <c r="D2624" i="2"/>
  <c r="D2893" i="2"/>
  <c r="D773" i="2"/>
  <c r="D851" i="2"/>
  <c r="D852" i="2"/>
  <c r="D1506" i="2"/>
  <c r="D1527" i="2"/>
  <c r="D2496" i="2"/>
  <c r="D802" i="2"/>
  <c r="D1291" i="2"/>
  <c r="D1298" i="2"/>
  <c r="D1730" i="2"/>
  <c r="D2905" i="2"/>
  <c r="D3054" i="2"/>
  <c r="D782" i="2"/>
  <c r="D822" i="2"/>
  <c r="D1990" i="2"/>
  <c r="D25" i="2"/>
  <c r="D1092" i="2"/>
  <c r="D67" i="2"/>
  <c r="D26" i="2"/>
  <c r="D2296" i="2"/>
  <c r="D711" i="2"/>
  <c r="D318" i="2"/>
  <c r="D722" i="2"/>
  <c r="D728" i="2"/>
  <c r="D737" i="2"/>
  <c r="D1184" i="2"/>
  <c r="D738" i="2"/>
  <c r="D677" i="2"/>
  <c r="D1827" i="2"/>
  <c r="D1955" i="2"/>
  <c r="D1995" i="2"/>
  <c r="D741" i="2"/>
  <c r="D2049" i="2"/>
  <c r="D2067" i="2"/>
  <c r="D2107" i="2"/>
  <c r="D2207" i="2"/>
  <c r="D747" i="2"/>
  <c r="D2349" i="2"/>
  <c r="D2497" i="2"/>
  <c r="D2571" i="2"/>
  <c r="D2679" i="2"/>
  <c r="D2703" i="2"/>
  <c r="D750" i="2"/>
  <c r="D2828" i="2"/>
  <c r="D2876" i="2"/>
  <c r="D3079" i="2"/>
  <c r="D848" i="2"/>
  <c r="D2710" i="2"/>
  <c r="D751" i="2"/>
  <c r="D752" i="2"/>
  <c r="D1646" i="2"/>
  <c r="D2792" i="2"/>
  <c r="D2985" i="2"/>
  <c r="D861" i="2"/>
  <c r="D862" i="2"/>
  <c r="D665" i="2"/>
  <c r="D464" i="2"/>
  <c r="D1732" i="2"/>
  <c r="D863" i="2"/>
  <c r="D2695" i="2"/>
  <c r="D754" i="2"/>
  <c r="D362" i="2"/>
  <c r="D479" i="2"/>
  <c r="D890" i="2"/>
  <c r="D1609" i="2"/>
  <c r="D891" i="2"/>
  <c r="D900" i="2"/>
  <c r="D2399" i="2"/>
  <c r="D786" i="2"/>
  <c r="D419" i="2"/>
  <c r="D427" i="2"/>
  <c r="D565" i="2"/>
  <c r="D803" i="2"/>
  <c r="D1025" i="2"/>
  <c r="D1056" i="2"/>
  <c r="D436" i="2"/>
  <c r="D2498" i="2"/>
  <c r="D756" i="2"/>
  <c r="D758" i="2"/>
  <c r="D766" i="2"/>
  <c r="D2117" i="2"/>
  <c r="D768" i="2"/>
  <c r="D908" i="2"/>
  <c r="D178" i="2"/>
  <c r="D246" i="2"/>
  <c r="D462" i="2"/>
  <c r="D778" i="2"/>
  <c r="D622" i="2"/>
  <c r="D781" i="2"/>
  <c r="D639" i="2"/>
  <c r="D787" i="2"/>
  <c r="D795" i="2"/>
  <c r="D776" i="2"/>
  <c r="D807" i="2"/>
  <c r="D835" i="2"/>
  <c r="D889" i="2"/>
  <c r="D933" i="2"/>
  <c r="D974" i="2"/>
  <c r="D992" i="2"/>
  <c r="D812" i="2"/>
  <c r="D1083" i="2"/>
  <c r="D1107" i="2"/>
  <c r="D1120" i="2"/>
  <c r="D815" i="2"/>
  <c r="D825" i="2"/>
  <c r="D829" i="2"/>
  <c r="D831" i="2"/>
  <c r="D839" i="2"/>
  <c r="D1318" i="2"/>
  <c r="D1361" i="2"/>
  <c r="D1377" i="2"/>
  <c r="D1401" i="2"/>
  <c r="D1402" i="2"/>
  <c r="D1428" i="2"/>
  <c r="D1528" i="2"/>
  <c r="D1529" i="2"/>
  <c r="D1530" i="2"/>
  <c r="D1585" i="2"/>
  <c r="D1713" i="2"/>
  <c r="D853" i="2"/>
  <c r="D1743" i="2"/>
  <c r="D1784" i="2"/>
  <c r="D1807" i="2"/>
  <c r="D1809" i="2"/>
  <c r="D1814" i="2"/>
  <c r="D1835" i="2"/>
  <c r="D858" i="2"/>
  <c r="D685" i="2"/>
  <c r="D1878" i="2"/>
  <c r="D866" i="2"/>
  <c r="D1898" i="2"/>
  <c r="D1902" i="2"/>
  <c r="D1956" i="2"/>
  <c r="D868" i="2"/>
  <c r="D870" i="2"/>
  <c r="D2043" i="2"/>
  <c r="D2050" i="2"/>
  <c r="D2088" i="2"/>
  <c r="D2118" i="2"/>
  <c r="D2139" i="2"/>
  <c r="D875" i="2"/>
  <c r="D876" i="2"/>
  <c r="D877" i="2"/>
  <c r="D2221" i="2"/>
  <c r="D2263" i="2"/>
  <c r="D2309" i="2"/>
  <c r="D2323" i="2"/>
  <c r="D2370" i="2"/>
  <c r="D2377" i="2"/>
  <c r="D886" i="2"/>
  <c r="D2499" i="2"/>
  <c r="D2500" i="2"/>
  <c r="D2559" i="2"/>
  <c r="D2585" i="2"/>
  <c r="D2697" i="2"/>
  <c r="D2721" i="2"/>
  <c r="D2729" i="2"/>
  <c r="D893" i="2"/>
  <c r="D901" i="2"/>
  <c r="D3029" i="2"/>
  <c r="D661" i="2"/>
  <c r="D982" i="2"/>
  <c r="D1089" i="2"/>
  <c r="D1312" i="2"/>
  <c r="D1403" i="2"/>
  <c r="D1862" i="2"/>
  <c r="D2005" i="2"/>
  <c r="D2420" i="2"/>
  <c r="D2711" i="2"/>
  <c r="D2929" i="2"/>
  <c r="D27" i="2"/>
  <c r="D919" i="2"/>
  <c r="D940" i="2"/>
  <c r="D28" i="2"/>
  <c r="D1912" i="2"/>
  <c r="D910" i="2"/>
  <c r="D912" i="2"/>
  <c r="D326" i="2"/>
  <c r="D559" i="2"/>
  <c r="D996" i="2"/>
  <c r="D2915" i="2"/>
  <c r="D2544" i="2"/>
  <c r="D913" i="2"/>
  <c r="D804" i="2"/>
  <c r="D920" i="2"/>
  <c r="D1026" i="2"/>
  <c r="D1297" i="2"/>
  <c r="D1484" i="2"/>
  <c r="D1531" i="2"/>
  <c r="D1674" i="2"/>
  <c r="D924" i="2"/>
  <c r="D2119" i="2"/>
  <c r="D926" i="2"/>
  <c r="D930" i="2"/>
  <c r="D932" i="2"/>
  <c r="D956" i="2"/>
  <c r="D942" i="2"/>
  <c r="D172" i="2"/>
  <c r="D200" i="2"/>
  <c r="D303" i="2"/>
  <c r="D944" i="2"/>
  <c r="D945" i="2"/>
  <c r="D456" i="2"/>
  <c r="D952" i="2"/>
  <c r="D957" i="2"/>
  <c r="D627" i="2"/>
  <c r="D628" i="2"/>
  <c r="D709" i="2"/>
  <c r="D960" i="2"/>
  <c r="D981" i="2"/>
  <c r="D834" i="2"/>
  <c r="D1054" i="2"/>
  <c r="D987" i="2"/>
  <c r="D2475" i="2"/>
  <c r="D1236" i="2"/>
  <c r="D454" i="2"/>
  <c r="D993" i="2"/>
  <c r="D1532" i="2"/>
  <c r="D995" i="2"/>
  <c r="D2100" i="2"/>
  <c r="D998" i="2"/>
  <c r="D2968" i="2"/>
  <c r="D1002" i="2"/>
  <c r="D104" i="2"/>
  <c r="D958" i="2"/>
  <c r="D1014" i="2"/>
  <c r="D1167" i="2"/>
  <c r="D1180" i="2"/>
  <c r="D1334" i="2"/>
  <c r="D1534" i="2"/>
  <c r="D2909" i="2"/>
  <c r="D959" i="2"/>
  <c r="D292" i="2"/>
  <c r="D1030" i="2"/>
  <c r="D671" i="2"/>
  <c r="D2651" i="2"/>
  <c r="D2772" i="2"/>
  <c r="D997" i="2"/>
  <c r="D55" i="2"/>
  <c r="D968" i="2"/>
  <c r="D2006" i="2"/>
  <c r="D1594" i="2"/>
  <c r="D176" i="2"/>
  <c r="D1035" i="2"/>
  <c r="D503" i="2"/>
  <c r="D633" i="2"/>
  <c r="D805" i="2"/>
  <c r="D1045" i="2"/>
  <c r="D3042" i="2"/>
  <c r="D1230" i="2"/>
  <c r="D1798" i="2"/>
  <c r="D1048" i="2"/>
  <c r="D1049" i="2"/>
  <c r="D1883" i="2"/>
  <c r="D2132" i="2"/>
  <c r="D2301" i="2"/>
  <c r="D2447" i="2"/>
  <c r="D2459" i="2"/>
  <c r="D2542" i="2"/>
  <c r="D1051" i="2"/>
  <c r="D2919" i="2"/>
  <c r="D3037" i="2"/>
  <c r="D1057" i="2"/>
  <c r="D3076" i="2"/>
  <c r="D1647" i="2"/>
  <c r="D1012" i="2"/>
  <c r="D1058" i="2"/>
  <c r="D897" i="2"/>
  <c r="D1068" i="2"/>
  <c r="D1076" i="2"/>
  <c r="D1608" i="2"/>
  <c r="D1077" i="2"/>
  <c r="D1088" i="2"/>
  <c r="D1033" i="2"/>
  <c r="D1091" i="2"/>
  <c r="D2936" i="2"/>
  <c r="D1017" i="2"/>
  <c r="D1016" i="2"/>
  <c r="D1098" i="2"/>
  <c r="D1021" i="2"/>
  <c r="D180" i="2"/>
  <c r="D1211" i="2"/>
  <c r="D1536" i="2"/>
  <c r="D625" i="2"/>
  <c r="D29" i="2"/>
  <c r="D1714" i="2"/>
  <c r="D1059" i="2"/>
  <c r="D111" i="2"/>
  <c r="D1537" i="2"/>
  <c r="D2763" i="2"/>
  <c r="D1319" i="2"/>
  <c r="D1422" i="2"/>
  <c r="D1283" i="2"/>
  <c r="D65" i="2"/>
  <c r="D1667" i="2"/>
  <c r="D1455" i="2"/>
  <c r="D1103" i="2"/>
  <c r="D1941" i="2"/>
  <c r="D2037" i="2"/>
  <c r="D1442" i="2"/>
  <c r="D599" i="2"/>
  <c r="D832" i="2"/>
  <c r="D1727" i="2"/>
  <c r="D1958" i="2"/>
  <c r="D420" i="2"/>
  <c r="D1023" i="2"/>
  <c r="D1105" i="2"/>
  <c r="D1139" i="2"/>
  <c r="D1129" i="2"/>
  <c r="D2227" i="2"/>
  <c r="D2417" i="2"/>
  <c r="D268" i="2"/>
  <c r="D423" i="2"/>
  <c r="D1130" i="2"/>
  <c r="D524" i="2"/>
  <c r="D1042" i="2"/>
  <c r="D1102" i="2"/>
  <c r="D107" i="2"/>
  <c r="D608" i="2"/>
  <c r="D1992" i="2"/>
  <c r="D1136" i="2"/>
  <c r="D30" i="2"/>
  <c r="D966" i="2"/>
  <c r="D1241" i="2"/>
  <c r="D2501" i="2"/>
  <c r="D1699" i="2"/>
  <c r="D394" i="2"/>
  <c r="D1135" i="2"/>
  <c r="D1152" i="2"/>
  <c r="D1153" i="2"/>
  <c r="D87" i="2"/>
  <c r="D1141" i="2"/>
  <c r="D1084" i="2"/>
  <c r="D1379" i="2"/>
  <c r="D1538" i="2"/>
  <c r="D1813" i="2"/>
  <c r="D1959" i="2"/>
  <c r="D2120" i="2"/>
  <c r="D2615" i="2"/>
  <c r="D2680" i="2"/>
  <c r="D3062" i="2"/>
  <c r="D1423" i="2"/>
  <c r="D1142" i="2"/>
  <c r="D1160" i="2"/>
  <c r="D2740" i="2"/>
  <c r="D440" i="2"/>
  <c r="D638" i="2"/>
  <c r="D1146" i="2"/>
  <c r="D1037" i="2"/>
  <c r="D1221" i="2"/>
  <c r="D1733" i="2"/>
  <c r="D1747" i="2"/>
  <c r="D402" i="2"/>
  <c r="D2382" i="2"/>
  <c r="D2567" i="2"/>
  <c r="D1165" i="2"/>
  <c r="D1168" i="2"/>
  <c r="D1677" i="2"/>
  <c r="D2169" i="2"/>
  <c r="D1801" i="2"/>
  <c r="D1961" i="2"/>
  <c r="D1169" i="2"/>
  <c r="D1171" i="2"/>
  <c r="D1155" i="2"/>
  <c r="D1156" i="2"/>
  <c r="D1173" i="2"/>
  <c r="D1177" i="2"/>
  <c r="D113" i="2"/>
  <c r="D125" i="2"/>
  <c r="D201" i="2"/>
  <c r="D382" i="2"/>
  <c r="D1181" i="2"/>
  <c r="D1187" i="2"/>
  <c r="D517" i="2"/>
  <c r="D539" i="2"/>
  <c r="D541" i="2"/>
  <c r="D606" i="2"/>
  <c r="D614" i="2"/>
  <c r="D636" i="2"/>
  <c r="D1188" i="2"/>
  <c r="D806" i="2"/>
  <c r="D1190" i="2"/>
  <c r="D895" i="2"/>
  <c r="D1193" i="2"/>
  <c r="D1194" i="2"/>
  <c r="D1195" i="2"/>
  <c r="D971" i="2"/>
  <c r="D1200" i="2"/>
  <c r="D1073" i="2"/>
  <c r="D1201" i="2"/>
  <c r="D1121" i="2"/>
  <c r="D1203" i="2"/>
  <c r="D1209" i="2"/>
  <c r="D1222" i="2"/>
  <c r="D1404" i="2"/>
  <c r="D843" i="2"/>
  <c r="D1475" i="2"/>
  <c r="D1489" i="2"/>
  <c r="D1539" i="2"/>
  <c r="D1571" i="2"/>
  <c r="D1618" i="2"/>
  <c r="D1913" i="2"/>
  <c r="D1962" i="2"/>
  <c r="D1213" i="2"/>
  <c r="D2051" i="2"/>
  <c r="D2121" i="2"/>
  <c r="D1217" i="2"/>
  <c r="D2242" i="2"/>
  <c r="D2255" i="2"/>
  <c r="D2375" i="2"/>
  <c r="D1218" i="2"/>
  <c r="D1234" i="2"/>
  <c r="D2480" i="2"/>
  <c r="D1235" i="2"/>
  <c r="D288" i="2"/>
  <c r="D1253" i="2"/>
  <c r="D2572" i="2"/>
  <c r="D2576" i="2"/>
  <c r="D2692" i="2"/>
  <c r="D2705" i="2"/>
  <c r="D689" i="2"/>
  <c r="D2727" i="2"/>
  <c r="D2758" i="2"/>
  <c r="D2830" i="2"/>
  <c r="D1254" i="2"/>
  <c r="D2922" i="2"/>
  <c r="D1261" i="2"/>
  <c r="D2977" i="2"/>
  <c r="D3059" i="2"/>
  <c r="D3066" i="2"/>
  <c r="D1597" i="2"/>
  <c r="D1621" i="2"/>
  <c r="D1697" i="2"/>
  <c r="D1265" i="2"/>
  <c r="D2597" i="2"/>
  <c r="D2938" i="2"/>
  <c r="D1262" i="2"/>
  <c r="D1182" i="2"/>
  <c r="D692" i="2"/>
  <c r="D2264" i="2"/>
  <c r="D840" i="2"/>
  <c r="D1269" i="2"/>
  <c r="D1185" i="2"/>
  <c r="D1204" i="2"/>
  <c r="D2916" i="2"/>
  <c r="D1273" i="2"/>
  <c r="D403" i="2"/>
  <c r="D1284" i="2"/>
  <c r="D2803" i="2"/>
  <c r="D1205" i="2"/>
  <c r="D1122" i="2"/>
  <c r="D967" i="2"/>
  <c r="D1207" i="2"/>
  <c r="D1208" i="2"/>
  <c r="D133" i="2"/>
  <c r="D269" i="2"/>
  <c r="D301" i="2"/>
  <c r="D1288" i="2"/>
  <c r="D1296" i="2"/>
  <c r="D375" i="2"/>
  <c r="D1305" i="2"/>
  <c r="D536" i="2"/>
  <c r="D1316" i="2"/>
  <c r="D577" i="2"/>
  <c r="D1337" i="2"/>
  <c r="D1339" i="2"/>
  <c r="D600" i="2"/>
  <c r="D1350" i="2"/>
  <c r="D826" i="2"/>
  <c r="D921" i="2"/>
  <c r="D1354" i="2"/>
  <c r="D1082" i="2"/>
  <c r="D1380" i="2"/>
  <c r="D1389" i="2"/>
  <c r="D1356" i="2"/>
  <c r="D1363" i="2"/>
  <c r="D1364" i="2"/>
  <c r="D1540" i="2"/>
  <c r="D1575" i="2"/>
  <c r="D1615" i="2"/>
  <c r="D1365" i="2"/>
  <c r="D1754" i="2"/>
  <c r="D1843" i="2"/>
  <c r="D1900" i="2"/>
  <c r="D1374" i="2"/>
  <c r="D1388" i="2"/>
  <c r="D1405" i="2"/>
  <c r="D2378" i="2"/>
  <c r="D2460" i="2"/>
  <c r="D1409" i="2"/>
  <c r="D841" i="2"/>
  <c r="D2778" i="2"/>
  <c r="D2832" i="2"/>
  <c r="D3077" i="2"/>
  <c r="D3002" i="2"/>
  <c r="D1410" i="2"/>
  <c r="D1750" i="2"/>
  <c r="D1227" i="2"/>
  <c r="D238" i="2"/>
  <c r="D1303" i="2"/>
  <c r="D1415" i="2"/>
  <c r="D1964" i="2"/>
  <c r="D95" i="2"/>
  <c r="D2429" i="2"/>
  <c r="D1416" i="2"/>
  <c r="D1421" i="2"/>
  <c r="D316" i="2"/>
  <c r="D827" i="2"/>
  <c r="D977" i="2"/>
  <c r="D1028" i="2"/>
  <c r="D1424" i="2"/>
  <c r="D1263" i="2"/>
  <c r="D1290" i="2"/>
  <c r="D1406" i="2"/>
  <c r="D678" i="2"/>
  <c r="D97" i="2"/>
  <c r="D1432" i="2"/>
  <c r="D1434" i="2"/>
  <c r="D1675" i="2"/>
  <c r="D1915" i="2"/>
  <c r="D2328" i="2"/>
  <c r="D2331" i="2"/>
  <c r="D1425" i="2"/>
  <c r="D1430" i="2"/>
  <c r="D1438" i="2"/>
  <c r="D2693" i="2"/>
  <c r="D2833" i="2"/>
  <c r="D1459" i="2"/>
  <c r="D1461" i="2"/>
  <c r="D1467" i="2"/>
  <c r="D2586" i="2"/>
  <c r="D289" i="2"/>
  <c r="D1468" i="2"/>
  <c r="D1244" i="2"/>
  <c r="D1245" i="2"/>
  <c r="D338" i="2"/>
  <c r="D342" i="2"/>
  <c r="D424" i="2"/>
  <c r="D1029" i="2"/>
  <c r="D1345" i="2"/>
  <c r="D1541" i="2"/>
  <c r="D1965" i="2"/>
  <c r="D2071" i="2"/>
  <c r="D2219" i="2"/>
  <c r="D2505" i="2"/>
  <c r="D2580" i="2"/>
  <c r="D2904" i="2"/>
  <c r="D1321" i="2"/>
  <c r="D1249" i="2"/>
  <c r="D667" i="2"/>
  <c r="D1277" i="2"/>
  <c r="D743" i="2"/>
  <c r="D1855" i="2"/>
  <c r="D1473" i="2"/>
  <c r="D1272" i="2"/>
  <c r="D2020" i="2"/>
  <c r="D66" i="2"/>
  <c r="D616" i="2"/>
  <c r="D1485" i="2"/>
  <c r="D1407" i="2"/>
  <c r="D715" i="2"/>
  <c r="D2592" i="2"/>
  <c r="D1487" i="2"/>
  <c r="D1668" i="2"/>
  <c r="D1314" i="2"/>
  <c r="D1491" i="2"/>
  <c r="D1501" i="2"/>
  <c r="D2414" i="2"/>
  <c r="D1242" i="2"/>
  <c r="D1542" i="2"/>
  <c r="D214" i="2"/>
  <c r="D1504" i="2"/>
  <c r="D1507" i="2"/>
  <c r="D1003" i="2"/>
  <c r="D1408" i="2"/>
  <c r="D1996" i="2"/>
  <c r="D2917" i="2"/>
  <c r="D808" i="2"/>
  <c r="D1295" i="2"/>
  <c r="D1371" i="2"/>
  <c r="D1381" i="2"/>
  <c r="D1433" i="2"/>
  <c r="D1734" i="2"/>
  <c r="D1327" i="2"/>
  <c r="D183" i="2"/>
  <c r="D215" i="2"/>
  <c r="D391" i="2"/>
  <c r="D421" i="2"/>
  <c r="D2889" i="2"/>
  <c r="D809" i="2"/>
  <c r="D1216" i="2"/>
  <c r="D1903" i="2"/>
  <c r="D2506" i="2"/>
  <c r="D2560" i="2"/>
  <c r="D2744" i="2"/>
  <c r="D1331" i="2"/>
  <c r="D153" i="2"/>
  <c r="D31" i="2"/>
  <c r="D2863" i="2"/>
  <c r="D1174" i="2"/>
  <c r="D1511" i="2"/>
  <c r="D1212" i="2"/>
  <c r="D1518" i="2"/>
  <c r="D32" i="2"/>
  <c r="D1533" i="2"/>
  <c r="D2712" i="2"/>
  <c r="D1535" i="2"/>
  <c r="D1352" i="2"/>
  <c r="D1640" i="2"/>
  <c r="D662" i="2"/>
  <c r="D1543" i="2"/>
  <c r="D1966" i="2"/>
  <c r="D1369" i="2"/>
  <c r="D476" i="2"/>
  <c r="D753" i="2"/>
  <c r="D1574" i="2"/>
  <c r="D3043" i="2"/>
  <c r="D1904" i="2"/>
  <c r="D488" i="2"/>
  <c r="D2258" i="2"/>
  <c r="D299" i="2"/>
  <c r="D1328" i="2"/>
  <c r="D777" i="2"/>
  <c r="D833" i="2"/>
  <c r="D847" i="2"/>
  <c r="D1081" i="2"/>
  <c r="D1444" i="2"/>
  <c r="D1492" i="2"/>
  <c r="D1500" i="2"/>
  <c r="D1648" i="2"/>
  <c r="D2445" i="2"/>
  <c r="D1875" i="2"/>
  <c r="D2008" i="2"/>
  <c r="D2068" i="2"/>
  <c r="D2272" i="2"/>
  <c r="D2291" i="2"/>
  <c r="D2587" i="2"/>
  <c r="D2834" i="2"/>
  <c r="D2877" i="2"/>
  <c r="D589" i="2"/>
  <c r="D1735" i="2"/>
  <c r="D2760" i="2"/>
  <c r="D2052" i="2"/>
  <c r="D2648" i="2"/>
  <c r="D1755" i="2"/>
  <c r="D700" i="2"/>
  <c r="D701" i="2"/>
  <c r="D1481" i="2"/>
  <c r="D1494" i="2"/>
  <c r="D1595" i="2"/>
  <c r="D1604" i="2"/>
  <c r="D1673" i="2"/>
  <c r="D1999" i="2"/>
  <c r="D911" i="2"/>
  <c r="D2442" i="2"/>
  <c r="D1439" i="2"/>
  <c r="D1446" i="2"/>
  <c r="D1447" i="2"/>
  <c r="D1448" i="2"/>
  <c r="D1547" i="2"/>
  <c r="D1553" i="2"/>
  <c r="D1452" i="2"/>
  <c r="D62" i="2"/>
  <c r="D1335" i="2"/>
  <c r="D1561" i="2"/>
  <c r="D1477" i="2"/>
  <c r="D1480" i="2"/>
  <c r="D2347" i="2"/>
  <c r="D398" i="2"/>
  <c r="D1570" i="2"/>
  <c r="D1463" i="2"/>
  <c r="D1576" i="2"/>
  <c r="D1544" i="2"/>
  <c r="D1584" i="2"/>
  <c r="D1586" i="2"/>
  <c r="D2507" i="2"/>
  <c r="D769" i="2"/>
  <c r="D713" i="2"/>
  <c r="D1004" i="2"/>
  <c r="D1015" i="2"/>
  <c r="D3024" i="2"/>
  <c r="D1568" i="2"/>
  <c r="D1247" i="2"/>
  <c r="D2713" i="2"/>
  <c r="D1583" i="2"/>
  <c r="D194" i="2"/>
  <c r="D558" i="2"/>
  <c r="D666" i="2"/>
  <c r="D828" i="2"/>
  <c r="D1123" i="2"/>
  <c r="D1158" i="2"/>
  <c r="D1264" i="2"/>
  <c r="D1593" i="2"/>
  <c r="D2444" i="2"/>
  <c r="D2666" i="2"/>
  <c r="D2581" i="2"/>
  <c r="D2939" i="2"/>
  <c r="D2963" i="2"/>
  <c r="D1600" i="2"/>
  <c r="D1602" i="2"/>
  <c r="D774" i="2"/>
  <c r="D867" i="2"/>
  <c r="D948" i="2"/>
  <c r="D674" i="2"/>
  <c r="D1189" i="2"/>
  <c r="D1220" i="2"/>
  <c r="D1340" i="2"/>
  <c r="D1382" i="2"/>
  <c r="D1383" i="2"/>
  <c r="D1603" i="2"/>
  <c r="D1611" i="2"/>
  <c r="D1612" i="2"/>
  <c r="D1592" i="2"/>
  <c r="D1613" i="2"/>
  <c r="D1614" i="2"/>
  <c r="D1624" i="2"/>
  <c r="D1724" i="2"/>
  <c r="D1628" i="2"/>
  <c r="D1967" i="2"/>
  <c r="D1633" i="2"/>
  <c r="D1634" i="2"/>
  <c r="D2835" i="2"/>
  <c r="D2865" i="2"/>
  <c r="D2940" i="2"/>
  <c r="D355" i="2"/>
  <c r="D2316" i="2"/>
  <c r="D779" i="2"/>
  <c r="D943" i="2"/>
  <c r="D1065" i="2"/>
  <c r="D1075" i="2"/>
  <c r="D1074" i="2"/>
  <c r="D1431" i="2"/>
  <c r="D2196" i="2"/>
  <c r="D2335" i="2"/>
  <c r="D2340" i="2"/>
  <c r="D2383" i="2"/>
  <c r="D2408" i="2"/>
  <c r="D2508" i="2"/>
  <c r="D2660" i="2"/>
  <c r="D2738" i="2"/>
  <c r="D3030" i="2"/>
  <c r="D33" i="2"/>
  <c r="D34" i="2"/>
  <c r="D1605" i="2"/>
  <c r="D1607" i="2"/>
  <c r="D739" i="2"/>
  <c r="D916" i="2"/>
  <c r="D1635" i="2"/>
  <c r="D1638" i="2"/>
  <c r="D2141" i="2"/>
  <c r="D1653" i="2"/>
  <c r="D2941" i="2"/>
  <c r="D1630" i="2"/>
  <c r="D1654" i="2"/>
  <c r="D1469" i="2"/>
  <c r="D1490" i="2"/>
  <c r="D1545" i="2"/>
  <c r="D1709" i="2"/>
  <c r="D1816" i="2"/>
  <c r="D1847" i="2"/>
  <c r="D1968" i="2"/>
  <c r="D2122" i="2"/>
  <c r="D2133" i="2"/>
  <c r="D2134" i="2"/>
  <c r="D2401" i="2"/>
  <c r="D2435" i="2"/>
  <c r="D2942" i="2"/>
  <c r="D1656" i="2"/>
  <c r="D3013" i="2"/>
  <c r="D1642" i="2"/>
  <c r="D1663" i="2"/>
  <c r="D1657" i="2"/>
  <c r="D397" i="2"/>
  <c r="D1659" i="2"/>
  <c r="D1658" i="2"/>
  <c r="D88" i="2"/>
  <c r="D1665" i="2"/>
  <c r="D1688" i="2"/>
  <c r="D276" i="2"/>
  <c r="D311" i="2"/>
  <c r="D1704" i="2"/>
  <c r="D400" i="2"/>
  <c r="D1708" i="2"/>
  <c r="D2510" i="2"/>
  <c r="D491" i="2"/>
  <c r="D492" i="2"/>
  <c r="D498" i="2"/>
  <c r="D578" i="2"/>
  <c r="D597" i="2"/>
  <c r="D1722" i="2"/>
  <c r="D2194" i="2"/>
  <c r="D1723" i="2"/>
  <c r="D702" i="2"/>
  <c r="D1725" i="2"/>
  <c r="D1728" i="2"/>
  <c r="D755" i="2"/>
  <c r="D810" i="2"/>
  <c r="D1729" i="2"/>
  <c r="D2511" i="2"/>
  <c r="D1738" i="2"/>
  <c r="D1144" i="2"/>
  <c r="D1159" i="2"/>
  <c r="D1170" i="2"/>
  <c r="D1280" i="2"/>
  <c r="D1744" i="2"/>
  <c r="D1746" i="2"/>
  <c r="D1384" i="2"/>
  <c r="D1748" i="2"/>
  <c r="D1426" i="2"/>
  <c r="D1427" i="2"/>
  <c r="D1474" i="2"/>
  <c r="D1486" i="2"/>
  <c r="D1546" i="2"/>
  <c r="D1762" i="2"/>
  <c r="D1622" i="2"/>
  <c r="D1649" i="2"/>
  <c r="D1666" i="2"/>
  <c r="D1756" i="2"/>
  <c r="D1796" i="2"/>
  <c r="D1811" i="2"/>
  <c r="D1879" i="2"/>
  <c r="D1767" i="2"/>
  <c r="D1770" i="2"/>
  <c r="D2017" i="2"/>
  <c r="D2074" i="2"/>
  <c r="D2125" i="2"/>
  <c r="D2198" i="2"/>
  <c r="D1775" i="2"/>
  <c r="D1778" i="2"/>
  <c r="D2315" i="2"/>
  <c r="D2350" i="2"/>
  <c r="D2374" i="2"/>
  <c r="D1779" i="2"/>
  <c r="D2402" i="2"/>
  <c r="D2428" i="2"/>
  <c r="D2467" i="2"/>
  <c r="D2509" i="2"/>
  <c r="D2573" i="2"/>
  <c r="D2698" i="2"/>
  <c r="D2726" i="2"/>
  <c r="D1781" i="2"/>
  <c r="D1783" i="2"/>
  <c r="D2784" i="2"/>
  <c r="D2894" i="2"/>
  <c r="D2930" i="2"/>
  <c r="D2959" i="2"/>
  <c r="D1787" i="2"/>
  <c r="D2974" i="2"/>
  <c r="D3018" i="2"/>
  <c r="D3034" i="2"/>
  <c r="D3046" i="2"/>
  <c r="D3075" i="2"/>
  <c r="D294" i="2"/>
  <c r="D1351" i="2"/>
  <c r="D1495" i="2"/>
  <c r="D1821" i="2"/>
  <c r="D2619" i="2"/>
  <c r="D2682" i="2"/>
  <c r="D2981" i="2"/>
  <c r="D2987" i="2"/>
  <c r="D2598" i="2"/>
  <c r="D1680" i="2"/>
  <c r="D1689" i="2"/>
  <c r="D1420" i="2"/>
  <c r="D1097" i="2"/>
  <c r="D1788" i="2"/>
  <c r="D3063" i="2"/>
  <c r="D1062" i="2"/>
  <c r="D1503" i="2"/>
  <c r="D1793" i="2"/>
  <c r="D1650" i="2"/>
  <c r="D1934" i="2"/>
  <c r="D2339" i="2"/>
  <c r="D1695" i="2"/>
  <c r="D1700" i="2"/>
  <c r="D2775" i="2"/>
  <c r="D230" i="2"/>
  <c r="D1548" i="2"/>
  <c r="D1715" i="2"/>
  <c r="D1931" i="2"/>
  <c r="D2403" i="2"/>
  <c r="D2404" i="2"/>
  <c r="D202" i="2"/>
  <c r="D216" i="2"/>
  <c r="D260" i="2"/>
  <c r="D548" i="2"/>
  <c r="D1085" i="2"/>
  <c r="D1323" i="2"/>
  <c r="D1453" i="2"/>
  <c r="D1482" i="2"/>
  <c r="D1737" i="2"/>
  <c r="D1822" i="2"/>
  <c r="D2009" i="2"/>
  <c r="D2016" i="2"/>
  <c r="D2389" i="2"/>
  <c r="D2448" i="2"/>
  <c r="D1702" i="2"/>
  <c r="D1703" i="2"/>
  <c r="D1301" i="2"/>
  <c r="D1795" i="2"/>
  <c r="D2766" i="2"/>
  <c r="D2943" i="2"/>
  <c r="D335" i="2"/>
  <c r="D1800" i="2"/>
  <c r="D206" i="2"/>
  <c r="D1806" i="2"/>
  <c r="D1810" i="2"/>
  <c r="D1411" i="2"/>
  <c r="D35" i="2"/>
  <c r="D1812" i="2"/>
  <c r="D1471" i="2"/>
  <c r="D1685" i="2"/>
  <c r="D1549" i="2"/>
  <c r="D2899" i="2"/>
  <c r="D2998" i="2"/>
  <c r="D1763" i="2"/>
  <c r="D1226" i="2"/>
  <c r="D1774" i="2"/>
  <c r="D448" i="2"/>
  <c r="D1479" i="2"/>
  <c r="D1791" i="2"/>
  <c r="D1792" i="2"/>
  <c r="D2902" i="2"/>
  <c r="D869" i="2"/>
  <c r="D2146" i="2"/>
  <c r="D2735" i="2"/>
  <c r="D2771" i="2"/>
  <c r="D2836" i="2"/>
  <c r="D2920" i="2"/>
  <c r="D1815" i="2"/>
  <c r="D1885" i="2"/>
  <c r="D1794" i="2"/>
  <c r="D273" i="2"/>
  <c r="D2951" i="2"/>
  <c r="D158" i="2"/>
  <c r="D994" i="2"/>
  <c r="D1355" i="2"/>
  <c r="D1797" i="2"/>
  <c r="D698" i="2"/>
  <c r="D1589" i="2"/>
  <c r="D1655" i="2"/>
  <c r="D2240" i="2"/>
  <c r="D2338" i="2"/>
  <c r="D1819" i="2"/>
  <c r="D364" i="2"/>
  <c r="D1293" i="2"/>
  <c r="D2369" i="2"/>
  <c r="D931" i="2"/>
  <c r="D642" i="2"/>
  <c r="D2203" i="2"/>
  <c r="D94" i="2"/>
  <c r="D460" i="2"/>
  <c r="D1823" i="2"/>
  <c r="D830" i="2"/>
  <c r="D887" i="2"/>
  <c r="D1830" i="2"/>
  <c r="D2837" i="2"/>
  <c r="D1844" i="2"/>
  <c r="D1145" i="2"/>
  <c r="D1845" i="2"/>
  <c r="D1338" i="2"/>
  <c r="D1505" i="2"/>
  <c r="D1716" i="2"/>
  <c r="D1852" i="2"/>
  <c r="D1854" i="2"/>
  <c r="D1935" i="2"/>
  <c r="D1856" i="2"/>
  <c r="D1859" i="2"/>
  <c r="D1802" i="2"/>
  <c r="D720" i="2"/>
  <c r="D1829" i="2"/>
  <c r="D2042" i="2"/>
  <c r="D2980" i="2"/>
  <c r="D922" i="2"/>
  <c r="D1868" i="2"/>
  <c r="D1412" i="2"/>
  <c r="D1808" i="2"/>
  <c r="D1890" i="2"/>
  <c r="D1891" i="2"/>
  <c r="D2513" i="2"/>
  <c r="D1899" i="2"/>
  <c r="D1907" i="2"/>
  <c r="D2694" i="2"/>
  <c r="D2838" i="2"/>
  <c r="D556" i="2"/>
  <c r="D707" i="2"/>
  <c r="D988" i="2"/>
  <c r="D760" i="2"/>
  <c r="D759" i="2"/>
  <c r="D1087" i="2"/>
  <c r="D1137" i="2"/>
  <c r="D1914" i="2"/>
  <c r="D1385" i="2"/>
  <c r="D1970" i="2"/>
  <c r="D1149" i="2"/>
  <c r="D1916" i="2"/>
  <c r="D1001" i="2"/>
  <c r="D1124" i="2"/>
  <c r="D1140" i="2"/>
  <c r="D1429" i="2"/>
  <c r="D1550" i="2"/>
  <c r="D1578" i="2"/>
  <c r="D1917" i="2"/>
  <c r="D923" i="2"/>
  <c r="D1818" i="2"/>
  <c r="D189" i="2"/>
  <c r="D1610" i="2"/>
  <c r="D2839" i="2"/>
  <c r="D1825" i="2"/>
  <c r="D1720" i="2"/>
  <c r="D1837" i="2"/>
  <c r="D584" i="2"/>
  <c r="D1828" i="2"/>
  <c r="D1834" i="2"/>
  <c r="D1046" i="2"/>
  <c r="D1047" i="2"/>
  <c r="D1304" i="2"/>
  <c r="D562" i="2"/>
  <c r="D1567" i="2"/>
  <c r="D1805" i="2"/>
  <c r="D1817" i="2"/>
  <c r="D2956" i="2"/>
  <c r="D1840" i="2"/>
  <c r="D2250" i="2"/>
  <c r="D1841" i="2"/>
  <c r="D607" i="2"/>
  <c r="D1892" i="2"/>
  <c r="D1850" i="2"/>
  <c r="D1329" i="2"/>
  <c r="D2736" i="2"/>
  <c r="D844" i="2"/>
  <c r="D568" i="2"/>
  <c r="D860" i="2"/>
  <c r="D185" i="2"/>
  <c r="D1923" i="2"/>
  <c r="D564" i="2"/>
  <c r="D591" i="2"/>
  <c r="D604" i="2"/>
  <c r="D1458" i="2"/>
  <c r="D1928" i="2"/>
  <c r="D2025" i="2"/>
  <c r="D2725" i="2"/>
  <c r="D36" i="2"/>
  <c r="D1933" i="2"/>
  <c r="D1942" i="2"/>
  <c r="D763" i="2"/>
  <c r="D811" i="2"/>
  <c r="D1096" i="2"/>
  <c r="D1943" i="2"/>
  <c r="D1945" i="2"/>
  <c r="D2152" i="2"/>
  <c r="D2637" i="2"/>
  <c r="D1949" i="2"/>
  <c r="D3026" i="2"/>
  <c r="D2211" i="2"/>
  <c r="D2882" i="2"/>
  <c r="D46" i="2"/>
  <c r="D902" i="2"/>
  <c r="D1464" i="2"/>
  <c r="D1957" i="2"/>
  <c r="D1960" i="2"/>
  <c r="D1963" i="2"/>
  <c r="D1969" i="2"/>
  <c r="D1162" i="2"/>
  <c r="D2035" i="2"/>
  <c r="D2515" i="2"/>
  <c r="D1880" i="2"/>
  <c r="D2944" i="2"/>
  <c r="D2516" i="2"/>
  <c r="D1971" i="2"/>
  <c r="D1954" i="2"/>
  <c r="D2752" i="2"/>
  <c r="D2793" i="2"/>
  <c r="D1886" i="2"/>
  <c r="D1889" i="2"/>
  <c r="D496" i="2"/>
  <c r="D1897" i="2"/>
  <c r="D484" i="2"/>
  <c r="D78" i="2"/>
  <c r="D37" i="2"/>
  <c r="D1551" i="2"/>
  <c r="D1924" i="2"/>
  <c r="D221" i="2"/>
  <c r="D495" i="2"/>
  <c r="D757" i="2"/>
  <c r="D927" i="2"/>
  <c r="D1973" i="2"/>
  <c r="D1552" i="2"/>
  <c r="D1866" i="2"/>
  <c r="D2476" i="2"/>
  <c r="D2563" i="2"/>
  <c r="D2842" i="2"/>
  <c r="D1390" i="2"/>
  <c r="D1976" i="2"/>
  <c r="D1930" i="2"/>
  <c r="D1932" i="2"/>
  <c r="D2039" i="2"/>
  <c r="D1443" i="2"/>
  <c r="D1175" i="2"/>
  <c r="D79" i="2"/>
  <c r="D2715" i="2"/>
  <c r="D102" i="2"/>
  <c r="D990" i="2"/>
  <c r="D1040" i="2"/>
  <c r="D1757" i="2"/>
  <c r="D1991" i="2"/>
  <c r="D2481" i="2"/>
  <c r="D177" i="2"/>
  <c r="D1701" i="2"/>
  <c r="D1179" i="2"/>
  <c r="D2151" i="2"/>
  <c r="D649" i="2"/>
  <c r="D2011" i="2"/>
  <c r="D2012" i="2"/>
  <c r="D2014" i="2"/>
  <c r="D2716" i="2"/>
  <c r="D317" i="2"/>
  <c r="D2226" i="2"/>
  <c r="D2019" i="2"/>
  <c r="D626" i="2"/>
  <c r="D2044" i="2"/>
  <c r="D1977" i="2"/>
  <c r="D57" i="2"/>
  <c r="D101" i="2"/>
  <c r="D474" i="2"/>
  <c r="D534" i="2"/>
  <c r="D550" i="2"/>
  <c r="D585" i="2"/>
  <c r="D1215" i="2"/>
  <c r="D1460" i="2"/>
  <c r="D2108" i="2"/>
  <c r="D1692" i="2"/>
  <c r="D2053" i="2"/>
  <c r="D1979" i="2"/>
  <c r="D443" i="2"/>
  <c r="D1324" i="2"/>
  <c r="D1353" i="2"/>
  <c r="D1386" i="2"/>
  <c r="D1918" i="2"/>
  <c r="D2170" i="2"/>
  <c r="D2295" i="2"/>
  <c r="D2376" i="2"/>
  <c r="D2843" i="2"/>
  <c r="D1285" i="2"/>
  <c r="D38" i="2"/>
  <c r="D2022" i="2"/>
  <c r="D277" i="2"/>
  <c r="D383" i="2"/>
  <c r="D557" i="2"/>
  <c r="D780" i="2"/>
  <c r="D1032" i="2"/>
  <c r="D1196" i="2"/>
  <c r="D2620" i="2"/>
  <c r="D2629" i="2"/>
  <c r="D2925" i="2"/>
  <c r="D39" i="2"/>
  <c r="D881" i="2"/>
  <c r="D2197" i="2"/>
  <c r="D2091" i="2"/>
  <c r="D2969" i="2"/>
  <c r="D2024" i="2"/>
  <c r="D234" i="2"/>
  <c r="D519" i="2"/>
  <c r="D1980" i="2"/>
  <c r="D1981" i="2"/>
  <c r="D1982" i="2"/>
  <c r="D1972" i="2"/>
  <c r="D2031" i="2"/>
  <c r="D2054" i="2"/>
  <c r="D2089" i="2"/>
  <c r="D2124" i="2"/>
  <c r="D2178" i="2"/>
  <c r="D1984" i="2"/>
  <c r="D2241" i="2"/>
  <c r="D1997" i="2"/>
  <c r="D2582" i="2"/>
  <c r="D458" i="2"/>
  <c r="D1998" i="2"/>
  <c r="D2007" i="2"/>
  <c r="D2683" i="2"/>
  <c r="D2029" i="2"/>
  <c r="D48" i="2"/>
  <c r="D347" i="2"/>
  <c r="D2032" i="2"/>
  <c r="D2038" i="2"/>
  <c r="D2988" i="2"/>
  <c r="D864" i="2"/>
  <c r="D905" i="2"/>
  <c r="D953" i="2"/>
  <c r="D1281" i="2"/>
  <c r="D1846" i="2"/>
  <c r="D2446" i="2"/>
  <c r="D162" i="2"/>
  <c r="D2965" i="2"/>
  <c r="D217" i="2"/>
  <c r="D366" i="2"/>
  <c r="D710" i="2"/>
  <c r="D1143" i="2"/>
  <c r="D1238" i="2"/>
  <c r="D1626" i="2"/>
  <c r="D1651" i="2"/>
  <c r="D2297" i="2"/>
  <c r="D2436" i="2"/>
  <c r="D3067" i="2"/>
  <c r="D3081" i="2"/>
  <c r="D2073" i="2"/>
  <c r="D2076" i="2"/>
  <c r="D1693" i="2"/>
  <c r="D2077" i="2"/>
  <c r="D2078" i="2"/>
  <c r="D2079" i="2"/>
  <c r="D2046" i="2"/>
  <c r="D2055" i="2"/>
  <c r="D1721" i="2"/>
  <c r="D1150" i="2"/>
  <c r="D1765" i="2"/>
  <c r="D2056" i="2"/>
  <c r="D2080" i="2"/>
  <c r="D40" i="2"/>
  <c r="D2058" i="2"/>
  <c r="D2213" i="2"/>
  <c r="D1641" i="2"/>
  <c r="D439" i="2"/>
  <c r="D2096" i="2"/>
  <c r="D2551" i="2"/>
  <c r="D2999" i="2"/>
  <c r="D2762" i="2"/>
  <c r="D2142" i="2"/>
  <c r="D2225" i="2"/>
  <c r="D2518" i="2"/>
  <c r="D2844" i="2"/>
  <c r="D239" i="2"/>
  <c r="D2109" i="2"/>
  <c r="D2112" i="2"/>
  <c r="D1005" i="2"/>
  <c r="D41" i="2"/>
  <c r="D2128" i="2"/>
  <c r="D725" i="2"/>
  <c r="D2135" i="2"/>
  <c r="D1231" i="2"/>
  <c r="D880" i="2"/>
  <c r="D2023" i="2"/>
  <c r="D950" i="2"/>
  <c r="D1554" i="2"/>
  <c r="D2069" i="2"/>
  <c r="D1413" i="2"/>
  <c r="D2150" i="2"/>
  <c r="D885" i="2"/>
  <c r="D2070" i="2"/>
  <c r="D978" i="2"/>
  <c r="D2072" i="2"/>
  <c r="D2030" i="2"/>
  <c r="D2094" i="2"/>
  <c r="D2260" i="2"/>
  <c r="D2086" i="2"/>
  <c r="D2093" i="2"/>
  <c r="D2520" i="2"/>
  <c r="D2095" i="2"/>
  <c r="D42" i="2"/>
  <c r="D2154" i="2"/>
  <c r="D767" i="2"/>
  <c r="D2156" i="2"/>
  <c r="D1741" i="2"/>
  <c r="D2166" i="2"/>
  <c r="D2167" i="2"/>
  <c r="D131" i="2"/>
  <c r="D154" i="2"/>
  <c r="D156" i="2"/>
  <c r="D187" i="2"/>
  <c r="D195" i="2"/>
  <c r="D2102" i="2"/>
  <c r="D2113" i="2"/>
  <c r="D2123" i="2"/>
  <c r="D2126" i="2"/>
  <c r="D302" i="2"/>
  <c r="D2143" i="2"/>
  <c r="D377" i="2"/>
  <c r="D520" i="2"/>
  <c r="D542" i="2"/>
  <c r="D590" i="2"/>
  <c r="D645" i="2"/>
  <c r="D2144" i="2"/>
  <c r="D660" i="2"/>
  <c r="D2148" i="2"/>
  <c r="D856" i="2"/>
  <c r="D2155" i="2"/>
  <c r="D878" i="2"/>
  <c r="D2168" i="2"/>
  <c r="D2159" i="2"/>
  <c r="D947" i="2"/>
  <c r="D949" i="2"/>
  <c r="D1063" i="2"/>
  <c r="D2161" i="2"/>
  <c r="D1197" i="2"/>
  <c r="D1266" i="2"/>
  <c r="D1267" i="2"/>
  <c r="D1268" i="2"/>
  <c r="D1299" i="2"/>
  <c r="D1343" i="2"/>
  <c r="D2171" i="2"/>
  <c r="D1707" i="2"/>
  <c r="D1758" i="2"/>
  <c r="D1782" i="2"/>
  <c r="D1867" i="2"/>
  <c r="D1901" i="2"/>
  <c r="D2173" i="2"/>
  <c r="D2179" i="2"/>
  <c r="D2361" i="2"/>
  <c r="D2187" i="2"/>
  <c r="D2575" i="2"/>
  <c r="D2368" i="2"/>
  <c r="D2418" i="2"/>
  <c r="D2437" i="2"/>
  <c r="D2469" i="2"/>
  <c r="D2521" i="2"/>
  <c r="D2190" i="2"/>
  <c r="D2193" i="2"/>
  <c r="D2625" i="2"/>
  <c r="D2643" i="2"/>
  <c r="D2656" i="2"/>
  <c r="D2657" i="2"/>
  <c r="D2201" i="2"/>
  <c r="D2846" i="2"/>
  <c r="D2847" i="2"/>
  <c r="D2202" i="2"/>
  <c r="D2954" i="2"/>
  <c r="D2204" i="2"/>
  <c r="D1669" i="2"/>
  <c r="D218" i="2"/>
  <c r="D2626" i="2"/>
  <c r="D581" i="2"/>
  <c r="D2205" i="2"/>
  <c r="D1292" i="2"/>
  <c r="D2230" i="2"/>
  <c r="D2232" i="2"/>
  <c r="D2174" i="2"/>
  <c r="D280" i="2"/>
  <c r="D374" i="2"/>
  <c r="D508" i="2"/>
  <c r="D1282" i="2"/>
  <c r="D1493" i="2"/>
  <c r="D1927" i="2"/>
  <c r="D2218" i="2"/>
  <c r="D2222" i="2"/>
  <c r="D2224" i="2"/>
  <c r="D2407" i="2"/>
  <c r="D2463" i="2"/>
  <c r="D2523" i="2"/>
  <c r="D2748" i="2"/>
  <c r="D1038" i="2"/>
  <c r="D2181" i="2"/>
  <c r="D2183" i="2"/>
  <c r="D2245" i="2"/>
  <c r="D2189" i="2"/>
  <c r="D2251" i="2"/>
  <c r="D2083" i="2"/>
  <c r="D2524" i="2"/>
  <c r="D2868" i="2"/>
  <c r="D115" i="2"/>
  <c r="D2253" i="2"/>
  <c r="D1219" i="2"/>
  <c r="D1896" i="2"/>
  <c r="D2195" i="2"/>
  <c r="D2229" i="2"/>
  <c r="D2231" i="2"/>
  <c r="D2234" i="2"/>
  <c r="D169" i="2"/>
  <c r="D2262" i="2"/>
  <c r="D928" i="2"/>
  <c r="D2267" i="2"/>
  <c r="D473" i="2"/>
  <c r="D1616" i="2"/>
  <c r="D1874" i="2"/>
  <c r="D2470" i="2"/>
  <c r="D2794" i="2"/>
  <c r="D3014" i="2"/>
  <c r="D2273" i="2"/>
  <c r="D2276" i="2"/>
  <c r="D2278" i="2"/>
  <c r="D140" i="2"/>
  <c r="D1435" i="2"/>
  <c r="D1652" i="2"/>
  <c r="D1974" i="2"/>
  <c r="D2302" i="2"/>
  <c r="D979" i="2"/>
  <c r="D286" i="2"/>
  <c r="D395" i="2"/>
  <c r="D813" i="2"/>
  <c r="D871" i="2"/>
  <c r="D1125" i="2"/>
  <c r="D1581" i="2"/>
  <c r="D1975" i="2"/>
  <c r="D2298" i="2"/>
  <c r="D2600" i="2"/>
  <c r="D2618" i="2"/>
  <c r="D2741" i="2"/>
  <c r="D2770" i="2"/>
  <c r="D2875" i="2"/>
  <c r="D3071" i="2"/>
  <c r="D1670" i="2"/>
  <c r="D569" i="2"/>
  <c r="D181" i="2"/>
  <c r="D523" i="2"/>
  <c r="D2111" i="2"/>
  <c r="D2363" i="2"/>
  <c r="D2848" i="2"/>
  <c r="D2849" i="2"/>
  <c r="D2850" i="2"/>
  <c r="D2280" i="2"/>
  <c r="D1824" i="2"/>
  <c r="D2287" i="2"/>
  <c r="D2177" i="2"/>
  <c r="D1246" i="2"/>
  <c r="D2330" i="2"/>
  <c r="D2294" i="2"/>
  <c r="D396" i="2"/>
  <c r="D882" i="2"/>
  <c r="D732" i="2"/>
  <c r="D1099" i="2"/>
  <c r="D2282" i="2"/>
  <c r="D1311" i="2"/>
  <c r="D2288" i="2"/>
  <c r="D1662" i="2"/>
  <c r="D1863" i="2"/>
  <c r="D2292" i="2"/>
  <c r="D2305" i="2"/>
  <c r="D2307" i="2"/>
  <c r="D2256" i="2"/>
  <c r="D2318" i="2"/>
  <c r="D2320" i="2"/>
  <c r="D2321" i="2"/>
  <c r="D2322" i="2"/>
  <c r="D2757" i="2"/>
  <c r="D2324" i="2"/>
  <c r="D2326" i="2"/>
  <c r="D2299" i="2"/>
  <c r="D348" i="2"/>
  <c r="D2246" i="2"/>
  <c r="D964" i="2"/>
  <c r="D1126" i="2"/>
  <c r="D1336" i="2"/>
  <c r="D1436" i="2"/>
  <c r="D1599" i="2"/>
  <c r="D2405" i="2"/>
  <c r="D2745" i="2"/>
  <c r="D2441" i="2"/>
  <c r="D2303" i="2"/>
  <c r="D240" i="2"/>
  <c r="D2343" i="2"/>
  <c r="D2345" i="2"/>
  <c r="D2354" i="2"/>
  <c r="D888" i="2"/>
  <c r="D907" i="2"/>
  <c r="D1127" i="2"/>
  <c r="D2365" i="2"/>
  <c r="D2379" i="2"/>
  <c r="D1450" i="2"/>
  <c r="D2381" i="2"/>
  <c r="D1598" i="2"/>
  <c r="D2384" i="2"/>
  <c r="D1894" i="2"/>
  <c r="D1926" i="2"/>
  <c r="D2385" i="2"/>
  <c r="D2239" i="2"/>
  <c r="D2243" i="2"/>
  <c r="D2265" i="2"/>
  <c r="D2313" i="2"/>
  <c r="D2362" i="2"/>
  <c r="D2392" i="2"/>
  <c r="D2684" i="2"/>
  <c r="D594" i="2"/>
  <c r="D765" i="2"/>
  <c r="D2393" i="2"/>
  <c r="D2000" i="2"/>
  <c r="D3004" i="2"/>
  <c r="D2311" i="2"/>
  <c r="D219" i="2"/>
  <c r="D2394" i="2"/>
  <c r="D3040" i="2"/>
  <c r="D955" i="2"/>
  <c r="D1128" i="2"/>
  <c r="D2247" i="2"/>
  <c r="D2396" i="2"/>
  <c r="D1555" i="2"/>
  <c r="D1751" i="2"/>
  <c r="D1764" i="2"/>
  <c r="D1895" i="2"/>
  <c r="D1978" i="2"/>
  <c r="D2419" i="2"/>
  <c r="D2545" i="2"/>
  <c r="D2400" i="2"/>
  <c r="D2906" i="2"/>
  <c r="D2945" i="2"/>
  <c r="D2289" i="2"/>
  <c r="D325" i="2"/>
  <c r="D2767" i="2"/>
  <c r="D244" i="2"/>
  <c r="D2317" i="2"/>
  <c r="D2921" i="2"/>
  <c r="D681" i="2"/>
  <c r="D1050" i="2"/>
  <c r="D2319" i="2"/>
  <c r="D2334" i="2"/>
  <c r="D2638" i="2"/>
  <c r="D2410" i="2"/>
  <c r="D1148" i="2"/>
  <c r="D281" i="2"/>
  <c r="D2413" i="2"/>
  <c r="D2423" i="2"/>
  <c r="D501" i="2"/>
  <c r="D2425" i="2"/>
  <c r="D2001" i="2"/>
  <c r="D814" i="2"/>
  <c r="D857" i="2"/>
  <c r="D972" i="2"/>
  <c r="D2426" i="2"/>
  <c r="D253" i="2"/>
  <c r="D1270" i="2"/>
  <c r="D2433" i="2"/>
  <c r="D1556" i="2"/>
  <c r="D1769" i="2"/>
  <c r="D1848" i="2"/>
  <c r="D2443" i="2"/>
  <c r="D2456" i="2"/>
  <c r="D2220" i="2"/>
  <c r="D2367" i="2"/>
  <c r="D2631" i="2"/>
  <c r="D2866" i="2"/>
  <c r="D2457" i="2"/>
  <c r="D2462" i="2"/>
  <c r="D2351" i="2"/>
  <c r="D2465" i="2"/>
  <c r="D2352" i="2"/>
  <c r="D2851" i="2"/>
  <c r="D2923" i="2"/>
  <c r="D2357" i="2"/>
  <c r="D2275" i="2"/>
  <c r="D2372" i="2"/>
  <c r="D2466" i="2"/>
  <c r="D3039" i="2"/>
  <c r="D2556" i="2"/>
  <c r="D2632" i="2"/>
  <c r="D2439" i="2"/>
  <c r="D2449" i="2"/>
  <c r="D2248" i="2"/>
  <c r="D2406" i="2"/>
  <c r="D2458" i="2"/>
  <c r="D816" i="2"/>
  <c r="D1832" i="2"/>
  <c r="D624" i="2"/>
  <c r="D2478" i="2"/>
  <c r="D489" i="2"/>
  <c r="D2472" i="2"/>
  <c r="D2852" i="2"/>
  <c r="D416" i="2"/>
  <c r="D445" i="2"/>
  <c r="D1706" i="2"/>
  <c r="D1939" i="2"/>
  <c r="D2153" i="2"/>
  <c r="D2568" i="2"/>
  <c r="D2653" i="2"/>
  <c r="D2755" i="2"/>
  <c r="D61" i="2"/>
  <c r="D2482" i="2"/>
  <c r="D736" i="2"/>
  <c r="D1696" i="2"/>
  <c r="D2026" i="2"/>
  <c r="D3057" i="2"/>
  <c r="D135" i="2"/>
  <c r="D148" i="2"/>
  <c r="D2485" i="2"/>
  <c r="D2486" i="2"/>
  <c r="D836" i="2"/>
  <c r="D2490" i="2"/>
  <c r="D1198" i="2"/>
  <c r="D1414" i="2"/>
  <c r="D1761" i="2"/>
  <c r="D1919" i="2"/>
  <c r="D2090" i="2"/>
  <c r="D2099" i="2"/>
  <c r="D2157" i="2"/>
  <c r="D2160" i="2"/>
  <c r="D2390" i="2"/>
  <c r="D2452" i="2"/>
  <c r="D2548" i="2"/>
  <c r="D2564" i="2"/>
  <c r="D2639" i="2"/>
  <c r="D2502" i="2"/>
  <c r="D2973" i="2"/>
  <c r="D2536" i="2"/>
  <c r="D2553" i="2"/>
  <c r="D2552" i="2"/>
  <c r="D2588" i="2"/>
  <c r="D2669" i="2"/>
  <c r="D2801" i="2"/>
  <c r="D2503" i="2"/>
  <c r="D2574" i="2"/>
  <c r="D2617" i="2"/>
  <c r="D345" i="2"/>
  <c r="D2608" i="2"/>
  <c r="D2609" i="2"/>
  <c r="D1172" i="2"/>
  <c r="D63" i="2"/>
  <c r="D1587" i="2"/>
  <c r="D2627" i="2"/>
  <c r="D2633" i="2"/>
  <c r="D319" i="2"/>
  <c r="D2635" i="2"/>
  <c r="D2777" i="2"/>
  <c r="D159" i="2"/>
  <c r="D2504" i="2"/>
  <c r="D1865" i="2"/>
  <c r="D2795" i="2"/>
  <c r="D151" i="2"/>
  <c r="D328" i="2"/>
  <c r="D1008" i="2"/>
  <c r="D1557" i="2"/>
  <c r="D2541" i="2"/>
  <c r="D2869" i="2"/>
  <c r="D3010" i="2"/>
  <c r="D1320" i="2"/>
  <c r="D2753" i="2"/>
  <c r="D909" i="2"/>
  <c r="D641" i="2"/>
  <c r="D1625" i="2"/>
  <c r="D2769" i="2"/>
  <c r="D2699" i="2"/>
  <c r="D2512" i="2"/>
  <c r="D2802" i="2"/>
  <c r="D2996" i="2"/>
  <c r="D90" i="2"/>
  <c r="D116" i="2"/>
  <c r="D2514" i="2"/>
  <c r="D2517" i="2"/>
  <c r="D2519" i="2"/>
  <c r="D2522" i="2"/>
  <c r="D313" i="2"/>
  <c r="D2525" i="2"/>
  <c r="D333" i="2"/>
  <c r="D2527" i="2"/>
  <c r="D2534" i="2"/>
  <c r="D422" i="2"/>
  <c r="D465" i="2"/>
  <c r="D526" i="2"/>
  <c r="D543" i="2"/>
  <c r="D546" i="2"/>
  <c r="D592" i="2"/>
  <c r="D2540" i="2"/>
  <c r="D612" i="2"/>
  <c r="D615" i="2"/>
  <c r="D2550" i="2"/>
  <c r="D2577" i="2"/>
  <c r="D668" i="2"/>
  <c r="D735" i="2"/>
  <c r="D2578" i="2"/>
  <c r="D785" i="2"/>
  <c r="D2579" i="2"/>
  <c r="D854" i="2"/>
  <c r="D872" i="2"/>
  <c r="D873" i="2"/>
  <c r="D879" i="2"/>
  <c r="D2590" i="2"/>
  <c r="D1100" i="2"/>
  <c r="D2593" i="2"/>
  <c r="D1164" i="2"/>
  <c r="D1223" i="2"/>
  <c r="D1214" i="2"/>
  <c r="D1239" i="2"/>
  <c r="D716" i="2"/>
  <c r="D1346" i="2"/>
  <c r="D1470" i="2"/>
  <c r="D679" i="2"/>
  <c r="D1565" i="2"/>
  <c r="D2594" i="2"/>
  <c r="D1671" i="2"/>
  <c r="D1676" i="2"/>
  <c r="D1681" i="2"/>
  <c r="D1687" i="2"/>
  <c r="D2714" i="2"/>
  <c r="D2596" i="2"/>
  <c r="D1717" i="2"/>
  <c r="D2599" i="2"/>
  <c r="D1749" i="2"/>
  <c r="D2601" i="2"/>
  <c r="D2602" i="2"/>
  <c r="D2606" i="2"/>
  <c r="D1877" i="2"/>
  <c r="D1882" i="2"/>
  <c r="D2610" i="2"/>
  <c r="D2611" i="2"/>
  <c r="D2614" i="2"/>
  <c r="D2137" i="2"/>
  <c r="D2616" i="2"/>
  <c r="D2621" i="2"/>
  <c r="D2199" i="2"/>
  <c r="D2233" i="2"/>
  <c r="D2277" i="2"/>
  <c r="D2333" i="2"/>
  <c r="D2650" i="2"/>
  <c r="D2652" i="2"/>
  <c r="D2427" i="2"/>
  <c r="D2451" i="2"/>
  <c r="D2471" i="2"/>
  <c r="D2655" i="2"/>
  <c r="D2607" i="2"/>
  <c r="D2658" i="2"/>
  <c r="D2659" i="2"/>
  <c r="D2654" i="2"/>
  <c r="D2665" i="2"/>
  <c r="D2687" i="2"/>
  <c r="D2765" i="2"/>
  <c r="D2783" i="2"/>
  <c r="D2663" i="2"/>
  <c r="D2853" i="2"/>
  <c r="D2854" i="2"/>
  <c r="D2878" i="2"/>
  <c r="D2671" i="2"/>
  <c r="D3021" i="2"/>
  <c r="D3064" i="2"/>
  <c r="D1799" i="2"/>
  <c r="D2337" i="2"/>
  <c r="D2537" i="2"/>
  <c r="D2281" i="2"/>
  <c r="D285" i="2"/>
  <c r="D2749" i="2"/>
  <c r="D2880" i="2"/>
  <c r="D2750" i="2"/>
  <c r="D2751" i="2"/>
  <c r="D1437" i="2"/>
  <c r="D2673" i="2"/>
  <c r="D2681" i="2"/>
  <c r="D2688" i="2"/>
  <c r="D2691" i="2"/>
  <c r="D2700" i="2"/>
  <c r="D155" i="2"/>
  <c r="D225" i="2"/>
  <c r="D463" i="2"/>
  <c r="D579" i="2"/>
  <c r="D925" i="2"/>
  <c r="D1019" i="2"/>
  <c r="D2702" i="2"/>
  <c r="D1240" i="2"/>
  <c r="D1300" i="2"/>
  <c r="D1302" i="2"/>
  <c r="D2704" i="2"/>
  <c r="D2707" i="2"/>
  <c r="D1457" i="2"/>
  <c r="D1572" i="2"/>
  <c r="D682" i="2"/>
  <c r="D1711" i="2"/>
  <c r="D1920" i="2"/>
  <c r="D2033" i="2"/>
  <c r="D2092" i="2"/>
  <c r="D2188" i="2"/>
  <c r="D2723" i="2"/>
  <c r="D2565" i="2"/>
  <c r="D2759" i="2"/>
  <c r="D2856" i="2"/>
  <c r="D2857" i="2"/>
  <c r="D2732" i="2"/>
  <c r="D2797" i="2"/>
  <c r="D704" i="2"/>
  <c r="D817" i="2"/>
  <c r="D1347" i="2"/>
  <c r="D2145" i="2"/>
  <c r="D2391" i="2"/>
  <c r="D2526" i="2"/>
  <c r="D2228" i="2"/>
  <c r="D2764" i="2"/>
  <c r="D2546" i="2"/>
  <c r="D2286" i="2"/>
  <c r="D1752" i="2"/>
  <c r="D2018" i="2"/>
  <c r="D2353" i="2"/>
  <c r="D43" i="2"/>
  <c r="D2768" i="2"/>
  <c r="D2733" i="2"/>
  <c r="D105" i="2"/>
  <c r="D574" i="2"/>
  <c r="D2734" i="2"/>
  <c r="D2438" i="2"/>
  <c r="D2881" i="2"/>
  <c r="D2776" i="2"/>
  <c r="D684" i="2"/>
  <c r="D1925" i="2"/>
  <c r="D2172" i="2"/>
  <c r="D772" i="2"/>
  <c r="D1472" i="2"/>
  <c r="D2642" i="2"/>
  <c r="D2645" i="2"/>
  <c r="D2855" i="2"/>
  <c r="D2872" i="2"/>
  <c r="D444" i="2"/>
  <c r="D575" i="2"/>
  <c r="D842" i="2"/>
  <c r="D1067" i="2"/>
  <c r="D1178" i="2"/>
  <c r="D2798" i="2"/>
  <c r="D2858" i="2"/>
  <c r="D2966" i="2"/>
  <c r="D2306" i="2"/>
  <c r="D2883" i="2"/>
  <c r="D2884" i="2"/>
  <c r="D2885" i="2"/>
  <c r="D2886" i="2"/>
  <c r="D2887" i="2"/>
  <c r="D1370" i="2"/>
  <c r="D2901" i="2"/>
  <c r="D2912" i="2"/>
  <c r="D2747" i="2"/>
  <c r="D1884" i="2"/>
  <c r="D1739" i="2"/>
  <c r="D485" i="2"/>
  <c r="D1011" i="2"/>
  <c r="D1842" i="2"/>
  <c r="D2329" i="2"/>
  <c r="D378" i="2"/>
  <c r="D2238" i="2"/>
  <c r="D2859" i="2"/>
  <c r="D106" i="2"/>
  <c r="D1176" i="2"/>
  <c r="D2958" i="2"/>
  <c r="D1888" i="2"/>
  <c r="D1623" i="2"/>
  <c r="D2756" i="2"/>
  <c r="D818" i="2"/>
  <c r="D44" i="2"/>
  <c r="D946" i="2"/>
  <c r="D1020" i="2"/>
  <c r="D1069" i="2"/>
  <c r="D1157" i="2"/>
  <c r="D2216" i="2"/>
  <c r="D2528" i="2"/>
  <c r="D2754" i="2"/>
  <c r="D2926" i="2"/>
  <c r="D3080" i="2"/>
  <c r="D1936" i="2"/>
  <c r="D1310" i="2"/>
  <c r="D3001" i="2"/>
  <c r="D2779" i="2"/>
  <c r="D2782" i="2"/>
  <c r="D406" i="2"/>
  <c r="D468" i="2"/>
  <c r="D1131" i="2"/>
  <c r="D1132" i="2"/>
  <c r="D1138" i="2"/>
  <c r="D1499" i="2"/>
  <c r="D1718" i="2"/>
  <c r="D2788" i="2"/>
  <c r="D2796" i="2"/>
  <c r="D2062" i="2"/>
  <c r="D2808" i="2"/>
  <c r="D2529" i="2"/>
  <c r="D688" i="2"/>
  <c r="D2685" i="2"/>
  <c r="D2815" i="2"/>
  <c r="D129" i="2"/>
  <c r="D220" i="2"/>
  <c r="D320" i="2"/>
  <c r="D430" i="2"/>
  <c r="D898" i="2"/>
  <c r="D962" i="2"/>
  <c r="D1348" i="2"/>
  <c r="D1108" i="2"/>
  <c r="D1558" i="2"/>
  <c r="D1686" i="2"/>
  <c r="D2084" i="2"/>
  <c r="D2816" i="2"/>
  <c r="D2453" i="2"/>
  <c r="D2530" i="2"/>
  <c r="D2531" i="2"/>
  <c r="D2946" i="2"/>
  <c r="D2975" i="2"/>
  <c r="D2992" i="2"/>
  <c r="D1199" i="2"/>
  <c r="D2817" i="2"/>
  <c r="D2829" i="2"/>
  <c r="D2947" i="2"/>
  <c r="D1710" i="2"/>
  <c r="D2208" i="2"/>
  <c r="D182" i="2"/>
  <c r="D1006" i="2"/>
  <c r="D1289" i="2"/>
  <c r="D1860" i="2"/>
  <c r="D2217" i="2"/>
  <c r="D687" i="2"/>
  <c r="D353" i="2"/>
  <c r="D124" i="2"/>
  <c r="D2041" i="2"/>
  <c r="D3022" i="2"/>
  <c r="D748" i="2"/>
  <c r="D855" i="2"/>
  <c r="D1010" i="2"/>
  <c r="D1060" i="2"/>
  <c r="D1317" i="2"/>
  <c r="D1367" i="2"/>
  <c r="D1387" i="2"/>
  <c r="D1441" i="2"/>
  <c r="D1559" i="2"/>
  <c r="D1560" i="2"/>
  <c r="D1661" i="2"/>
  <c r="D1705" i="2"/>
  <c r="D1736" i="2"/>
  <c r="D1789" i="2"/>
  <c r="D1921" i="2"/>
  <c r="D1983" i="2"/>
  <c r="D2532" i="2"/>
  <c r="D2547" i="2"/>
  <c r="D2860" i="2"/>
  <c r="D2861" i="2"/>
  <c r="D2927" i="2"/>
  <c r="D2948" i="2"/>
  <c r="D3015" i="2"/>
  <c r="D3027" i="2"/>
  <c r="D3028" i="2"/>
  <c r="D117" i="2"/>
  <c r="D3036" i="2"/>
  <c r="D2045" i="2"/>
  <c r="D3038" i="2"/>
  <c r="D3055" i="2"/>
  <c r="D2706" i="2"/>
  <c r="D819" i="2"/>
  <c r="D1202" i="2"/>
  <c r="D1276" i="2"/>
  <c r="D1248" i="2"/>
  <c r="D3048" i="2"/>
  <c r="D2840" i="2"/>
  <c r="D914" i="2"/>
  <c r="D726" i="2"/>
  <c r="D2895" i="2"/>
  <c r="D820" i="2"/>
  <c r="D2953" i="2"/>
  <c r="D45" i="2"/>
  <c r="D2841" i="2"/>
  <c r="D2595" i="2"/>
  <c r="D2717" i="2"/>
  <c r="D3058" i="2"/>
  <c r="D3060" i="2"/>
  <c r="D50" i="2"/>
  <c r="D2845" i="2"/>
  <c r="D69" i="2"/>
  <c r="D164" i="2"/>
  <c r="D196" i="2"/>
  <c r="D197" i="2"/>
  <c r="D241" i="2"/>
  <c r="D252" i="2"/>
  <c r="D2867" i="2"/>
  <c r="D2873" i="2"/>
  <c r="D740" i="2"/>
  <c r="D874" i="2"/>
  <c r="D938" i="2"/>
  <c r="D2879" i="2"/>
  <c r="D989" i="2"/>
  <c r="D1039" i="2"/>
  <c r="D1101" i="2"/>
  <c r="D1133" i="2"/>
  <c r="D2891" i="2"/>
  <c r="D1306" i="2"/>
  <c r="D1325" i="2"/>
  <c r="D1362" i="2"/>
  <c r="D2907" i="2"/>
  <c r="D1417" i="2"/>
  <c r="D2908" i="2"/>
  <c r="D1617" i="2"/>
  <c r="D1694" i="2"/>
  <c r="D2910" i="2"/>
  <c r="D2911" i="2"/>
  <c r="D1872" i="2"/>
  <c r="D1922" i="2"/>
  <c r="D2913" i="2"/>
  <c r="D1988" i="2"/>
  <c r="D2057" i="2"/>
  <c r="D2914" i="2"/>
  <c r="D2918" i="2"/>
  <c r="D2087" i="2"/>
  <c r="D2103" i="2"/>
  <c r="D2949" i="2"/>
  <c r="D2180" i="2"/>
  <c r="D2200" i="2"/>
  <c r="D2314" i="2"/>
  <c r="D2366" i="2"/>
  <c r="D2434" i="2"/>
  <c r="D1664" i="2"/>
  <c r="D2583" i="2"/>
  <c r="D2928" i="2"/>
  <c r="D2862" i="2"/>
  <c r="D2967" i="2"/>
  <c r="D2970" i="2"/>
  <c r="D58" i="2"/>
  <c r="D262" i="2"/>
  <c r="D729" i="2"/>
  <c r="D1502" i="2"/>
  <c r="D2010" i="2"/>
  <c r="D2127" i="2"/>
  <c r="D2728" i="2"/>
  <c r="D1562" i="2"/>
  <c r="D1627" i="2"/>
  <c r="D3074" i="2"/>
  <c r="D2991" i="2"/>
  <c r="D433" i="2"/>
  <c r="D506" i="2"/>
  <c r="D903" i="2"/>
  <c r="D976" i="2"/>
  <c r="D1134" i="2"/>
  <c r="D1237" i="2"/>
  <c r="D1440" i="2"/>
  <c r="D2268" i="2"/>
  <c r="D2533" i="2"/>
  <c r="D2561" i="2"/>
  <c r="D3012" i="2"/>
  <c r="D2934" i="2"/>
  <c r="D166" i="2"/>
  <c r="D171" i="2"/>
  <c r="D174" i="2"/>
  <c r="D2937" i="2"/>
  <c r="D233" i="2"/>
  <c r="D2952" i="2"/>
  <c r="D247" i="2"/>
  <c r="D2955" i="2"/>
  <c r="D2961" i="2"/>
  <c r="D337" i="2"/>
  <c r="D2964" i="2"/>
  <c r="D379" i="2"/>
  <c r="D2971" i="2"/>
  <c r="D2972" i="2"/>
  <c r="D2976" i="2"/>
  <c r="D2978" i="2"/>
  <c r="D528" i="2"/>
  <c r="D2979" i="2"/>
  <c r="D2986" i="2"/>
  <c r="D723" i="2"/>
  <c r="D730" i="2"/>
  <c r="D2989" i="2"/>
  <c r="D975" i="2"/>
  <c r="D1022" i="2"/>
  <c r="D1053" i="2"/>
  <c r="D1061" i="2"/>
  <c r="D1191" i="2"/>
  <c r="D2990" i="2"/>
  <c r="D1309" i="2"/>
  <c r="D1313" i="2"/>
  <c r="D1563" i="2"/>
  <c r="D1582" i="2"/>
  <c r="D2994" i="2"/>
  <c r="D1632" i="2"/>
  <c r="D1637" i="2"/>
  <c r="D2997" i="2"/>
  <c r="D1690" i="2"/>
  <c r="D1742" i="2"/>
  <c r="D3006" i="2"/>
  <c r="D3019" i="2"/>
  <c r="D3032" i="2"/>
  <c r="D1790" i="2"/>
  <c r="D1804" i="2"/>
  <c r="D686" i="2"/>
  <c r="D2040" i="2"/>
  <c r="D2162" i="2"/>
  <c r="D2163" i="2"/>
  <c r="D3035" i="2"/>
  <c r="D2395" i="2"/>
  <c r="D3047" i="2"/>
  <c r="D2464" i="2"/>
  <c r="D2477" i="2"/>
  <c r="D2589" i="2"/>
  <c r="D2640" i="2"/>
  <c r="D2641" i="2"/>
  <c r="D2661" i="2"/>
  <c r="D2662" i="2"/>
  <c r="D3049" i="2"/>
  <c r="D2742" i="2"/>
  <c r="D2799" i="2"/>
  <c r="D2800" i="2"/>
  <c r="D1151" i="2"/>
  <c r="D3050" i="2"/>
  <c r="D2960" i="2"/>
  <c r="D3052" i="2"/>
  <c r="D3051" i="2"/>
  <c r="D3056" i="2"/>
  <c r="D264" i="2"/>
  <c r="D3072" i="2"/>
  <c r="D1496" i="2"/>
  <c r="D3078" i="2"/>
  <c r="D329" i="2"/>
  <c r="D431" i="2"/>
  <c r="D1086" i="2"/>
  <c r="D2897" i="2"/>
  <c r="D1564" i="2"/>
  <c r="D1785" i="2"/>
  <c r="D1985" i="2"/>
  <c r="D1986" i="2"/>
  <c r="D2332" i="2"/>
  <c r="D2584" i="2"/>
  <c r="D670" i="2"/>
  <c r="D1106" i="2"/>
  <c r="D1588" i="2"/>
  <c r="D1619" i="2"/>
  <c r="D1712" i="2"/>
  <c r="D2628" i="2"/>
  <c r="D3082" i="2"/>
  <c r="E745" i="2"/>
  <c r="E6" i="2"/>
  <c r="E7" i="2"/>
  <c r="E8" i="2"/>
  <c r="E9" i="2"/>
  <c r="E10" i="2"/>
  <c r="E531" i="2"/>
  <c r="E1391" i="2"/>
  <c r="E49" i="2"/>
  <c r="E54" i="2"/>
  <c r="E161" i="2"/>
  <c r="E235" i="2"/>
  <c r="E275" i="2"/>
  <c r="E279" i="2"/>
  <c r="E308" i="2"/>
  <c r="E309" i="2"/>
  <c r="E56" i="2"/>
  <c r="E414" i="2"/>
  <c r="E415" i="2"/>
  <c r="E68" i="2"/>
  <c r="E513" i="2"/>
  <c r="E2672" i="2"/>
  <c r="E73" i="2"/>
  <c r="E647" i="2"/>
  <c r="E719" i="2"/>
  <c r="E74" i="2"/>
  <c r="E76" i="2"/>
  <c r="E1031" i="2"/>
  <c r="E85" i="2"/>
  <c r="E1109" i="2"/>
  <c r="E1070" i="2"/>
  <c r="E1250" i="2"/>
  <c r="E409" i="2"/>
  <c r="E1333" i="2"/>
  <c r="E89" i="2"/>
  <c r="E1508" i="2"/>
  <c r="E1392" i="2"/>
  <c r="E1836" i="2"/>
  <c r="E91" i="2"/>
  <c r="E1881" i="2"/>
  <c r="E1905" i="2"/>
  <c r="E1938" i="2"/>
  <c r="E1944" i="2"/>
  <c r="E96" i="2"/>
  <c r="E2066" i="2"/>
  <c r="E112" i="2"/>
  <c r="E114" i="2"/>
  <c r="E2341" i="2"/>
  <c r="E2348" i="2"/>
  <c r="E128" i="2"/>
  <c r="E130" i="2"/>
  <c r="E2409" i="2"/>
  <c r="E145" i="2"/>
  <c r="E160" i="2"/>
  <c r="E2931" i="2"/>
  <c r="E205" i="2"/>
  <c r="E287" i="2"/>
  <c r="E1509" i="2"/>
  <c r="E60" i="2"/>
  <c r="E1378" i="2"/>
  <c r="E1753" i="2"/>
  <c r="E372" i="2"/>
  <c r="E373" i="2"/>
  <c r="E405" i="2"/>
  <c r="E560" i="2"/>
  <c r="E734" i="2"/>
  <c r="E969" i="2"/>
  <c r="E1766" i="2"/>
  <c r="E1906" i="2"/>
  <c r="E2325" i="2"/>
  <c r="E2371" i="2"/>
  <c r="E2422" i="2"/>
  <c r="E2555" i="2"/>
  <c r="E2892" i="2"/>
  <c r="E1192" i="2"/>
  <c r="E1510" i="2"/>
  <c r="E1772" i="2"/>
  <c r="E64" i="2"/>
  <c r="E2623" i="2"/>
  <c r="E892" i="2"/>
  <c r="E672" i="2"/>
  <c r="E1251" i="2"/>
  <c r="E1279" i="2"/>
  <c r="E1678" i="2"/>
  <c r="E1740" i="2"/>
  <c r="E2059" i="2"/>
  <c r="E2312" i="2"/>
  <c r="E2416" i="2"/>
  <c r="E2805" i="2"/>
  <c r="E72" i="2"/>
  <c r="E256" i="2"/>
  <c r="E70" i="2"/>
  <c r="E190" i="2"/>
  <c r="E199" i="2"/>
  <c r="E350" i="2"/>
  <c r="E163" i="2"/>
  <c r="E500" i="2"/>
  <c r="E518" i="2"/>
  <c r="E165" i="2"/>
  <c r="E1307" i="2"/>
  <c r="E167" i="2"/>
  <c r="E1596" i="2"/>
  <c r="E2015" i="2"/>
  <c r="E2047" i="2"/>
  <c r="E2101" i="2"/>
  <c r="E963" i="2"/>
  <c r="E2110" i="2"/>
  <c r="E2344" i="2"/>
  <c r="E2398" i="2"/>
  <c r="E168" i="2"/>
  <c r="E170" i="2"/>
  <c r="E71" i="2"/>
  <c r="E254" i="2"/>
  <c r="E2562" i="2"/>
  <c r="E179" i="2"/>
  <c r="E157" i="2"/>
  <c r="E507" i="2"/>
  <c r="E514" i="2"/>
  <c r="E193" i="2"/>
  <c r="E1393" i="2"/>
  <c r="E204" i="2"/>
  <c r="E209" i="2"/>
  <c r="E2649" i="2"/>
  <c r="E77" i="2"/>
  <c r="E521" i="2"/>
  <c r="E823" i="2"/>
  <c r="E2806" i="2"/>
  <c r="E191" i="2"/>
  <c r="E248" i="2"/>
  <c r="E307" i="2"/>
  <c r="E321" i="2"/>
  <c r="E327" i="2"/>
  <c r="E369" i="2"/>
  <c r="E370" i="2"/>
  <c r="E733" i="2"/>
  <c r="E850" i="2"/>
  <c r="E970" i="2"/>
  <c r="E1225" i="2"/>
  <c r="E1373" i="2"/>
  <c r="E1569" i="2"/>
  <c r="E1771" i="2"/>
  <c r="E1864" i="2"/>
  <c r="E2209" i="2"/>
  <c r="E2261" i="2"/>
  <c r="E2342" i="2"/>
  <c r="E2667" i="2"/>
  <c r="E2785" i="2"/>
  <c r="E2807" i="2"/>
  <c r="E2982" i="2"/>
  <c r="E207" i="2"/>
  <c r="E208" i="2"/>
  <c r="E81" i="2"/>
  <c r="E82" i="2"/>
  <c r="E83" i="2"/>
  <c r="E84" i="2"/>
  <c r="E1110" i="2"/>
  <c r="E1332" i="2"/>
  <c r="E2214" i="2"/>
  <c r="E47" i="2"/>
  <c r="E92" i="2"/>
  <c r="E2450" i="2"/>
  <c r="E1055" i="2"/>
  <c r="E3025" i="2"/>
  <c r="E93" i="2"/>
  <c r="E1366" i="2"/>
  <c r="E304" i="2"/>
  <c r="E211" i="2"/>
  <c r="E404" i="2"/>
  <c r="E410" i="2"/>
  <c r="E510" i="2"/>
  <c r="E212" i="2"/>
  <c r="E223" i="2"/>
  <c r="E849" i="2"/>
  <c r="E224" i="2"/>
  <c r="E906" i="2"/>
  <c r="E935" i="2"/>
  <c r="E1183" i="2"/>
  <c r="E1228" i="2"/>
  <c r="E231" i="2"/>
  <c r="E242" i="2"/>
  <c r="E1512" i="2"/>
  <c r="E1513" i="2"/>
  <c r="E1643" i="2"/>
  <c r="E1768" i="2"/>
  <c r="E1786" i="2"/>
  <c r="E249" i="2"/>
  <c r="E2269" i="2"/>
  <c r="E2387" i="2"/>
  <c r="E250" i="2"/>
  <c r="E251" i="2"/>
  <c r="E2674" i="2"/>
  <c r="E259" i="2"/>
  <c r="E2983" i="2"/>
  <c r="E359" i="2"/>
  <c r="E136" i="2"/>
  <c r="E186" i="2"/>
  <c r="E712" i="2"/>
  <c r="E1104" i="2"/>
  <c r="E1514" i="2"/>
  <c r="E1590" i="2"/>
  <c r="E1591" i="2"/>
  <c r="E1679" i="2"/>
  <c r="E2034" i="2"/>
  <c r="E2356" i="2"/>
  <c r="E2570" i="2"/>
  <c r="E2613" i="2"/>
  <c r="E602" i="2"/>
  <c r="E98" i="2"/>
  <c r="E52" i="2"/>
  <c r="E1071" i="2"/>
  <c r="E1451" i="2"/>
  <c r="E1515" i="2"/>
  <c r="E2539" i="2"/>
  <c r="E2689" i="2"/>
  <c r="E100" i="2"/>
  <c r="E2809" i="2"/>
  <c r="E315" i="2"/>
  <c r="E2130" i="2"/>
  <c r="E103" i="2"/>
  <c r="E283" i="2"/>
  <c r="E658" i="2"/>
  <c r="E788" i="2"/>
  <c r="E991" i="2"/>
  <c r="E1034" i="2"/>
  <c r="E1278" i="2"/>
  <c r="E1606" i="2"/>
  <c r="E1839" i="2"/>
  <c r="E1871" i="2"/>
  <c r="E2358" i="2"/>
  <c r="E2483" i="2"/>
  <c r="E2543" i="2"/>
  <c r="E2701" i="2"/>
  <c r="E2810" i="2"/>
  <c r="E265" i="2"/>
  <c r="E3031" i="2"/>
  <c r="E255" i="2"/>
  <c r="E603" i="2"/>
  <c r="E653" i="2"/>
  <c r="E789" i="2"/>
  <c r="E865" i="2"/>
  <c r="E1111" i="2"/>
  <c r="E1252" i="2"/>
  <c r="E1357" i="2"/>
  <c r="E1394" i="2"/>
  <c r="E2431" i="2"/>
  <c r="E2461" i="2"/>
  <c r="E2786" i="2"/>
  <c r="E2811" i="2"/>
  <c r="E2932" i="2"/>
  <c r="E339" i="2"/>
  <c r="E1684" i="2"/>
  <c r="E1773" i="2"/>
  <c r="E749" i="2"/>
  <c r="E1573" i="2"/>
  <c r="E1759" i="2"/>
  <c r="E1929" i="2"/>
  <c r="E1940" i="2"/>
  <c r="E466" i="2"/>
  <c r="E2591" i="2"/>
  <c r="E2603" i="2"/>
  <c r="E2787" i="2"/>
  <c r="E2812" i="2"/>
  <c r="E3011" i="2"/>
  <c r="E2484" i="2"/>
  <c r="E108" i="2"/>
  <c r="E515" i="2"/>
  <c r="E762" i="2"/>
  <c r="E673" i="2"/>
  <c r="E1286" i="2"/>
  <c r="E2140" i="2"/>
  <c r="E2675" i="2"/>
  <c r="E109" i="2"/>
  <c r="E2722" i="2"/>
  <c r="E118" i="2"/>
  <c r="E119" i="2"/>
  <c r="E120" i="2"/>
  <c r="E121" i="2"/>
  <c r="E123" i="2"/>
  <c r="E1478" i="2"/>
  <c r="E126" i="2"/>
  <c r="E127" i="2"/>
  <c r="E266" i="2"/>
  <c r="E487" i="2"/>
  <c r="E1483" i="2"/>
  <c r="E134" i="2"/>
  <c r="E2270" i="2"/>
  <c r="E270" i="2"/>
  <c r="E1044" i="2"/>
  <c r="E271" i="2"/>
  <c r="E2105" i="2"/>
  <c r="E1358" i="2"/>
  <c r="E1516" i="2"/>
  <c r="E2630" i="2"/>
  <c r="E272" i="2"/>
  <c r="E2670" i="2"/>
  <c r="E2696" i="2"/>
  <c r="E2813" i="2"/>
  <c r="E3003" i="2"/>
  <c r="E393" i="2"/>
  <c r="E1274" i="2"/>
  <c r="E2300" i="2"/>
  <c r="E2814" i="2"/>
  <c r="E471" i="2"/>
  <c r="E274" i="2"/>
  <c r="E141" i="2"/>
  <c r="E142" i="2"/>
  <c r="E53" i="2"/>
  <c r="E2538" i="2"/>
  <c r="E278" i="2"/>
  <c r="E258" i="2"/>
  <c r="E385" i="2"/>
  <c r="E412" i="2"/>
  <c r="E282" i="2"/>
  <c r="E461" i="2"/>
  <c r="E284" i="2"/>
  <c r="E296" i="2"/>
  <c r="E305" i="2"/>
  <c r="E306" i="2"/>
  <c r="E783" i="2"/>
  <c r="E790" i="2"/>
  <c r="E824" i="2"/>
  <c r="E883" i="2"/>
  <c r="E929" i="2"/>
  <c r="E973" i="2"/>
  <c r="E999" i="2"/>
  <c r="E1147" i="2"/>
  <c r="E675" i="2"/>
  <c r="E1186" i="2"/>
  <c r="E314" i="2"/>
  <c r="E323" i="2"/>
  <c r="E1344" i="2"/>
  <c r="E324" i="2"/>
  <c r="E1517" i="2"/>
  <c r="E1776" i="2"/>
  <c r="E1826" i="2"/>
  <c r="E1876" i="2"/>
  <c r="E331" i="2"/>
  <c r="E332" i="2"/>
  <c r="E2165" i="2"/>
  <c r="E336" i="2"/>
  <c r="E2185" i="2"/>
  <c r="E2252" i="2"/>
  <c r="E2290" i="2"/>
  <c r="E2293" i="2"/>
  <c r="E340" i="2"/>
  <c r="E341" i="2"/>
  <c r="E343" i="2"/>
  <c r="E344" i="2"/>
  <c r="E2604" i="2"/>
  <c r="E351" i="2"/>
  <c r="E2646" i="2"/>
  <c r="E352" i="2"/>
  <c r="E354" i="2"/>
  <c r="E2773" i="2"/>
  <c r="E356" i="2"/>
  <c r="E2804" i="2"/>
  <c r="E358" i="2"/>
  <c r="E2864" i="2"/>
  <c r="E361" i="2"/>
  <c r="E2957" i="2"/>
  <c r="E363" i="2"/>
  <c r="E2984" i="2"/>
  <c r="E3041" i="2"/>
  <c r="E144" i="2"/>
  <c r="E146" i="2"/>
  <c r="E147" i="2"/>
  <c r="E2636" i="2"/>
  <c r="E149" i="2"/>
  <c r="E150" i="2"/>
  <c r="E75" i="2"/>
  <c r="E298" i="2"/>
  <c r="E137" i="2"/>
  <c r="E669" i="2"/>
  <c r="E360" i="2"/>
  <c r="E837" i="2"/>
  <c r="E894" i="2"/>
  <c r="E954" i="2"/>
  <c r="E365" i="2"/>
  <c r="E676" i="2"/>
  <c r="E376" i="2"/>
  <c r="E380" i="2"/>
  <c r="E1395" i="2"/>
  <c r="E1419" i="2"/>
  <c r="E1631" i="2"/>
  <c r="E384" i="2"/>
  <c r="E1691" i="2"/>
  <c r="E386" i="2"/>
  <c r="E1946" i="2"/>
  <c r="E1994" i="2"/>
  <c r="E2063" i="2"/>
  <c r="E2075" i="2"/>
  <c r="E388" i="2"/>
  <c r="E2149" i="2"/>
  <c r="E2424" i="2"/>
  <c r="E2557" i="2"/>
  <c r="E2558" i="2"/>
  <c r="E389" i="2"/>
  <c r="E390" i="2"/>
  <c r="E408" i="2"/>
  <c r="E413" i="2"/>
  <c r="E691" i="2"/>
  <c r="E3070" i="2"/>
  <c r="E198" i="2"/>
  <c r="E139" i="2"/>
  <c r="E425" i="2"/>
  <c r="E791" i="2"/>
  <c r="E792" i="2"/>
  <c r="E1497" i="2"/>
  <c r="E428" i="2"/>
  <c r="E1660" i="2"/>
  <c r="E429" i="2"/>
  <c r="E437" i="2"/>
  <c r="E438" i="2"/>
  <c r="E228" i="2"/>
  <c r="E3061" i="2"/>
  <c r="E11" i="2"/>
  <c r="E392" i="2"/>
  <c r="E434" i="2"/>
  <c r="E1080" i="2"/>
  <c r="E1112" i="2"/>
  <c r="E1232" i="2"/>
  <c r="E1275" i="2"/>
  <c r="E1396" i="2"/>
  <c r="E1449" i="2"/>
  <c r="E1947" i="2"/>
  <c r="E2048" i="2"/>
  <c r="E2114" i="2"/>
  <c r="E2411" i="2"/>
  <c r="E2664" i="2"/>
  <c r="E2761" i="2"/>
  <c r="E2789" i="2"/>
  <c r="E3044" i="2"/>
  <c r="E243" i="2"/>
  <c r="E222" i="2"/>
  <c r="E245" i="2"/>
  <c r="E3023" i="2"/>
  <c r="E1375" i="2"/>
  <c r="E441" i="2"/>
  <c r="E173" i="2"/>
  <c r="E263" i="2"/>
  <c r="E635" i="2"/>
  <c r="E1113" i="2"/>
  <c r="E2380" i="2"/>
  <c r="E442" i="2"/>
  <c r="E1465" i="2"/>
  <c r="E583" i="2"/>
  <c r="E2129" i="2"/>
  <c r="E12" i="2"/>
  <c r="E985" i="2"/>
  <c r="E291" i="2"/>
  <c r="E941" i="2"/>
  <c r="E1009" i="2"/>
  <c r="E1349" i="2"/>
  <c r="E529" i="2"/>
  <c r="E532" i="2"/>
  <c r="E1519" i="2"/>
  <c r="E1948" i="2"/>
  <c r="E2223" i="2"/>
  <c r="E2388" i="2"/>
  <c r="E2432" i="2"/>
  <c r="E2962" i="2"/>
  <c r="E2235" i="2"/>
  <c r="E295" i="2"/>
  <c r="E449" i="2"/>
  <c r="E417" i="2"/>
  <c r="E1330" i="2"/>
  <c r="E450" i="2"/>
  <c r="E1838" i="2"/>
  <c r="E451" i="2"/>
  <c r="E452" i="2"/>
  <c r="E2364" i="2"/>
  <c r="E453" i="2"/>
  <c r="E2933" i="2"/>
  <c r="E192" i="2"/>
  <c r="E297" i="2"/>
  <c r="E334" i="2"/>
  <c r="E2831" i="2"/>
  <c r="E188" i="2"/>
  <c r="E203" i="2"/>
  <c r="E457" i="2"/>
  <c r="E459" i="2"/>
  <c r="E469" i="2"/>
  <c r="E904" i="2"/>
  <c r="E1000" i="2"/>
  <c r="E1007" i="2"/>
  <c r="E2487" i="2"/>
  <c r="E1027" i="2"/>
  <c r="E1036" i="2"/>
  <c r="E1052" i="2"/>
  <c r="E1114" i="2"/>
  <c r="E1521" i="2"/>
  <c r="E470" i="2"/>
  <c r="E494" i="2"/>
  <c r="E1476" i="2"/>
  <c r="E1520" i="2"/>
  <c r="E1833" i="2"/>
  <c r="E1893" i="2"/>
  <c r="E2104" i="2"/>
  <c r="E497" i="2"/>
  <c r="E499" i="2"/>
  <c r="E2386" i="2"/>
  <c r="E502" i="2"/>
  <c r="E2690" i="2"/>
  <c r="E505" i="2"/>
  <c r="E2739" i="2"/>
  <c r="E2818" i="2"/>
  <c r="E509" i="2"/>
  <c r="E3000" i="2"/>
  <c r="E300" i="2"/>
  <c r="E1636" i="2"/>
  <c r="E2554" i="2"/>
  <c r="E1255" i="2"/>
  <c r="E511" i="2"/>
  <c r="E522" i="2"/>
  <c r="E533" i="2"/>
  <c r="E2781" i="2"/>
  <c r="E310" i="2"/>
  <c r="E210" i="2"/>
  <c r="E696" i="2"/>
  <c r="E1987" i="2"/>
  <c r="E2002" i="2"/>
  <c r="E2158" i="2"/>
  <c r="E2634" i="2"/>
  <c r="E2647" i="2"/>
  <c r="E2819" i="2"/>
  <c r="E2903" i="2"/>
  <c r="E330" i="2"/>
  <c r="E229" i="2"/>
  <c r="E59" i="2"/>
  <c r="E2021" i="2"/>
  <c r="E535" i="2"/>
  <c r="E2473" i="2"/>
  <c r="E3007" i="2"/>
  <c r="E346" i="2"/>
  <c r="E3008" i="2"/>
  <c r="E1950" i="2"/>
  <c r="E2106" i="2"/>
  <c r="E2215" i="2"/>
  <c r="E2488" i="2"/>
  <c r="E2676" i="2"/>
  <c r="E1372" i="2"/>
  <c r="E418" i="2"/>
  <c r="E184" i="2"/>
  <c r="E2184" i="2"/>
  <c r="E349" i="2"/>
  <c r="E357" i="2"/>
  <c r="E367" i="2"/>
  <c r="E368" i="2"/>
  <c r="E961" i="2"/>
  <c r="E2479" i="2"/>
  <c r="E1326" i="2"/>
  <c r="E2724" i="2"/>
  <c r="E3005" i="2"/>
  <c r="E290" i="2"/>
  <c r="E175" i="2"/>
  <c r="E984" i="2"/>
  <c r="E1066" i="2"/>
  <c r="E1341" i="2"/>
  <c r="E1908" i="2"/>
  <c r="E1951" i="2"/>
  <c r="E2900" i="2"/>
  <c r="E1243" i="2"/>
  <c r="E2212" i="2"/>
  <c r="E401" i="2"/>
  <c r="E2236" i="2"/>
  <c r="E2535" i="2"/>
  <c r="E13" i="2"/>
  <c r="E1115" i="2"/>
  <c r="E2373" i="2"/>
  <c r="E2192" i="2"/>
  <c r="E483" i="2"/>
  <c r="E432" i="2"/>
  <c r="E986" i="2"/>
  <c r="E1731" i="2"/>
  <c r="E2271" i="2"/>
  <c r="E775" i="2"/>
  <c r="E1629" i="2"/>
  <c r="E267" i="2"/>
  <c r="E447" i="2"/>
  <c r="E480" i="2"/>
  <c r="E530" i="2"/>
  <c r="E793" i="2"/>
  <c r="E1043" i="2"/>
  <c r="E2489" i="2"/>
  <c r="E1522" i="2"/>
  <c r="E1579" i="2"/>
  <c r="E537" i="2"/>
  <c r="E1851" i="2"/>
  <c r="E2175" i="2"/>
  <c r="E2249" i="2"/>
  <c r="E2266" i="2"/>
  <c r="E690" i="2"/>
  <c r="E2924" i="2"/>
  <c r="E14" i="2"/>
  <c r="E527" i="2"/>
  <c r="E467" i="2"/>
  <c r="E472" i="2"/>
  <c r="E2285" i="2"/>
  <c r="E15" i="2"/>
  <c r="E475" i="2"/>
  <c r="E1224" i="2"/>
  <c r="E477" i="2"/>
  <c r="E16" i="2"/>
  <c r="E478" i="2"/>
  <c r="E1064" i="2"/>
  <c r="E446" i="2"/>
  <c r="E455" i="2"/>
  <c r="E983" i="2"/>
  <c r="E407" i="2"/>
  <c r="E2061" i="2"/>
  <c r="E2065" i="2"/>
  <c r="E481" i="2"/>
  <c r="E2284" i="2"/>
  <c r="E621" i="2"/>
  <c r="E17" i="2"/>
  <c r="E724" i="2"/>
  <c r="E538" i="2"/>
  <c r="E551" i="2"/>
  <c r="E504" i="2"/>
  <c r="E552" i="2"/>
  <c r="E544" i="2"/>
  <c r="E617" i="2"/>
  <c r="E554" i="2"/>
  <c r="E784" i="2"/>
  <c r="E884" i="2"/>
  <c r="E555" i="2"/>
  <c r="E1116" i="2"/>
  <c r="E1342" i="2"/>
  <c r="E1445" i="2"/>
  <c r="E1454" i="2"/>
  <c r="E1523" i="2"/>
  <c r="E1682" i="2"/>
  <c r="E1726" i="2"/>
  <c r="E561" i="2"/>
  <c r="E1803" i="2"/>
  <c r="E1909" i="2"/>
  <c r="E1952" i="2"/>
  <c r="E2003" i="2"/>
  <c r="E2254" i="2"/>
  <c r="E2259" i="2"/>
  <c r="E2360" i="2"/>
  <c r="E2397" i="2"/>
  <c r="E2027" i="2"/>
  <c r="E2774" i="2"/>
  <c r="E2820" i="2"/>
  <c r="E2821" i="2"/>
  <c r="E566" i="2"/>
  <c r="E580" i="2"/>
  <c r="E2822" i="2"/>
  <c r="E486" i="2"/>
  <c r="E51" i="2"/>
  <c r="E3069" i="2"/>
  <c r="E18" i="2"/>
  <c r="E80" i="2"/>
  <c r="E138" i="2"/>
  <c r="E2279" i="2"/>
  <c r="E2308" i="2"/>
  <c r="E525" i="2"/>
  <c r="E19" i="2"/>
  <c r="E1315" i="2"/>
  <c r="E2890" i="2"/>
  <c r="E547" i="2"/>
  <c r="E226" i="2"/>
  <c r="E387" i="2"/>
  <c r="E1079" i="2"/>
  <c r="E965" i="2"/>
  <c r="E2115" i="2"/>
  <c r="E3053" i="2"/>
  <c r="E570" i="2"/>
  <c r="E571" i="2"/>
  <c r="E846" i="2"/>
  <c r="E132" i="2"/>
  <c r="E721" i="2"/>
  <c r="E1287" i="2"/>
  <c r="E2440" i="2"/>
  <c r="E572" i="2"/>
  <c r="E573" i="2"/>
  <c r="E586" i="2"/>
  <c r="E587" i="2"/>
  <c r="E545" i="2"/>
  <c r="E549" i="2"/>
  <c r="E563" i="2"/>
  <c r="E595" i="2"/>
  <c r="E618" i="2"/>
  <c r="E643" i="2"/>
  <c r="E646" i="2"/>
  <c r="E794" i="2"/>
  <c r="E917" i="2"/>
  <c r="E918" i="2"/>
  <c r="E2824" i="2"/>
  <c r="E1093" i="2"/>
  <c r="E1466" i="2"/>
  <c r="E1601" i="2"/>
  <c r="E1698" i="2"/>
  <c r="E588" i="2"/>
  <c r="E1849" i="2"/>
  <c r="E598" i="2"/>
  <c r="E601" i="2"/>
  <c r="E2346" i="2"/>
  <c r="E2454" i="2"/>
  <c r="E605" i="2"/>
  <c r="E2549" i="2"/>
  <c r="E2569" i="2"/>
  <c r="E2719" i="2"/>
  <c r="E2720" i="2"/>
  <c r="E2790" i="2"/>
  <c r="E2823" i="2"/>
  <c r="E2874" i="2"/>
  <c r="E609" i="2"/>
  <c r="E2993" i="2"/>
  <c r="E3073" i="2"/>
  <c r="E1154" i="2"/>
  <c r="E1308" i="2"/>
  <c r="E122" i="2"/>
  <c r="E610" i="2"/>
  <c r="E3020" i="2"/>
  <c r="E411" i="2"/>
  <c r="E582" i="2"/>
  <c r="E1398" i="2"/>
  <c r="E619" i="2"/>
  <c r="E261" i="2"/>
  <c r="E399" i="2"/>
  <c r="E695" i="2"/>
  <c r="E620" i="2"/>
  <c r="E934" i="2"/>
  <c r="E951" i="2"/>
  <c r="E629" i="2"/>
  <c r="E1117" i="2"/>
  <c r="E1118" i="2"/>
  <c r="E1206" i="2"/>
  <c r="E1322" i="2"/>
  <c r="E1359" i="2"/>
  <c r="E1376" i="2"/>
  <c r="E1397" i="2"/>
  <c r="E1580" i="2"/>
  <c r="E630" i="2"/>
  <c r="E1719" i="2"/>
  <c r="E1777" i="2"/>
  <c r="E632" i="2"/>
  <c r="E1910" i="2"/>
  <c r="E1953" i="2"/>
  <c r="E1993" i="2"/>
  <c r="E2004" i="2"/>
  <c r="E2147" i="2"/>
  <c r="E2336" i="2"/>
  <c r="E634" i="2"/>
  <c r="E2430" i="2"/>
  <c r="E637" i="2"/>
  <c r="E2605" i="2"/>
  <c r="E2116" i="2"/>
  <c r="E2888" i="2"/>
  <c r="E3009" i="2"/>
  <c r="E640" i="2"/>
  <c r="E20" i="2"/>
  <c r="E21" i="2"/>
  <c r="E2060" i="2"/>
  <c r="E593" i="2"/>
  <c r="E2708" i="2"/>
  <c r="E99" i="2"/>
  <c r="E2935" i="2"/>
  <c r="E644" i="2"/>
  <c r="E1566" i="2"/>
  <c r="E2085" i="2"/>
  <c r="E2566" i="2"/>
  <c r="E22" i="2"/>
  <c r="E611" i="2"/>
  <c r="E613" i="2"/>
  <c r="E2474" i="2"/>
  <c r="E1639" i="2"/>
  <c r="E650" i="2"/>
  <c r="E654" i="2"/>
  <c r="E512" i="2"/>
  <c r="E663" i="2"/>
  <c r="E1094" i="2"/>
  <c r="E2730" i="2"/>
  <c r="E2825" i="2"/>
  <c r="E482" i="2"/>
  <c r="E623" i="2"/>
  <c r="E980" i="2"/>
  <c r="E2898" i="2"/>
  <c r="E2737" i="2"/>
  <c r="E143" i="2"/>
  <c r="E435" i="2"/>
  <c r="E1858" i="2"/>
  <c r="E2468" i="2"/>
  <c r="E381" i="2"/>
  <c r="E1041" i="2"/>
  <c r="E1256" i="2"/>
  <c r="E1399" i="2"/>
  <c r="E1400" i="2"/>
  <c r="E2327" i="2"/>
  <c r="E2709" i="2"/>
  <c r="E648" i="2"/>
  <c r="E1887" i="2"/>
  <c r="E694" i="2"/>
  <c r="E708" i="2"/>
  <c r="E1233" i="2"/>
  <c r="E1257" i="2"/>
  <c r="E1577" i="2"/>
  <c r="E1989" i="2"/>
  <c r="E2081" i="2"/>
  <c r="E2826" i="2"/>
  <c r="E652" i="2"/>
  <c r="E651" i="2"/>
  <c r="E490" i="2"/>
  <c r="E1271" i="2"/>
  <c r="E110" i="2"/>
  <c r="E236" i="2"/>
  <c r="E796" i="2"/>
  <c r="E1024" i="2"/>
  <c r="E312" i="2"/>
  <c r="E516" i="2"/>
  <c r="E576" i="2"/>
  <c r="E2082" i="2"/>
  <c r="E227" i="2"/>
  <c r="E426" i="2"/>
  <c r="E845" i="2"/>
  <c r="E655" i="2"/>
  <c r="E1368" i="2"/>
  <c r="E2677" i="2"/>
  <c r="E899" i="2"/>
  <c r="E697" i="2"/>
  <c r="E1620" i="2"/>
  <c r="E2304" i="2"/>
  <c r="E1013" i="2"/>
  <c r="E596" i="2"/>
  <c r="E797" i="2"/>
  <c r="E1018" i="2"/>
  <c r="E1831" i="2"/>
  <c r="E714" i="2"/>
  <c r="E1456" i="2"/>
  <c r="E86" i="2"/>
  <c r="E371" i="2"/>
  <c r="E798" i="2"/>
  <c r="E859" i="2"/>
  <c r="E1644" i="2"/>
  <c r="E717" i="2"/>
  <c r="E1820" i="2"/>
  <c r="E2064" i="2"/>
  <c r="E2098" i="2"/>
  <c r="E2131" i="2"/>
  <c r="E656" i="2"/>
  <c r="E2995" i="2"/>
  <c r="E3033" i="2"/>
  <c r="E213" i="2"/>
  <c r="E2871" i="2"/>
  <c r="E1163" i="2"/>
  <c r="E2013" i="2"/>
  <c r="E718" i="2"/>
  <c r="E1857" i="2"/>
  <c r="E727" i="2"/>
  <c r="E23" i="2"/>
  <c r="E731" i="2"/>
  <c r="E1488" i="2"/>
  <c r="E939" i="2"/>
  <c r="E799" i="2"/>
  <c r="E2028" i="2"/>
  <c r="E257" i="2"/>
  <c r="E896" i="2"/>
  <c r="E1090" i="2"/>
  <c r="E2237" i="2"/>
  <c r="E2491" i="2"/>
  <c r="E2492" i="2"/>
  <c r="E2493" i="2"/>
  <c r="E2668" i="2"/>
  <c r="E1258" i="2"/>
  <c r="E1870" i="2"/>
  <c r="E915" i="2"/>
  <c r="E2182" i="2"/>
  <c r="E1210" i="2"/>
  <c r="E3065" i="2"/>
  <c r="E1119" i="2"/>
  <c r="E152" i="2"/>
  <c r="E936" i="2"/>
  <c r="E937" i="2"/>
  <c r="E1672" i="2"/>
  <c r="E2186" i="2"/>
  <c r="E657" i="2"/>
  <c r="E693" i="2"/>
  <c r="E744" i="2"/>
  <c r="E293" i="2"/>
  <c r="E800" i="2"/>
  <c r="E2274" i="2"/>
  <c r="E1078" i="2"/>
  <c r="E1229" i="2"/>
  <c r="E1911" i="2"/>
  <c r="E2206" i="2"/>
  <c r="E2791" i="2"/>
  <c r="E2827" i="2"/>
  <c r="E3017" i="2"/>
  <c r="E746" i="2"/>
  <c r="E1161" i="2"/>
  <c r="E2950" i="2"/>
  <c r="E659" i="2"/>
  <c r="E683" i="2"/>
  <c r="E699" i="2"/>
  <c r="E2644" i="2"/>
  <c r="E2731" i="2"/>
  <c r="E2780" i="2"/>
  <c r="E322" i="2"/>
  <c r="E1259" i="2"/>
  <c r="E1418" i="2"/>
  <c r="E1524" i="2"/>
  <c r="E2097" i="2"/>
  <c r="E2257" i="2"/>
  <c r="E2359" i="2"/>
  <c r="E2622" i="2"/>
  <c r="E2678" i="2"/>
  <c r="E2718" i="2"/>
  <c r="E3016" i="2"/>
  <c r="E761" i="2"/>
  <c r="E1861" i="2"/>
  <c r="E703" i="2"/>
  <c r="E764" i="2"/>
  <c r="E493" i="2"/>
  <c r="E2138" i="2"/>
  <c r="E2164" i="2"/>
  <c r="E705" i="2"/>
  <c r="E2494" i="2"/>
  <c r="E1095" i="2"/>
  <c r="E1760" i="2"/>
  <c r="E232" i="2"/>
  <c r="E237" i="2"/>
  <c r="E567" i="2"/>
  <c r="E631" i="2"/>
  <c r="E1072" i="2"/>
  <c r="E1260" i="2"/>
  <c r="E1294" i="2"/>
  <c r="E1525" i="2"/>
  <c r="E1683" i="2"/>
  <c r="E1780" i="2"/>
  <c r="E1853" i="2"/>
  <c r="E2036" i="2"/>
  <c r="E2191" i="2"/>
  <c r="E2412" i="2"/>
  <c r="E2495" i="2"/>
  <c r="E2686" i="2"/>
  <c r="E2870" i="2"/>
  <c r="E3045" i="2"/>
  <c r="E1645" i="2"/>
  <c r="E2415" i="2"/>
  <c r="E2612" i="2"/>
  <c r="E2896" i="2"/>
  <c r="E2176" i="2"/>
  <c r="E540" i="2"/>
  <c r="E553" i="2"/>
  <c r="E742" i="2"/>
  <c r="E838" i="2"/>
  <c r="E1873" i="2"/>
  <c r="E1166" i="2"/>
  <c r="E1498" i="2"/>
  <c r="E1526" i="2"/>
  <c r="E680" i="2"/>
  <c r="E1869" i="2"/>
  <c r="E2210" i="2"/>
  <c r="E2283" i="2"/>
  <c r="E2355" i="2"/>
  <c r="E2455" i="2"/>
  <c r="E2743" i="2"/>
  <c r="E2746" i="2"/>
  <c r="E770" i="2"/>
  <c r="E3068" i="2"/>
  <c r="E24" i="2"/>
  <c r="E771" i="2"/>
  <c r="E664" i="2"/>
  <c r="E801" i="2"/>
  <c r="E821" i="2"/>
  <c r="E706" i="2"/>
  <c r="E1360" i="2"/>
  <c r="E1462" i="2"/>
  <c r="E1745" i="2"/>
  <c r="E2244" i="2"/>
  <c r="E2421" i="2"/>
  <c r="E2624" i="2"/>
  <c r="E2893" i="2"/>
  <c r="E773" i="2"/>
  <c r="E851" i="2"/>
  <c r="E852" i="2"/>
  <c r="E1506" i="2"/>
  <c r="E1527" i="2"/>
  <c r="E2496" i="2"/>
  <c r="E802" i="2"/>
  <c r="E1291" i="2"/>
  <c r="E1298" i="2"/>
  <c r="E1730" i="2"/>
  <c r="E2905" i="2"/>
  <c r="E3054" i="2"/>
  <c r="E782" i="2"/>
  <c r="E822" i="2"/>
  <c r="E1990" i="2"/>
  <c r="E25" i="2"/>
  <c r="E1092" i="2"/>
  <c r="E67" i="2"/>
  <c r="E26" i="2"/>
  <c r="E2296" i="2"/>
  <c r="E711" i="2"/>
  <c r="E318" i="2"/>
  <c r="E722" i="2"/>
  <c r="E728" i="2"/>
  <c r="E737" i="2"/>
  <c r="E1184" i="2"/>
  <c r="E738" i="2"/>
  <c r="E677" i="2"/>
  <c r="E1827" i="2"/>
  <c r="E1955" i="2"/>
  <c r="E1995" i="2"/>
  <c r="E741" i="2"/>
  <c r="E2049" i="2"/>
  <c r="E2067" i="2"/>
  <c r="E2107" i="2"/>
  <c r="E2207" i="2"/>
  <c r="E747" i="2"/>
  <c r="E2349" i="2"/>
  <c r="E2497" i="2"/>
  <c r="E2571" i="2"/>
  <c r="E2679" i="2"/>
  <c r="E2703" i="2"/>
  <c r="E750" i="2"/>
  <c r="E2828" i="2"/>
  <c r="E2876" i="2"/>
  <c r="E3079" i="2"/>
  <c r="E848" i="2"/>
  <c r="E2710" i="2"/>
  <c r="E751" i="2"/>
  <c r="E752" i="2"/>
  <c r="E1646" i="2"/>
  <c r="E2792" i="2"/>
  <c r="E2985" i="2"/>
  <c r="E861" i="2"/>
  <c r="E862" i="2"/>
  <c r="E665" i="2"/>
  <c r="E464" i="2"/>
  <c r="E1732" i="2"/>
  <c r="E863" i="2"/>
  <c r="E2695" i="2"/>
  <c r="E754" i="2"/>
  <c r="E362" i="2"/>
  <c r="E479" i="2"/>
  <c r="E890" i="2"/>
  <c r="E1609" i="2"/>
  <c r="E891" i="2"/>
  <c r="E900" i="2"/>
  <c r="E2399" i="2"/>
  <c r="E786" i="2"/>
  <c r="E419" i="2"/>
  <c r="E427" i="2"/>
  <c r="E565" i="2"/>
  <c r="E803" i="2"/>
  <c r="E1025" i="2"/>
  <c r="E1056" i="2"/>
  <c r="E436" i="2"/>
  <c r="E2498" i="2"/>
  <c r="E756" i="2"/>
  <c r="E758" i="2"/>
  <c r="E766" i="2"/>
  <c r="E2117" i="2"/>
  <c r="E768" i="2"/>
  <c r="E908" i="2"/>
  <c r="E178" i="2"/>
  <c r="E246" i="2"/>
  <c r="E462" i="2"/>
  <c r="E778" i="2"/>
  <c r="E622" i="2"/>
  <c r="E781" i="2"/>
  <c r="E639" i="2"/>
  <c r="E787" i="2"/>
  <c r="E795" i="2"/>
  <c r="E776" i="2"/>
  <c r="E807" i="2"/>
  <c r="E835" i="2"/>
  <c r="E889" i="2"/>
  <c r="E933" i="2"/>
  <c r="E974" i="2"/>
  <c r="E992" i="2"/>
  <c r="E812" i="2"/>
  <c r="E1083" i="2"/>
  <c r="E1107" i="2"/>
  <c r="E1120" i="2"/>
  <c r="E815" i="2"/>
  <c r="E825" i="2"/>
  <c r="E829" i="2"/>
  <c r="E831" i="2"/>
  <c r="E839" i="2"/>
  <c r="E1318" i="2"/>
  <c r="E1361" i="2"/>
  <c r="E1377" i="2"/>
  <c r="E1401" i="2"/>
  <c r="E1402" i="2"/>
  <c r="E1428" i="2"/>
  <c r="E1528" i="2"/>
  <c r="E1529" i="2"/>
  <c r="E1530" i="2"/>
  <c r="E1585" i="2"/>
  <c r="E1713" i="2"/>
  <c r="E853" i="2"/>
  <c r="E1743" i="2"/>
  <c r="E1784" i="2"/>
  <c r="E1807" i="2"/>
  <c r="E1809" i="2"/>
  <c r="E1814" i="2"/>
  <c r="E1835" i="2"/>
  <c r="E858" i="2"/>
  <c r="E685" i="2"/>
  <c r="E1878" i="2"/>
  <c r="E866" i="2"/>
  <c r="E1898" i="2"/>
  <c r="E1902" i="2"/>
  <c r="E1956" i="2"/>
  <c r="E868" i="2"/>
  <c r="E870" i="2"/>
  <c r="E2043" i="2"/>
  <c r="E2050" i="2"/>
  <c r="E2088" i="2"/>
  <c r="E2118" i="2"/>
  <c r="E2139" i="2"/>
  <c r="E875" i="2"/>
  <c r="E876" i="2"/>
  <c r="E877" i="2"/>
  <c r="E2221" i="2"/>
  <c r="E2263" i="2"/>
  <c r="E2309" i="2"/>
  <c r="E2323" i="2"/>
  <c r="E2370" i="2"/>
  <c r="E2377" i="2"/>
  <c r="E886" i="2"/>
  <c r="E2499" i="2"/>
  <c r="E2500" i="2"/>
  <c r="E2559" i="2"/>
  <c r="E2585" i="2"/>
  <c r="E2697" i="2"/>
  <c r="E2721" i="2"/>
  <c r="E2729" i="2"/>
  <c r="E893" i="2"/>
  <c r="E901" i="2"/>
  <c r="E3029" i="2"/>
  <c r="E661" i="2"/>
  <c r="E982" i="2"/>
  <c r="E1089" i="2"/>
  <c r="E1312" i="2"/>
  <c r="E1403" i="2"/>
  <c r="E1862" i="2"/>
  <c r="E2005" i="2"/>
  <c r="E2420" i="2"/>
  <c r="E2711" i="2"/>
  <c r="E2929" i="2"/>
  <c r="E27" i="2"/>
  <c r="E919" i="2"/>
  <c r="E940" i="2"/>
  <c r="E28" i="2"/>
  <c r="E1912" i="2"/>
  <c r="E910" i="2"/>
  <c r="E912" i="2"/>
  <c r="E326" i="2"/>
  <c r="E559" i="2"/>
  <c r="E996" i="2"/>
  <c r="E2915" i="2"/>
  <c r="E2544" i="2"/>
  <c r="E913" i="2"/>
  <c r="E804" i="2"/>
  <c r="E920" i="2"/>
  <c r="E1026" i="2"/>
  <c r="E1297" i="2"/>
  <c r="E1484" i="2"/>
  <c r="E1531" i="2"/>
  <c r="E1674" i="2"/>
  <c r="E924" i="2"/>
  <c r="E2119" i="2"/>
  <c r="E926" i="2"/>
  <c r="E930" i="2"/>
  <c r="E932" i="2"/>
  <c r="E956" i="2"/>
  <c r="E942" i="2"/>
  <c r="E172" i="2"/>
  <c r="E200" i="2"/>
  <c r="E303" i="2"/>
  <c r="E944" i="2"/>
  <c r="E945" i="2"/>
  <c r="E456" i="2"/>
  <c r="E952" i="2"/>
  <c r="E957" i="2"/>
  <c r="E627" i="2"/>
  <c r="E628" i="2"/>
  <c r="E709" i="2"/>
  <c r="E960" i="2"/>
  <c r="E981" i="2"/>
  <c r="E834" i="2"/>
  <c r="E1054" i="2"/>
  <c r="E987" i="2"/>
  <c r="E2475" i="2"/>
  <c r="E1236" i="2"/>
  <c r="E454" i="2"/>
  <c r="E993" i="2"/>
  <c r="E1532" i="2"/>
  <c r="E995" i="2"/>
  <c r="E2100" i="2"/>
  <c r="E998" i="2"/>
  <c r="E2968" i="2"/>
  <c r="E1002" i="2"/>
  <c r="E104" i="2"/>
  <c r="E958" i="2"/>
  <c r="E1014" i="2"/>
  <c r="E1167" i="2"/>
  <c r="E1180" i="2"/>
  <c r="E1334" i="2"/>
  <c r="E1534" i="2"/>
  <c r="E2909" i="2"/>
  <c r="E959" i="2"/>
  <c r="E292" i="2"/>
  <c r="E1030" i="2"/>
  <c r="E671" i="2"/>
  <c r="E2651" i="2"/>
  <c r="E2772" i="2"/>
  <c r="E997" i="2"/>
  <c r="E55" i="2"/>
  <c r="E968" i="2"/>
  <c r="E2006" i="2"/>
  <c r="E1594" i="2"/>
  <c r="E176" i="2"/>
  <c r="E1035" i="2"/>
  <c r="E503" i="2"/>
  <c r="E633" i="2"/>
  <c r="E805" i="2"/>
  <c r="E1045" i="2"/>
  <c r="E3042" i="2"/>
  <c r="E1230" i="2"/>
  <c r="E1798" i="2"/>
  <c r="E1048" i="2"/>
  <c r="E1049" i="2"/>
  <c r="E1883" i="2"/>
  <c r="E2132" i="2"/>
  <c r="E2301" i="2"/>
  <c r="E2447" i="2"/>
  <c r="E2459" i="2"/>
  <c r="E2542" i="2"/>
  <c r="E1051" i="2"/>
  <c r="E2919" i="2"/>
  <c r="E3037" i="2"/>
  <c r="E1057" i="2"/>
  <c r="E3076" i="2"/>
  <c r="E1647" i="2"/>
  <c r="E1012" i="2"/>
  <c r="E1058" i="2"/>
  <c r="E897" i="2"/>
  <c r="E1068" i="2"/>
  <c r="E1076" i="2"/>
  <c r="E1608" i="2"/>
  <c r="E1077" i="2"/>
  <c r="E1088" i="2"/>
  <c r="E1033" i="2"/>
  <c r="E1091" i="2"/>
  <c r="E2936" i="2"/>
  <c r="E1017" i="2"/>
  <c r="E1016" i="2"/>
  <c r="E1098" i="2"/>
  <c r="E1021" i="2"/>
  <c r="E180" i="2"/>
  <c r="E1211" i="2"/>
  <c r="E1536" i="2"/>
  <c r="E625" i="2"/>
  <c r="E29" i="2"/>
  <c r="E1714" i="2"/>
  <c r="E1059" i="2"/>
  <c r="E111" i="2"/>
  <c r="E1537" i="2"/>
  <c r="E2763" i="2"/>
  <c r="E1319" i="2"/>
  <c r="E1422" i="2"/>
  <c r="E1283" i="2"/>
  <c r="E65" i="2"/>
  <c r="E1667" i="2"/>
  <c r="E1455" i="2"/>
  <c r="E1103" i="2"/>
  <c r="E1941" i="2"/>
  <c r="E2037" i="2"/>
  <c r="E1442" i="2"/>
  <c r="E599" i="2"/>
  <c r="E832" i="2"/>
  <c r="E1727" i="2"/>
  <c r="E1958" i="2"/>
  <c r="E420" i="2"/>
  <c r="E1023" i="2"/>
  <c r="E1105" i="2"/>
  <c r="E1139" i="2"/>
  <c r="E1129" i="2"/>
  <c r="E2227" i="2"/>
  <c r="E2417" i="2"/>
  <c r="E268" i="2"/>
  <c r="E423" i="2"/>
  <c r="E1130" i="2"/>
  <c r="E524" i="2"/>
  <c r="E1042" i="2"/>
  <c r="E1102" i="2"/>
  <c r="E107" i="2"/>
  <c r="E608" i="2"/>
  <c r="E1992" i="2"/>
  <c r="E1136" i="2"/>
  <c r="E30" i="2"/>
  <c r="E966" i="2"/>
  <c r="E1241" i="2"/>
  <c r="E2501" i="2"/>
  <c r="E1699" i="2"/>
  <c r="E394" i="2"/>
  <c r="E1135" i="2"/>
  <c r="E1152" i="2"/>
  <c r="E1153" i="2"/>
  <c r="E87" i="2"/>
  <c r="E1141" i="2"/>
  <c r="E1084" i="2"/>
  <c r="E1379" i="2"/>
  <c r="E1538" i="2"/>
  <c r="E1813" i="2"/>
  <c r="E1959" i="2"/>
  <c r="E2120" i="2"/>
  <c r="E2615" i="2"/>
  <c r="E2680" i="2"/>
  <c r="E3062" i="2"/>
  <c r="E1423" i="2"/>
  <c r="E1142" i="2"/>
  <c r="E1160" i="2"/>
  <c r="E2740" i="2"/>
  <c r="E440" i="2"/>
  <c r="E638" i="2"/>
  <c r="E1146" i="2"/>
  <c r="E1037" i="2"/>
  <c r="E1221" i="2"/>
  <c r="E1733" i="2"/>
  <c r="E1747" i="2"/>
  <c r="E402" i="2"/>
  <c r="E2382" i="2"/>
  <c r="E2567" i="2"/>
  <c r="E1165" i="2"/>
  <c r="E1168" i="2"/>
  <c r="E1677" i="2"/>
  <c r="E2169" i="2"/>
  <c r="E1801" i="2"/>
  <c r="E1961" i="2"/>
  <c r="E1169" i="2"/>
  <c r="E1171" i="2"/>
  <c r="E1155" i="2"/>
  <c r="E1156" i="2"/>
  <c r="E1173" i="2"/>
  <c r="E1177" i="2"/>
  <c r="E113" i="2"/>
  <c r="E125" i="2"/>
  <c r="E201" i="2"/>
  <c r="E382" i="2"/>
  <c r="E1181" i="2"/>
  <c r="E1187" i="2"/>
  <c r="E517" i="2"/>
  <c r="E539" i="2"/>
  <c r="E541" i="2"/>
  <c r="E606" i="2"/>
  <c r="E614" i="2"/>
  <c r="E636" i="2"/>
  <c r="E1188" i="2"/>
  <c r="E806" i="2"/>
  <c r="E1190" i="2"/>
  <c r="E895" i="2"/>
  <c r="E1193" i="2"/>
  <c r="E1194" i="2"/>
  <c r="E1195" i="2"/>
  <c r="E971" i="2"/>
  <c r="E1200" i="2"/>
  <c r="E1073" i="2"/>
  <c r="E1201" i="2"/>
  <c r="E1121" i="2"/>
  <c r="E1203" i="2"/>
  <c r="E1209" i="2"/>
  <c r="E1222" i="2"/>
  <c r="E1404" i="2"/>
  <c r="E843" i="2"/>
  <c r="E1475" i="2"/>
  <c r="E1489" i="2"/>
  <c r="E1539" i="2"/>
  <c r="E1571" i="2"/>
  <c r="E1618" i="2"/>
  <c r="E1913" i="2"/>
  <c r="E1962" i="2"/>
  <c r="E1213" i="2"/>
  <c r="E2051" i="2"/>
  <c r="E2121" i="2"/>
  <c r="E1217" i="2"/>
  <c r="E2242" i="2"/>
  <c r="E2255" i="2"/>
  <c r="E2375" i="2"/>
  <c r="E1218" i="2"/>
  <c r="E1234" i="2"/>
  <c r="E2480" i="2"/>
  <c r="E1235" i="2"/>
  <c r="E288" i="2"/>
  <c r="E1253" i="2"/>
  <c r="E2572" i="2"/>
  <c r="E2576" i="2"/>
  <c r="E2692" i="2"/>
  <c r="E2705" i="2"/>
  <c r="E689" i="2"/>
  <c r="E2727" i="2"/>
  <c r="E2758" i="2"/>
  <c r="E2830" i="2"/>
  <c r="E1254" i="2"/>
  <c r="E2922" i="2"/>
  <c r="E1261" i="2"/>
  <c r="E2977" i="2"/>
  <c r="E3059" i="2"/>
  <c r="E3066" i="2"/>
  <c r="E1597" i="2"/>
  <c r="E1621" i="2"/>
  <c r="E1697" i="2"/>
  <c r="E1265" i="2"/>
  <c r="E2597" i="2"/>
  <c r="E2938" i="2"/>
  <c r="E1262" i="2"/>
  <c r="E1182" i="2"/>
  <c r="E692" i="2"/>
  <c r="E2264" i="2"/>
  <c r="E840" i="2"/>
  <c r="E1269" i="2"/>
  <c r="E1185" i="2"/>
  <c r="E1204" i="2"/>
  <c r="E2916" i="2"/>
  <c r="E1273" i="2"/>
  <c r="E403" i="2"/>
  <c r="E1284" i="2"/>
  <c r="E2803" i="2"/>
  <c r="E1205" i="2"/>
  <c r="E1122" i="2"/>
  <c r="E967" i="2"/>
  <c r="E1207" i="2"/>
  <c r="E1208" i="2"/>
  <c r="E133" i="2"/>
  <c r="E269" i="2"/>
  <c r="E301" i="2"/>
  <c r="E1288" i="2"/>
  <c r="E1296" i="2"/>
  <c r="E375" i="2"/>
  <c r="E1305" i="2"/>
  <c r="E536" i="2"/>
  <c r="E1316" i="2"/>
  <c r="E577" i="2"/>
  <c r="E1337" i="2"/>
  <c r="E1339" i="2"/>
  <c r="E600" i="2"/>
  <c r="E1350" i="2"/>
  <c r="E826" i="2"/>
  <c r="E921" i="2"/>
  <c r="E1354" i="2"/>
  <c r="E1082" i="2"/>
  <c r="E1380" i="2"/>
  <c r="E1389" i="2"/>
  <c r="E1356" i="2"/>
  <c r="E1363" i="2"/>
  <c r="E1364" i="2"/>
  <c r="E1540" i="2"/>
  <c r="E1575" i="2"/>
  <c r="E1615" i="2"/>
  <c r="E1365" i="2"/>
  <c r="E1754" i="2"/>
  <c r="E1843" i="2"/>
  <c r="E1900" i="2"/>
  <c r="E1374" i="2"/>
  <c r="E1388" i="2"/>
  <c r="E1405" i="2"/>
  <c r="E2378" i="2"/>
  <c r="E2460" i="2"/>
  <c r="E1409" i="2"/>
  <c r="E841" i="2"/>
  <c r="E2778" i="2"/>
  <c r="E2832" i="2"/>
  <c r="E3077" i="2"/>
  <c r="E3002" i="2"/>
  <c r="E1410" i="2"/>
  <c r="E1750" i="2"/>
  <c r="E1227" i="2"/>
  <c r="E238" i="2"/>
  <c r="E1303" i="2"/>
  <c r="E1415" i="2"/>
  <c r="E1964" i="2"/>
  <c r="E95" i="2"/>
  <c r="E2429" i="2"/>
  <c r="E1416" i="2"/>
  <c r="E1421" i="2"/>
  <c r="E316" i="2"/>
  <c r="E827" i="2"/>
  <c r="E977" i="2"/>
  <c r="E1028" i="2"/>
  <c r="E1424" i="2"/>
  <c r="E1263" i="2"/>
  <c r="E1290" i="2"/>
  <c r="E1406" i="2"/>
  <c r="E678" i="2"/>
  <c r="E97" i="2"/>
  <c r="E1432" i="2"/>
  <c r="E1434" i="2"/>
  <c r="E1675" i="2"/>
  <c r="E1915" i="2"/>
  <c r="E2328" i="2"/>
  <c r="E2331" i="2"/>
  <c r="E1425" i="2"/>
  <c r="E1430" i="2"/>
  <c r="E1438" i="2"/>
  <c r="E2693" i="2"/>
  <c r="E2833" i="2"/>
  <c r="E1459" i="2"/>
  <c r="E1461" i="2"/>
  <c r="E1467" i="2"/>
  <c r="E2586" i="2"/>
  <c r="E289" i="2"/>
  <c r="E1468" i="2"/>
  <c r="E1244" i="2"/>
  <c r="E1245" i="2"/>
  <c r="E338" i="2"/>
  <c r="E342" i="2"/>
  <c r="E424" i="2"/>
  <c r="E1029" i="2"/>
  <c r="E1345" i="2"/>
  <c r="E1541" i="2"/>
  <c r="E1965" i="2"/>
  <c r="E2071" i="2"/>
  <c r="E2219" i="2"/>
  <c r="E2505" i="2"/>
  <c r="E2580" i="2"/>
  <c r="E2904" i="2"/>
  <c r="E1321" i="2"/>
  <c r="E1249" i="2"/>
  <c r="E667" i="2"/>
  <c r="E1277" i="2"/>
  <c r="E743" i="2"/>
  <c r="E1855" i="2"/>
  <c r="E1473" i="2"/>
  <c r="E1272" i="2"/>
  <c r="E2020" i="2"/>
  <c r="E66" i="2"/>
  <c r="E616" i="2"/>
  <c r="E1485" i="2"/>
  <c r="E1407" i="2"/>
  <c r="E715" i="2"/>
  <c r="E2592" i="2"/>
  <c r="E1487" i="2"/>
  <c r="E1668" i="2"/>
  <c r="E1314" i="2"/>
  <c r="E1491" i="2"/>
  <c r="E1501" i="2"/>
  <c r="E2414" i="2"/>
  <c r="E1242" i="2"/>
  <c r="E1542" i="2"/>
  <c r="E214" i="2"/>
  <c r="E1504" i="2"/>
  <c r="E1507" i="2"/>
  <c r="E1003" i="2"/>
  <c r="E1408" i="2"/>
  <c r="E1996" i="2"/>
  <c r="E2917" i="2"/>
  <c r="E808" i="2"/>
  <c r="E1295" i="2"/>
  <c r="E1371" i="2"/>
  <c r="E1381" i="2"/>
  <c r="E1433" i="2"/>
  <c r="E1734" i="2"/>
  <c r="E1327" i="2"/>
  <c r="E183" i="2"/>
  <c r="E215" i="2"/>
  <c r="E391" i="2"/>
  <c r="E421" i="2"/>
  <c r="E2889" i="2"/>
  <c r="E809" i="2"/>
  <c r="E1216" i="2"/>
  <c r="E1903" i="2"/>
  <c r="E2506" i="2"/>
  <c r="E2560" i="2"/>
  <c r="E2744" i="2"/>
  <c r="E1331" i="2"/>
  <c r="E153" i="2"/>
  <c r="E31" i="2"/>
  <c r="E2863" i="2"/>
  <c r="E1174" i="2"/>
  <c r="E1511" i="2"/>
  <c r="E1212" i="2"/>
  <c r="E1518" i="2"/>
  <c r="E32" i="2"/>
  <c r="E1533" i="2"/>
  <c r="E2712" i="2"/>
  <c r="E1535" i="2"/>
  <c r="E1352" i="2"/>
  <c r="E1640" i="2"/>
  <c r="E662" i="2"/>
  <c r="E1543" i="2"/>
  <c r="E1966" i="2"/>
  <c r="E1369" i="2"/>
  <c r="E476" i="2"/>
  <c r="E753" i="2"/>
  <c r="E1574" i="2"/>
  <c r="E3043" i="2"/>
  <c r="E1904" i="2"/>
  <c r="E488" i="2"/>
  <c r="E2258" i="2"/>
  <c r="E299" i="2"/>
  <c r="E1328" i="2"/>
  <c r="E777" i="2"/>
  <c r="E833" i="2"/>
  <c r="E847" i="2"/>
  <c r="E1081" i="2"/>
  <c r="E1444" i="2"/>
  <c r="E1492" i="2"/>
  <c r="E1500" i="2"/>
  <c r="E1648" i="2"/>
  <c r="E2445" i="2"/>
  <c r="E1875" i="2"/>
  <c r="E2008" i="2"/>
  <c r="E2068" i="2"/>
  <c r="E2272" i="2"/>
  <c r="E2291" i="2"/>
  <c r="E2587" i="2"/>
  <c r="E2834" i="2"/>
  <c r="E2877" i="2"/>
  <c r="E589" i="2"/>
  <c r="E1735" i="2"/>
  <c r="E2760" i="2"/>
  <c r="E2052" i="2"/>
  <c r="E2648" i="2"/>
  <c r="E1755" i="2"/>
  <c r="E700" i="2"/>
  <c r="E701" i="2"/>
  <c r="E1481" i="2"/>
  <c r="E1494" i="2"/>
  <c r="E1595" i="2"/>
  <c r="E1604" i="2"/>
  <c r="E1673" i="2"/>
  <c r="E1999" i="2"/>
  <c r="E911" i="2"/>
  <c r="E2442" i="2"/>
  <c r="E1439" i="2"/>
  <c r="E1446" i="2"/>
  <c r="E1447" i="2"/>
  <c r="E1448" i="2"/>
  <c r="E1547" i="2"/>
  <c r="E1553" i="2"/>
  <c r="E1452" i="2"/>
  <c r="E62" i="2"/>
  <c r="E1335" i="2"/>
  <c r="E1561" i="2"/>
  <c r="E1477" i="2"/>
  <c r="E1480" i="2"/>
  <c r="E2347" i="2"/>
  <c r="E398" i="2"/>
  <c r="E1570" i="2"/>
  <c r="E1463" i="2"/>
  <c r="E1576" i="2"/>
  <c r="E1544" i="2"/>
  <c r="E1584" i="2"/>
  <c r="E1586" i="2"/>
  <c r="E2507" i="2"/>
  <c r="E769" i="2"/>
  <c r="E713" i="2"/>
  <c r="E1004" i="2"/>
  <c r="E1015" i="2"/>
  <c r="E3024" i="2"/>
  <c r="E1568" i="2"/>
  <c r="E1247" i="2"/>
  <c r="E2713" i="2"/>
  <c r="E1583" i="2"/>
  <c r="E194" i="2"/>
  <c r="E558" i="2"/>
  <c r="E666" i="2"/>
  <c r="E828" i="2"/>
  <c r="E1123" i="2"/>
  <c r="E1158" i="2"/>
  <c r="E1264" i="2"/>
  <c r="E1593" i="2"/>
  <c r="E2444" i="2"/>
  <c r="E2666" i="2"/>
  <c r="E2581" i="2"/>
  <c r="E2939" i="2"/>
  <c r="E2963" i="2"/>
  <c r="E1600" i="2"/>
  <c r="E1602" i="2"/>
  <c r="E774" i="2"/>
  <c r="E867" i="2"/>
  <c r="E948" i="2"/>
  <c r="E674" i="2"/>
  <c r="E1189" i="2"/>
  <c r="E1220" i="2"/>
  <c r="E1340" i="2"/>
  <c r="E1382" i="2"/>
  <c r="E1383" i="2"/>
  <c r="E1603" i="2"/>
  <c r="E1611" i="2"/>
  <c r="E1612" i="2"/>
  <c r="E1592" i="2"/>
  <c r="E1613" i="2"/>
  <c r="E1614" i="2"/>
  <c r="E1624" i="2"/>
  <c r="E1724" i="2"/>
  <c r="E1628" i="2"/>
  <c r="E1967" i="2"/>
  <c r="E1633" i="2"/>
  <c r="E1634" i="2"/>
  <c r="E2835" i="2"/>
  <c r="E2865" i="2"/>
  <c r="E2940" i="2"/>
  <c r="E355" i="2"/>
  <c r="E2316" i="2"/>
  <c r="E779" i="2"/>
  <c r="E943" i="2"/>
  <c r="E1065" i="2"/>
  <c r="E1075" i="2"/>
  <c r="E1074" i="2"/>
  <c r="E1431" i="2"/>
  <c r="E2196" i="2"/>
  <c r="E2335" i="2"/>
  <c r="E2340" i="2"/>
  <c r="E2383" i="2"/>
  <c r="E2408" i="2"/>
  <c r="E2508" i="2"/>
  <c r="E2660" i="2"/>
  <c r="E2738" i="2"/>
  <c r="E3030" i="2"/>
  <c r="E33" i="2"/>
  <c r="E34" i="2"/>
  <c r="E1605" i="2"/>
  <c r="E1607" i="2"/>
  <c r="E739" i="2"/>
  <c r="E916" i="2"/>
  <c r="E1635" i="2"/>
  <c r="E1638" i="2"/>
  <c r="E2141" i="2"/>
  <c r="E1653" i="2"/>
  <c r="E2941" i="2"/>
  <c r="E1630" i="2"/>
  <c r="E1654" i="2"/>
  <c r="E1469" i="2"/>
  <c r="E1490" i="2"/>
  <c r="E1545" i="2"/>
  <c r="E1709" i="2"/>
  <c r="E1816" i="2"/>
  <c r="E1847" i="2"/>
  <c r="E1968" i="2"/>
  <c r="E2122" i="2"/>
  <c r="E2133" i="2"/>
  <c r="E2134" i="2"/>
  <c r="E2401" i="2"/>
  <c r="E2435" i="2"/>
  <c r="E2942" i="2"/>
  <c r="E1656" i="2"/>
  <c r="E3013" i="2"/>
  <c r="E1642" i="2"/>
  <c r="E1663" i="2"/>
  <c r="E1657" i="2"/>
  <c r="E397" i="2"/>
  <c r="E1659" i="2"/>
  <c r="E1658" i="2"/>
  <c r="E88" i="2"/>
  <c r="E1665" i="2"/>
  <c r="E1688" i="2"/>
  <c r="E276" i="2"/>
  <c r="E311" i="2"/>
  <c r="E1704" i="2"/>
  <c r="E400" i="2"/>
  <c r="E1708" i="2"/>
  <c r="E2510" i="2"/>
  <c r="E491" i="2"/>
  <c r="E492" i="2"/>
  <c r="E498" i="2"/>
  <c r="E578" i="2"/>
  <c r="E597" i="2"/>
  <c r="E1722" i="2"/>
  <c r="E2194" i="2"/>
  <c r="E1723" i="2"/>
  <c r="E702" i="2"/>
  <c r="E1725" i="2"/>
  <c r="E1728" i="2"/>
  <c r="E755" i="2"/>
  <c r="E810" i="2"/>
  <c r="E1729" i="2"/>
  <c r="E2511" i="2"/>
  <c r="E1738" i="2"/>
  <c r="E1144" i="2"/>
  <c r="E1159" i="2"/>
  <c r="E1170" i="2"/>
  <c r="E1280" i="2"/>
  <c r="E1744" i="2"/>
  <c r="E1746" i="2"/>
  <c r="E1384" i="2"/>
  <c r="E1748" i="2"/>
  <c r="E1426" i="2"/>
  <c r="E1427" i="2"/>
  <c r="E1474" i="2"/>
  <c r="E1486" i="2"/>
  <c r="E1546" i="2"/>
  <c r="E1762" i="2"/>
  <c r="E1622" i="2"/>
  <c r="E1649" i="2"/>
  <c r="E1666" i="2"/>
  <c r="E1756" i="2"/>
  <c r="E1796" i="2"/>
  <c r="E1811" i="2"/>
  <c r="E1879" i="2"/>
  <c r="E1767" i="2"/>
  <c r="E1770" i="2"/>
  <c r="E2017" i="2"/>
  <c r="E2074" i="2"/>
  <c r="E2125" i="2"/>
  <c r="E2198" i="2"/>
  <c r="E1775" i="2"/>
  <c r="E1778" i="2"/>
  <c r="E2315" i="2"/>
  <c r="E2350" i="2"/>
  <c r="E2374" i="2"/>
  <c r="E1779" i="2"/>
  <c r="E2402" i="2"/>
  <c r="E2428" i="2"/>
  <c r="E2467" i="2"/>
  <c r="E2509" i="2"/>
  <c r="E2573" i="2"/>
  <c r="E2698" i="2"/>
  <c r="E2726" i="2"/>
  <c r="E1781" i="2"/>
  <c r="E1783" i="2"/>
  <c r="E2784" i="2"/>
  <c r="E2894" i="2"/>
  <c r="E2930" i="2"/>
  <c r="E2959" i="2"/>
  <c r="E1787" i="2"/>
  <c r="E2974" i="2"/>
  <c r="E3018" i="2"/>
  <c r="E3034" i="2"/>
  <c r="E3046" i="2"/>
  <c r="E3075" i="2"/>
  <c r="E294" i="2"/>
  <c r="E1351" i="2"/>
  <c r="E1495" i="2"/>
  <c r="E1821" i="2"/>
  <c r="E2619" i="2"/>
  <c r="E2682" i="2"/>
  <c r="E2981" i="2"/>
  <c r="E2987" i="2"/>
  <c r="E2598" i="2"/>
  <c r="E1680" i="2"/>
  <c r="E1689" i="2"/>
  <c r="E1420" i="2"/>
  <c r="E1097" i="2"/>
  <c r="E1788" i="2"/>
  <c r="E3063" i="2"/>
  <c r="E1062" i="2"/>
  <c r="E1503" i="2"/>
  <c r="E1793" i="2"/>
  <c r="E1650" i="2"/>
  <c r="E1934" i="2"/>
  <c r="E2339" i="2"/>
  <c r="E1695" i="2"/>
  <c r="E1700" i="2"/>
  <c r="E2775" i="2"/>
  <c r="E230" i="2"/>
  <c r="E1548" i="2"/>
  <c r="E1715" i="2"/>
  <c r="E1931" i="2"/>
  <c r="E2403" i="2"/>
  <c r="E2404" i="2"/>
  <c r="E202" i="2"/>
  <c r="E216" i="2"/>
  <c r="E260" i="2"/>
  <c r="E548" i="2"/>
  <c r="E1085" i="2"/>
  <c r="E1323" i="2"/>
  <c r="E1453" i="2"/>
  <c r="E1482" i="2"/>
  <c r="E1737" i="2"/>
  <c r="E1822" i="2"/>
  <c r="E2009" i="2"/>
  <c r="E2016" i="2"/>
  <c r="E2389" i="2"/>
  <c r="E2448" i="2"/>
  <c r="E1702" i="2"/>
  <c r="E1703" i="2"/>
  <c r="E1301" i="2"/>
  <c r="E1795" i="2"/>
  <c r="E2766" i="2"/>
  <c r="E2943" i="2"/>
  <c r="E335" i="2"/>
  <c r="E1800" i="2"/>
  <c r="E206" i="2"/>
  <c r="E1806" i="2"/>
  <c r="E1810" i="2"/>
  <c r="E1411" i="2"/>
  <c r="E35" i="2"/>
  <c r="E1812" i="2"/>
  <c r="E1471" i="2"/>
  <c r="E1685" i="2"/>
  <c r="E1549" i="2"/>
  <c r="E2899" i="2"/>
  <c r="E2998" i="2"/>
  <c r="E1763" i="2"/>
  <c r="E1226" i="2"/>
  <c r="E1774" i="2"/>
  <c r="E448" i="2"/>
  <c r="E1479" i="2"/>
  <c r="E1791" i="2"/>
  <c r="E1792" i="2"/>
  <c r="E2902" i="2"/>
  <c r="E869" i="2"/>
  <c r="E2146" i="2"/>
  <c r="E2735" i="2"/>
  <c r="E2771" i="2"/>
  <c r="E2836" i="2"/>
  <c r="E2920" i="2"/>
  <c r="E1815" i="2"/>
  <c r="E1885" i="2"/>
  <c r="E1794" i="2"/>
  <c r="E273" i="2"/>
  <c r="E2951" i="2"/>
  <c r="E158" i="2"/>
  <c r="E994" i="2"/>
  <c r="E1355" i="2"/>
  <c r="E1797" i="2"/>
  <c r="E698" i="2"/>
  <c r="E1589" i="2"/>
  <c r="E1655" i="2"/>
  <c r="E2240" i="2"/>
  <c r="E2338" i="2"/>
  <c r="E1819" i="2"/>
  <c r="E364" i="2"/>
  <c r="E1293" i="2"/>
  <c r="E2369" i="2"/>
  <c r="E931" i="2"/>
  <c r="E642" i="2"/>
  <c r="E2203" i="2"/>
  <c r="E94" i="2"/>
  <c r="E460" i="2"/>
  <c r="E1823" i="2"/>
  <c r="E830" i="2"/>
  <c r="E887" i="2"/>
  <c r="E1830" i="2"/>
  <c r="E2837" i="2"/>
  <c r="E1844" i="2"/>
  <c r="E1145" i="2"/>
  <c r="E1845" i="2"/>
  <c r="E1338" i="2"/>
  <c r="E1505" i="2"/>
  <c r="E1716" i="2"/>
  <c r="E1852" i="2"/>
  <c r="E1854" i="2"/>
  <c r="E1935" i="2"/>
  <c r="E1856" i="2"/>
  <c r="E1859" i="2"/>
  <c r="E1802" i="2"/>
  <c r="E720" i="2"/>
  <c r="E1829" i="2"/>
  <c r="E2042" i="2"/>
  <c r="E2980" i="2"/>
  <c r="E922" i="2"/>
  <c r="E1868" i="2"/>
  <c r="E1412" i="2"/>
  <c r="E1808" i="2"/>
  <c r="E1890" i="2"/>
  <c r="E1891" i="2"/>
  <c r="E2513" i="2"/>
  <c r="E1899" i="2"/>
  <c r="E1907" i="2"/>
  <c r="E2694" i="2"/>
  <c r="E2838" i="2"/>
  <c r="E556" i="2"/>
  <c r="E707" i="2"/>
  <c r="E988" i="2"/>
  <c r="E760" i="2"/>
  <c r="E759" i="2"/>
  <c r="E1087" i="2"/>
  <c r="E1137" i="2"/>
  <c r="E1914" i="2"/>
  <c r="E1385" i="2"/>
  <c r="E1970" i="2"/>
  <c r="E1149" i="2"/>
  <c r="E1916" i="2"/>
  <c r="E1001" i="2"/>
  <c r="E1124" i="2"/>
  <c r="E1140" i="2"/>
  <c r="E1429" i="2"/>
  <c r="E1550" i="2"/>
  <c r="E1578" i="2"/>
  <c r="E1917" i="2"/>
  <c r="E923" i="2"/>
  <c r="E1818" i="2"/>
  <c r="E189" i="2"/>
  <c r="E1610" i="2"/>
  <c r="E2839" i="2"/>
  <c r="E1825" i="2"/>
  <c r="E1720" i="2"/>
  <c r="E1837" i="2"/>
  <c r="E584" i="2"/>
  <c r="E1828" i="2"/>
  <c r="E1834" i="2"/>
  <c r="E1046" i="2"/>
  <c r="E1047" i="2"/>
  <c r="E1304" i="2"/>
  <c r="E562" i="2"/>
  <c r="E1567" i="2"/>
  <c r="E1805" i="2"/>
  <c r="E1817" i="2"/>
  <c r="E2956" i="2"/>
  <c r="E1840" i="2"/>
  <c r="E2250" i="2"/>
  <c r="E1841" i="2"/>
  <c r="E607" i="2"/>
  <c r="E1892" i="2"/>
  <c r="E1850" i="2"/>
  <c r="E1329" i="2"/>
  <c r="E2736" i="2"/>
  <c r="E844" i="2"/>
  <c r="E568" i="2"/>
  <c r="E860" i="2"/>
  <c r="E185" i="2"/>
  <c r="E1923" i="2"/>
  <c r="E564" i="2"/>
  <c r="E591" i="2"/>
  <c r="E604" i="2"/>
  <c r="E1458" i="2"/>
  <c r="E1928" i="2"/>
  <c r="E2025" i="2"/>
  <c r="E2725" i="2"/>
  <c r="E36" i="2"/>
  <c r="E1933" i="2"/>
  <c r="E1942" i="2"/>
  <c r="E763" i="2"/>
  <c r="E811" i="2"/>
  <c r="E1096" i="2"/>
  <c r="E1943" i="2"/>
  <c r="E1945" i="2"/>
  <c r="E2152" i="2"/>
  <c r="E2637" i="2"/>
  <c r="E1949" i="2"/>
  <c r="E3026" i="2"/>
  <c r="E2211" i="2"/>
  <c r="E2882" i="2"/>
  <c r="E46" i="2"/>
  <c r="E902" i="2"/>
  <c r="E1464" i="2"/>
  <c r="E1957" i="2"/>
  <c r="E1960" i="2"/>
  <c r="E1963" i="2"/>
  <c r="E1969" i="2"/>
  <c r="E1162" i="2"/>
  <c r="E2035" i="2"/>
  <c r="E2515" i="2"/>
  <c r="E1880" i="2"/>
  <c r="E2944" i="2"/>
  <c r="E2516" i="2"/>
  <c r="E1971" i="2"/>
  <c r="E1954" i="2"/>
  <c r="E2752" i="2"/>
  <c r="E2793" i="2"/>
  <c r="E1886" i="2"/>
  <c r="E1889" i="2"/>
  <c r="E496" i="2"/>
  <c r="E1897" i="2"/>
  <c r="E484" i="2"/>
  <c r="E78" i="2"/>
  <c r="E37" i="2"/>
  <c r="E1551" i="2"/>
  <c r="E1924" i="2"/>
  <c r="E221" i="2"/>
  <c r="E495" i="2"/>
  <c r="E757" i="2"/>
  <c r="E927" i="2"/>
  <c r="E1973" i="2"/>
  <c r="E1552" i="2"/>
  <c r="E1866" i="2"/>
  <c r="E2476" i="2"/>
  <c r="E2563" i="2"/>
  <c r="E2842" i="2"/>
  <c r="E1390" i="2"/>
  <c r="E1976" i="2"/>
  <c r="E1930" i="2"/>
  <c r="E1932" i="2"/>
  <c r="E2039" i="2"/>
  <c r="E1443" i="2"/>
  <c r="E1175" i="2"/>
  <c r="E79" i="2"/>
  <c r="E2715" i="2"/>
  <c r="E102" i="2"/>
  <c r="E990" i="2"/>
  <c r="E1040" i="2"/>
  <c r="E1757" i="2"/>
  <c r="E1991" i="2"/>
  <c r="E2481" i="2"/>
  <c r="E177" i="2"/>
  <c r="E1701" i="2"/>
  <c r="E1179" i="2"/>
  <c r="E2151" i="2"/>
  <c r="E649" i="2"/>
  <c r="E2011" i="2"/>
  <c r="E2012" i="2"/>
  <c r="E2014" i="2"/>
  <c r="E2716" i="2"/>
  <c r="E317" i="2"/>
  <c r="E2226" i="2"/>
  <c r="E2019" i="2"/>
  <c r="E626" i="2"/>
  <c r="E2044" i="2"/>
  <c r="E1977" i="2"/>
  <c r="E57" i="2"/>
  <c r="E101" i="2"/>
  <c r="E474" i="2"/>
  <c r="E534" i="2"/>
  <c r="E550" i="2"/>
  <c r="E585" i="2"/>
  <c r="E1215" i="2"/>
  <c r="E1460" i="2"/>
  <c r="E2108" i="2"/>
  <c r="E1692" i="2"/>
  <c r="E2053" i="2"/>
  <c r="E1979" i="2"/>
  <c r="E443" i="2"/>
  <c r="E1324" i="2"/>
  <c r="E1353" i="2"/>
  <c r="E1386" i="2"/>
  <c r="E1918" i="2"/>
  <c r="E2170" i="2"/>
  <c r="E2295" i="2"/>
  <c r="E2376" i="2"/>
  <c r="E2843" i="2"/>
  <c r="E1285" i="2"/>
  <c r="E38" i="2"/>
  <c r="E2022" i="2"/>
  <c r="E277" i="2"/>
  <c r="E383" i="2"/>
  <c r="E557" i="2"/>
  <c r="E780" i="2"/>
  <c r="E1032" i="2"/>
  <c r="E1196" i="2"/>
  <c r="E2620" i="2"/>
  <c r="E2629" i="2"/>
  <c r="E2925" i="2"/>
  <c r="E39" i="2"/>
  <c r="E881" i="2"/>
  <c r="E2197" i="2"/>
  <c r="E2091" i="2"/>
  <c r="E2969" i="2"/>
  <c r="E2024" i="2"/>
  <c r="E234" i="2"/>
  <c r="E519" i="2"/>
  <c r="E1980" i="2"/>
  <c r="E1981" i="2"/>
  <c r="E1982" i="2"/>
  <c r="E1972" i="2"/>
  <c r="E2031" i="2"/>
  <c r="E2054" i="2"/>
  <c r="E2089" i="2"/>
  <c r="E2124" i="2"/>
  <c r="E2178" i="2"/>
  <c r="E1984" i="2"/>
  <c r="E2241" i="2"/>
  <c r="E1997" i="2"/>
  <c r="E2582" i="2"/>
  <c r="E458" i="2"/>
  <c r="E1998" i="2"/>
  <c r="E2007" i="2"/>
  <c r="E2683" i="2"/>
  <c r="E2029" i="2"/>
  <c r="E48" i="2"/>
  <c r="E347" i="2"/>
  <c r="E2032" i="2"/>
  <c r="E2038" i="2"/>
  <c r="E2988" i="2"/>
  <c r="E864" i="2"/>
  <c r="E905" i="2"/>
  <c r="E953" i="2"/>
  <c r="E1281" i="2"/>
  <c r="E1846" i="2"/>
  <c r="E2446" i="2"/>
  <c r="E162" i="2"/>
  <c r="E2965" i="2"/>
  <c r="E217" i="2"/>
  <c r="E366" i="2"/>
  <c r="E710" i="2"/>
  <c r="E1143" i="2"/>
  <c r="E1238" i="2"/>
  <c r="E1626" i="2"/>
  <c r="E1651" i="2"/>
  <c r="E2297" i="2"/>
  <c r="E2436" i="2"/>
  <c r="E3067" i="2"/>
  <c r="E3081" i="2"/>
  <c r="E2073" i="2"/>
  <c r="E2076" i="2"/>
  <c r="E1693" i="2"/>
  <c r="E2077" i="2"/>
  <c r="E2078" i="2"/>
  <c r="E2079" i="2"/>
  <c r="E2046" i="2"/>
  <c r="E2055" i="2"/>
  <c r="E1721" i="2"/>
  <c r="E1150" i="2"/>
  <c r="E1765" i="2"/>
  <c r="E2056" i="2"/>
  <c r="E2080" i="2"/>
  <c r="E40" i="2"/>
  <c r="E2058" i="2"/>
  <c r="E2213" i="2"/>
  <c r="E1641" i="2"/>
  <c r="E439" i="2"/>
  <c r="E2096" i="2"/>
  <c r="E2551" i="2"/>
  <c r="E2999" i="2"/>
  <c r="E2762" i="2"/>
  <c r="E2142" i="2"/>
  <c r="E2225" i="2"/>
  <c r="E2518" i="2"/>
  <c r="E2844" i="2"/>
  <c r="E239" i="2"/>
  <c r="E2109" i="2"/>
  <c r="E2112" i="2"/>
  <c r="E1005" i="2"/>
  <c r="E41" i="2"/>
  <c r="E2128" i="2"/>
  <c r="E725" i="2"/>
  <c r="E2135" i="2"/>
  <c r="E1231" i="2"/>
  <c r="E880" i="2"/>
  <c r="E2023" i="2"/>
  <c r="E950" i="2"/>
  <c r="E1554" i="2"/>
  <c r="E2069" i="2"/>
  <c r="E1413" i="2"/>
  <c r="E2150" i="2"/>
  <c r="E885" i="2"/>
  <c r="E2070" i="2"/>
  <c r="E978" i="2"/>
  <c r="E2072" i="2"/>
  <c r="E2030" i="2"/>
  <c r="E2094" i="2"/>
  <c r="E2260" i="2"/>
  <c r="E2086" i="2"/>
  <c r="E2093" i="2"/>
  <c r="E2520" i="2"/>
  <c r="E2095" i="2"/>
  <c r="E42" i="2"/>
  <c r="E2154" i="2"/>
  <c r="E767" i="2"/>
  <c r="E2156" i="2"/>
  <c r="E1741" i="2"/>
  <c r="E2166" i="2"/>
  <c r="E2167" i="2"/>
  <c r="E131" i="2"/>
  <c r="E154" i="2"/>
  <c r="E156" i="2"/>
  <c r="E187" i="2"/>
  <c r="E195" i="2"/>
  <c r="E2102" i="2"/>
  <c r="E2113" i="2"/>
  <c r="E2123" i="2"/>
  <c r="E2126" i="2"/>
  <c r="E302" i="2"/>
  <c r="E2143" i="2"/>
  <c r="E377" i="2"/>
  <c r="E520" i="2"/>
  <c r="E542" i="2"/>
  <c r="E590" i="2"/>
  <c r="E645" i="2"/>
  <c r="E2144" i="2"/>
  <c r="E660" i="2"/>
  <c r="E2148" i="2"/>
  <c r="E856" i="2"/>
  <c r="E2155" i="2"/>
  <c r="E878" i="2"/>
  <c r="E2168" i="2"/>
  <c r="E2159" i="2"/>
  <c r="E947" i="2"/>
  <c r="E949" i="2"/>
  <c r="E1063" i="2"/>
  <c r="E2161" i="2"/>
  <c r="E1197" i="2"/>
  <c r="E1266" i="2"/>
  <c r="E1267" i="2"/>
  <c r="E1268" i="2"/>
  <c r="E1299" i="2"/>
  <c r="E1343" i="2"/>
  <c r="E2171" i="2"/>
  <c r="E1707" i="2"/>
  <c r="E1758" i="2"/>
  <c r="E1782" i="2"/>
  <c r="E1867" i="2"/>
  <c r="E1901" i="2"/>
  <c r="E2173" i="2"/>
  <c r="E2179" i="2"/>
  <c r="E2361" i="2"/>
  <c r="E2187" i="2"/>
  <c r="E2575" i="2"/>
  <c r="E2368" i="2"/>
  <c r="E2418" i="2"/>
  <c r="E2437" i="2"/>
  <c r="E2469" i="2"/>
  <c r="E2521" i="2"/>
  <c r="E2190" i="2"/>
  <c r="E2193" i="2"/>
  <c r="E2625" i="2"/>
  <c r="E2643" i="2"/>
  <c r="E2656" i="2"/>
  <c r="E2657" i="2"/>
  <c r="E2201" i="2"/>
  <c r="E2846" i="2"/>
  <c r="E2847" i="2"/>
  <c r="E2202" i="2"/>
  <c r="E2954" i="2"/>
  <c r="E2204" i="2"/>
  <c r="E1669" i="2"/>
  <c r="E218" i="2"/>
  <c r="E2626" i="2"/>
  <c r="E581" i="2"/>
  <c r="E2205" i="2"/>
  <c r="E1292" i="2"/>
  <c r="E2230" i="2"/>
  <c r="E2232" i="2"/>
  <c r="E2174" i="2"/>
  <c r="E280" i="2"/>
  <c r="E374" i="2"/>
  <c r="E508" i="2"/>
  <c r="E1282" i="2"/>
  <c r="E1493" i="2"/>
  <c r="E1927" i="2"/>
  <c r="E2218" i="2"/>
  <c r="E2222" i="2"/>
  <c r="E2224" i="2"/>
  <c r="E2407" i="2"/>
  <c r="E2463" i="2"/>
  <c r="E2523" i="2"/>
  <c r="E2748" i="2"/>
  <c r="E1038" i="2"/>
  <c r="E2181" i="2"/>
  <c r="E2183" i="2"/>
  <c r="E2245" i="2"/>
  <c r="E2189" i="2"/>
  <c r="E2251" i="2"/>
  <c r="E2083" i="2"/>
  <c r="E2524" i="2"/>
  <c r="E2868" i="2"/>
  <c r="E115" i="2"/>
  <c r="E2253" i="2"/>
  <c r="E1219" i="2"/>
  <c r="E1896" i="2"/>
  <c r="E2195" i="2"/>
  <c r="E2229" i="2"/>
  <c r="E2231" i="2"/>
  <c r="E2234" i="2"/>
  <c r="E169" i="2"/>
  <c r="E2262" i="2"/>
  <c r="E928" i="2"/>
  <c r="E2267" i="2"/>
  <c r="E473" i="2"/>
  <c r="E1616" i="2"/>
  <c r="E1874" i="2"/>
  <c r="E2470" i="2"/>
  <c r="E2794" i="2"/>
  <c r="E3014" i="2"/>
  <c r="E2273" i="2"/>
  <c r="E2276" i="2"/>
  <c r="E2278" i="2"/>
  <c r="E140" i="2"/>
  <c r="E1435" i="2"/>
  <c r="E1652" i="2"/>
  <c r="E1974" i="2"/>
  <c r="E2302" i="2"/>
  <c r="E979" i="2"/>
  <c r="E286" i="2"/>
  <c r="E395" i="2"/>
  <c r="E813" i="2"/>
  <c r="E871" i="2"/>
  <c r="E1125" i="2"/>
  <c r="E1581" i="2"/>
  <c r="E1975" i="2"/>
  <c r="E2298" i="2"/>
  <c r="E2600" i="2"/>
  <c r="E2618" i="2"/>
  <c r="E2741" i="2"/>
  <c r="E2770" i="2"/>
  <c r="E2875" i="2"/>
  <c r="E3071" i="2"/>
  <c r="E1670" i="2"/>
  <c r="E569" i="2"/>
  <c r="E181" i="2"/>
  <c r="E523" i="2"/>
  <c r="E2111" i="2"/>
  <c r="E2363" i="2"/>
  <c r="E2848" i="2"/>
  <c r="E2849" i="2"/>
  <c r="E2850" i="2"/>
  <c r="E2280" i="2"/>
  <c r="E1824" i="2"/>
  <c r="E2287" i="2"/>
  <c r="E2177" i="2"/>
  <c r="E1246" i="2"/>
  <c r="E2330" i="2"/>
  <c r="E2294" i="2"/>
  <c r="E396" i="2"/>
  <c r="E882" i="2"/>
  <c r="E732" i="2"/>
  <c r="E1099" i="2"/>
  <c r="E2282" i="2"/>
  <c r="E1311" i="2"/>
  <c r="E2288" i="2"/>
  <c r="E1662" i="2"/>
  <c r="E1863" i="2"/>
  <c r="E2292" i="2"/>
  <c r="E2305" i="2"/>
  <c r="E2307" i="2"/>
  <c r="E2256" i="2"/>
  <c r="E2318" i="2"/>
  <c r="E2320" i="2"/>
  <c r="E2321" i="2"/>
  <c r="E2322" i="2"/>
  <c r="E2757" i="2"/>
  <c r="E2324" i="2"/>
  <c r="E2326" i="2"/>
  <c r="E2299" i="2"/>
  <c r="E348" i="2"/>
  <c r="E2246" i="2"/>
  <c r="E964" i="2"/>
  <c r="E1126" i="2"/>
  <c r="E1336" i="2"/>
  <c r="E1436" i="2"/>
  <c r="E1599" i="2"/>
  <c r="E2405" i="2"/>
  <c r="E2745" i="2"/>
  <c r="E2441" i="2"/>
  <c r="E2303" i="2"/>
  <c r="E240" i="2"/>
  <c r="E2343" i="2"/>
  <c r="E2345" i="2"/>
  <c r="E2354" i="2"/>
  <c r="E888" i="2"/>
  <c r="E907" i="2"/>
  <c r="E1127" i="2"/>
  <c r="E2365" i="2"/>
  <c r="E2379" i="2"/>
  <c r="E1450" i="2"/>
  <c r="E2381" i="2"/>
  <c r="E1598" i="2"/>
  <c r="E2384" i="2"/>
  <c r="E1894" i="2"/>
  <c r="E1926" i="2"/>
  <c r="E2385" i="2"/>
  <c r="E2239" i="2"/>
  <c r="E2243" i="2"/>
  <c r="E2265" i="2"/>
  <c r="E2313" i="2"/>
  <c r="E2362" i="2"/>
  <c r="E2392" i="2"/>
  <c r="E2684" i="2"/>
  <c r="E594" i="2"/>
  <c r="E765" i="2"/>
  <c r="E2393" i="2"/>
  <c r="E2000" i="2"/>
  <c r="E3004" i="2"/>
  <c r="E2311" i="2"/>
  <c r="E219" i="2"/>
  <c r="E2394" i="2"/>
  <c r="E3040" i="2"/>
  <c r="E955" i="2"/>
  <c r="E1128" i="2"/>
  <c r="E2247" i="2"/>
  <c r="E2396" i="2"/>
  <c r="E1555" i="2"/>
  <c r="E1751" i="2"/>
  <c r="E1764" i="2"/>
  <c r="E1895" i="2"/>
  <c r="E1978" i="2"/>
  <c r="E2419" i="2"/>
  <c r="E2545" i="2"/>
  <c r="E2400" i="2"/>
  <c r="E2906" i="2"/>
  <c r="E2945" i="2"/>
  <c r="E2289" i="2"/>
  <c r="E325" i="2"/>
  <c r="E2767" i="2"/>
  <c r="E244" i="2"/>
  <c r="E2317" i="2"/>
  <c r="E2921" i="2"/>
  <c r="E681" i="2"/>
  <c r="E1050" i="2"/>
  <c r="E2319" i="2"/>
  <c r="E2334" i="2"/>
  <c r="E2638" i="2"/>
  <c r="E2410" i="2"/>
  <c r="E1148" i="2"/>
  <c r="E281" i="2"/>
  <c r="E2413" i="2"/>
  <c r="E2423" i="2"/>
  <c r="E501" i="2"/>
  <c r="E2425" i="2"/>
  <c r="E2001" i="2"/>
  <c r="E814" i="2"/>
  <c r="E857" i="2"/>
  <c r="E972" i="2"/>
  <c r="E2426" i="2"/>
  <c r="E253" i="2"/>
  <c r="E1270" i="2"/>
  <c r="E2433" i="2"/>
  <c r="E1556" i="2"/>
  <c r="E1769" i="2"/>
  <c r="E1848" i="2"/>
  <c r="E2443" i="2"/>
  <c r="E2456" i="2"/>
  <c r="E2220" i="2"/>
  <c r="E2367" i="2"/>
  <c r="E2631" i="2"/>
  <c r="E2866" i="2"/>
  <c r="E2457" i="2"/>
  <c r="E2462" i="2"/>
  <c r="E2351" i="2"/>
  <c r="E2465" i="2"/>
  <c r="E2352" i="2"/>
  <c r="E2851" i="2"/>
  <c r="E2923" i="2"/>
  <c r="E2357" i="2"/>
  <c r="E2275" i="2"/>
  <c r="E2372" i="2"/>
  <c r="E2466" i="2"/>
  <c r="E3039" i="2"/>
  <c r="E2556" i="2"/>
  <c r="E2632" i="2"/>
  <c r="E2439" i="2"/>
  <c r="E2449" i="2"/>
  <c r="E2248" i="2"/>
  <c r="E2406" i="2"/>
  <c r="E2458" i="2"/>
  <c r="E816" i="2"/>
  <c r="E1832" i="2"/>
  <c r="E624" i="2"/>
  <c r="E2478" i="2"/>
  <c r="E489" i="2"/>
  <c r="E2472" i="2"/>
  <c r="E2852" i="2"/>
  <c r="E416" i="2"/>
  <c r="E445" i="2"/>
  <c r="E1706" i="2"/>
  <c r="E1939" i="2"/>
  <c r="E2153" i="2"/>
  <c r="E2568" i="2"/>
  <c r="E2653" i="2"/>
  <c r="E2755" i="2"/>
  <c r="E61" i="2"/>
  <c r="E2482" i="2"/>
  <c r="E736" i="2"/>
  <c r="E1696" i="2"/>
  <c r="E2026" i="2"/>
  <c r="E3057" i="2"/>
  <c r="E135" i="2"/>
  <c r="E148" i="2"/>
  <c r="E2485" i="2"/>
  <c r="E2486" i="2"/>
  <c r="E836" i="2"/>
  <c r="E2490" i="2"/>
  <c r="E1198" i="2"/>
  <c r="E1414" i="2"/>
  <c r="E1761" i="2"/>
  <c r="E1919" i="2"/>
  <c r="E2090" i="2"/>
  <c r="E2099" i="2"/>
  <c r="E2157" i="2"/>
  <c r="E2160" i="2"/>
  <c r="E2390" i="2"/>
  <c r="E2452" i="2"/>
  <c r="E2548" i="2"/>
  <c r="E2564" i="2"/>
  <c r="E2639" i="2"/>
  <c r="E2502" i="2"/>
  <c r="E2973" i="2"/>
  <c r="E2536" i="2"/>
  <c r="E2553" i="2"/>
  <c r="E2552" i="2"/>
  <c r="E2588" i="2"/>
  <c r="E2669" i="2"/>
  <c r="E2801" i="2"/>
  <c r="E2503" i="2"/>
  <c r="E2574" i="2"/>
  <c r="E2617" i="2"/>
  <c r="E345" i="2"/>
  <c r="E2608" i="2"/>
  <c r="E2609" i="2"/>
  <c r="E1172" i="2"/>
  <c r="E63" i="2"/>
  <c r="E1587" i="2"/>
  <c r="E2627" i="2"/>
  <c r="E2633" i="2"/>
  <c r="E319" i="2"/>
  <c r="E2635" i="2"/>
  <c r="E2777" i="2"/>
  <c r="E159" i="2"/>
  <c r="E2504" i="2"/>
  <c r="E1865" i="2"/>
  <c r="E2795" i="2"/>
  <c r="E151" i="2"/>
  <c r="E328" i="2"/>
  <c r="E1008" i="2"/>
  <c r="E1557" i="2"/>
  <c r="E2541" i="2"/>
  <c r="E2869" i="2"/>
  <c r="E3010" i="2"/>
  <c r="E1320" i="2"/>
  <c r="E2753" i="2"/>
  <c r="E909" i="2"/>
  <c r="E641" i="2"/>
  <c r="E1625" i="2"/>
  <c r="E2769" i="2"/>
  <c r="E2699" i="2"/>
  <c r="E2512" i="2"/>
  <c r="E2802" i="2"/>
  <c r="E2996" i="2"/>
  <c r="E90" i="2"/>
  <c r="E116" i="2"/>
  <c r="E2514" i="2"/>
  <c r="E2517" i="2"/>
  <c r="E2519" i="2"/>
  <c r="E2522" i="2"/>
  <c r="E313" i="2"/>
  <c r="E2525" i="2"/>
  <c r="E333" i="2"/>
  <c r="E2527" i="2"/>
  <c r="E2534" i="2"/>
  <c r="E422" i="2"/>
  <c r="E465" i="2"/>
  <c r="E526" i="2"/>
  <c r="E543" i="2"/>
  <c r="E546" i="2"/>
  <c r="E592" i="2"/>
  <c r="E2540" i="2"/>
  <c r="E612" i="2"/>
  <c r="E615" i="2"/>
  <c r="E2550" i="2"/>
  <c r="E2577" i="2"/>
  <c r="E668" i="2"/>
  <c r="E735" i="2"/>
  <c r="E2578" i="2"/>
  <c r="E785" i="2"/>
  <c r="E2579" i="2"/>
  <c r="E854" i="2"/>
  <c r="E872" i="2"/>
  <c r="E873" i="2"/>
  <c r="E879" i="2"/>
  <c r="E2590" i="2"/>
  <c r="E1100" i="2"/>
  <c r="E2593" i="2"/>
  <c r="E1164" i="2"/>
  <c r="E1223" i="2"/>
  <c r="E1214" i="2"/>
  <c r="E1239" i="2"/>
  <c r="E716" i="2"/>
  <c r="E1346" i="2"/>
  <c r="E1470" i="2"/>
  <c r="E679" i="2"/>
  <c r="E1565" i="2"/>
  <c r="E2594" i="2"/>
  <c r="E1671" i="2"/>
  <c r="E1676" i="2"/>
  <c r="E1681" i="2"/>
  <c r="E1687" i="2"/>
  <c r="E2714" i="2"/>
  <c r="E2596" i="2"/>
  <c r="E1717" i="2"/>
  <c r="E2599" i="2"/>
  <c r="E1749" i="2"/>
  <c r="E2601" i="2"/>
  <c r="E2602" i="2"/>
  <c r="E2606" i="2"/>
  <c r="E1877" i="2"/>
  <c r="E1882" i="2"/>
  <c r="E2610" i="2"/>
  <c r="E2611" i="2"/>
  <c r="E2614" i="2"/>
  <c r="E2137" i="2"/>
  <c r="E2616" i="2"/>
  <c r="E2621" i="2"/>
  <c r="E2199" i="2"/>
  <c r="E2233" i="2"/>
  <c r="E2277" i="2"/>
  <c r="E2333" i="2"/>
  <c r="E2650" i="2"/>
  <c r="E2652" i="2"/>
  <c r="E2427" i="2"/>
  <c r="E2451" i="2"/>
  <c r="E2471" i="2"/>
  <c r="E2655" i="2"/>
  <c r="E2607" i="2"/>
  <c r="E2658" i="2"/>
  <c r="E2659" i="2"/>
  <c r="E2654" i="2"/>
  <c r="E2665" i="2"/>
  <c r="E2687" i="2"/>
  <c r="E2765" i="2"/>
  <c r="E2783" i="2"/>
  <c r="E2663" i="2"/>
  <c r="E2853" i="2"/>
  <c r="E2854" i="2"/>
  <c r="E2878" i="2"/>
  <c r="E2671" i="2"/>
  <c r="E3021" i="2"/>
  <c r="E3064" i="2"/>
  <c r="E1799" i="2"/>
  <c r="E2337" i="2"/>
  <c r="E2537" i="2"/>
  <c r="E2281" i="2"/>
  <c r="E285" i="2"/>
  <c r="E2749" i="2"/>
  <c r="E2880" i="2"/>
  <c r="E2750" i="2"/>
  <c r="E2751" i="2"/>
  <c r="E1437" i="2"/>
  <c r="E2673" i="2"/>
  <c r="E2681" i="2"/>
  <c r="E2688" i="2"/>
  <c r="E2691" i="2"/>
  <c r="E2700" i="2"/>
  <c r="E155" i="2"/>
  <c r="E225" i="2"/>
  <c r="E463" i="2"/>
  <c r="E579" i="2"/>
  <c r="E925" i="2"/>
  <c r="E1019" i="2"/>
  <c r="E2702" i="2"/>
  <c r="E1240" i="2"/>
  <c r="E1300" i="2"/>
  <c r="E1302" i="2"/>
  <c r="E2704" i="2"/>
  <c r="E2707" i="2"/>
  <c r="E1457" i="2"/>
  <c r="E1572" i="2"/>
  <c r="E682" i="2"/>
  <c r="E1711" i="2"/>
  <c r="E1920" i="2"/>
  <c r="E2033" i="2"/>
  <c r="E2092" i="2"/>
  <c r="E2188" i="2"/>
  <c r="E2723" i="2"/>
  <c r="E2565" i="2"/>
  <c r="E2759" i="2"/>
  <c r="E2856" i="2"/>
  <c r="E2857" i="2"/>
  <c r="E2732" i="2"/>
  <c r="E2797" i="2"/>
  <c r="E704" i="2"/>
  <c r="E817" i="2"/>
  <c r="E1347" i="2"/>
  <c r="E2145" i="2"/>
  <c r="E2391" i="2"/>
  <c r="E2526" i="2"/>
  <c r="E2228" i="2"/>
  <c r="E2764" i="2"/>
  <c r="E2546" i="2"/>
  <c r="E2286" i="2"/>
  <c r="E1752" i="2"/>
  <c r="E2018" i="2"/>
  <c r="E2353" i="2"/>
  <c r="E43" i="2"/>
  <c r="E2768" i="2"/>
  <c r="E2733" i="2"/>
  <c r="E105" i="2"/>
  <c r="E574" i="2"/>
  <c r="E2734" i="2"/>
  <c r="E2438" i="2"/>
  <c r="E2881" i="2"/>
  <c r="E2776" i="2"/>
  <c r="E684" i="2"/>
  <c r="E1925" i="2"/>
  <c r="E2172" i="2"/>
  <c r="E772" i="2"/>
  <c r="E1472" i="2"/>
  <c r="E2642" i="2"/>
  <c r="E2645" i="2"/>
  <c r="E2855" i="2"/>
  <c r="E2872" i="2"/>
  <c r="E444" i="2"/>
  <c r="E575" i="2"/>
  <c r="E842" i="2"/>
  <c r="E1067" i="2"/>
  <c r="E1178" i="2"/>
  <c r="E2798" i="2"/>
  <c r="E2858" i="2"/>
  <c r="E2966" i="2"/>
  <c r="E2306" i="2"/>
  <c r="E2883" i="2"/>
  <c r="E2884" i="2"/>
  <c r="E2885" i="2"/>
  <c r="E2886" i="2"/>
  <c r="E2887" i="2"/>
  <c r="E1370" i="2"/>
  <c r="E2901" i="2"/>
  <c r="E2912" i="2"/>
  <c r="E2747" i="2"/>
  <c r="E1884" i="2"/>
  <c r="E1739" i="2"/>
  <c r="E485" i="2"/>
  <c r="E1011" i="2"/>
  <c r="E1842" i="2"/>
  <c r="E2329" i="2"/>
  <c r="E378" i="2"/>
  <c r="E2238" i="2"/>
  <c r="E2859" i="2"/>
  <c r="E106" i="2"/>
  <c r="E1176" i="2"/>
  <c r="E2958" i="2"/>
  <c r="E1888" i="2"/>
  <c r="E1623" i="2"/>
  <c r="E2756" i="2"/>
  <c r="E818" i="2"/>
  <c r="E44" i="2"/>
  <c r="E946" i="2"/>
  <c r="E1020" i="2"/>
  <c r="E1069" i="2"/>
  <c r="E1157" i="2"/>
  <c r="E2216" i="2"/>
  <c r="E2528" i="2"/>
  <c r="E2754" i="2"/>
  <c r="E2926" i="2"/>
  <c r="E3080" i="2"/>
  <c r="E1936" i="2"/>
  <c r="E1310" i="2"/>
  <c r="E3001" i="2"/>
  <c r="E2779" i="2"/>
  <c r="E2782" i="2"/>
  <c r="E406" i="2"/>
  <c r="E468" i="2"/>
  <c r="E1131" i="2"/>
  <c r="E1132" i="2"/>
  <c r="E1138" i="2"/>
  <c r="E1499" i="2"/>
  <c r="E1718" i="2"/>
  <c r="E2788" i="2"/>
  <c r="E2796" i="2"/>
  <c r="E2062" i="2"/>
  <c r="E2808" i="2"/>
  <c r="E2529" i="2"/>
  <c r="E688" i="2"/>
  <c r="E2685" i="2"/>
  <c r="E2815" i="2"/>
  <c r="E129" i="2"/>
  <c r="E220" i="2"/>
  <c r="E320" i="2"/>
  <c r="E430" i="2"/>
  <c r="E898" i="2"/>
  <c r="E962" i="2"/>
  <c r="E1348" i="2"/>
  <c r="E1108" i="2"/>
  <c r="E1558" i="2"/>
  <c r="E1686" i="2"/>
  <c r="E2084" i="2"/>
  <c r="E2816" i="2"/>
  <c r="E2453" i="2"/>
  <c r="E2530" i="2"/>
  <c r="E2531" i="2"/>
  <c r="E2946" i="2"/>
  <c r="E2975" i="2"/>
  <c r="E2992" i="2"/>
  <c r="E1199" i="2"/>
  <c r="E2817" i="2"/>
  <c r="E2829" i="2"/>
  <c r="E2947" i="2"/>
  <c r="E1710" i="2"/>
  <c r="E2208" i="2"/>
  <c r="E182" i="2"/>
  <c r="E1006" i="2"/>
  <c r="E1289" i="2"/>
  <c r="E1860" i="2"/>
  <c r="E2217" i="2"/>
  <c r="E687" i="2"/>
  <c r="E353" i="2"/>
  <c r="E124" i="2"/>
  <c r="E2041" i="2"/>
  <c r="E3022" i="2"/>
  <c r="E748" i="2"/>
  <c r="E855" i="2"/>
  <c r="E1010" i="2"/>
  <c r="E1060" i="2"/>
  <c r="E1317" i="2"/>
  <c r="E1367" i="2"/>
  <c r="E1387" i="2"/>
  <c r="E1441" i="2"/>
  <c r="E1559" i="2"/>
  <c r="E1560" i="2"/>
  <c r="E1661" i="2"/>
  <c r="E1705" i="2"/>
  <c r="E1736" i="2"/>
  <c r="E1789" i="2"/>
  <c r="E1921" i="2"/>
  <c r="E1983" i="2"/>
  <c r="E2532" i="2"/>
  <c r="E2547" i="2"/>
  <c r="E2860" i="2"/>
  <c r="E2861" i="2"/>
  <c r="E2927" i="2"/>
  <c r="E2948" i="2"/>
  <c r="E3015" i="2"/>
  <c r="E3027" i="2"/>
  <c r="E3028" i="2"/>
  <c r="E117" i="2"/>
  <c r="E3036" i="2"/>
  <c r="E2045" i="2"/>
  <c r="E3038" i="2"/>
  <c r="E3055" i="2"/>
  <c r="E2706" i="2"/>
  <c r="E819" i="2"/>
  <c r="E1202" i="2"/>
  <c r="E1276" i="2"/>
  <c r="E1248" i="2"/>
  <c r="E3048" i="2"/>
  <c r="E2840" i="2"/>
  <c r="E914" i="2"/>
  <c r="E726" i="2"/>
  <c r="E2895" i="2"/>
  <c r="E820" i="2"/>
  <c r="E2953" i="2"/>
  <c r="E45" i="2"/>
  <c r="E2841" i="2"/>
  <c r="E2595" i="2"/>
  <c r="E2717" i="2"/>
  <c r="E3058" i="2"/>
  <c r="E3060" i="2"/>
  <c r="E50" i="2"/>
  <c r="E2845" i="2"/>
  <c r="E69" i="2"/>
  <c r="E164" i="2"/>
  <c r="E196" i="2"/>
  <c r="E197" i="2"/>
  <c r="E241" i="2"/>
  <c r="E252" i="2"/>
  <c r="E2867" i="2"/>
  <c r="E2873" i="2"/>
  <c r="E740" i="2"/>
  <c r="E874" i="2"/>
  <c r="E938" i="2"/>
  <c r="E2879" i="2"/>
  <c r="E989" i="2"/>
  <c r="E1039" i="2"/>
  <c r="E1101" i="2"/>
  <c r="E1133" i="2"/>
  <c r="E2891" i="2"/>
  <c r="E1306" i="2"/>
  <c r="E1325" i="2"/>
  <c r="E1362" i="2"/>
  <c r="E2907" i="2"/>
  <c r="E1417" i="2"/>
  <c r="E2908" i="2"/>
  <c r="E1617" i="2"/>
  <c r="E1694" i="2"/>
  <c r="E2910" i="2"/>
  <c r="E2911" i="2"/>
  <c r="E1872" i="2"/>
  <c r="E1922" i="2"/>
  <c r="E2913" i="2"/>
  <c r="E1988" i="2"/>
  <c r="E2057" i="2"/>
  <c r="E2914" i="2"/>
  <c r="E2918" i="2"/>
  <c r="E2087" i="2"/>
  <c r="E2103" i="2"/>
  <c r="E2949" i="2"/>
  <c r="E2180" i="2"/>
  <c r="E2200" i="2"/>
  <c r="E2314" i="2"/>
  <c r="E2366" i="2"/>
  <c r="E2434" i="2"/>
  <c r="E1664" i="2"/>
  <c r="E2583" i="2"/>
  <c r="E2928" i="2"/>
  <c r="E2862" i="2"/>
  <c r="E2967" i="2"/>
  <c r="E2970" i="2"/>
  <c r="E58" i="2"/>
  <c r="E262" i="2"/>
  <c r="E729" i="2"/>
  <c r="E1502" i="2"/>
  <c r="E2010" i="2"/>
  <c r="E2127" i="2"/>
  <c r="E2728" i="2"/>
  <c r="E1562" i="2"/>
  <c r="E1627" i="2"/>
  <c r="E3074" i="2"/>
  <c r="E2991" i="2"/>
  <c r="E433" i="2"/>
  <c r="E506" i="2"/>
  <c r="E903" i="2"/>
  <c r="E976" i="2"/>
  <c r="E1134" i="2"/>
  <c r="E1237" i="2"/>
  <c r="E1440" i="2"/>
  <c r="E2268" i="2"/>
  <c r="E2533" i="2"/>
  <c r="E2561" i="2"/>
  <c r="E3012" i="2"/>
  <c r="E2934" i="2"/>
  <c r="E166" i="2"/>
  <c r="E171" i="2"/>
  <c r="E174" i="2"/>
  <c r="E2937" i="2"/>
  <c r="E233" i="2"/>
  <c r="E2952" i="2"/>
  <c r="E247" i="2"/>
  <c r="E2955" i="2"/>
  <c r="E2961" i="2"/>
  <c r="E337" i="2"/>
  <c r="E2964" i="2"/>
  <c r="E379" i="2"/>
  <c r="E2971" i="2"/>
  <c r="E2972" i="2"/>
  <c r="E2976" i="2"/>
  <c r="E2978" i="2"/>
  <c r="E528" i="2"/>
  <c r="E2979" i="2"/>
  <c r="E2986" i="2"/>
  <c r="E723" i="2"/>
  <c r="E730" i="2"/>
  <c r="E2989" i="2"/>
  <c r="E975" i="2"/>
  <c r="E1022" i="2"/>
  <c r="E1053" i="2"/>
  <c r="E1061" i="2"/>
  <c r="E1191" i="2"/>
  <c r="E2990" i="2"/>
  <c r="E1309" i="2"/>
  <c r="E1313" i="2"/>
  <c r="E1563" i="2"/>
  <c r="E1582" i="2"/>
  <c r="E2994" i="2"/>
  <c r="E1632" i="2"/>
  <c r="E1637" i="2"/>
  <c r="E2997" i="2"/>
  <c r="E1690" i="2"/>
  <c r="E1742" i="2"/>
  <c r="E3006" i="2"/>
  <c r="E3019" i="2"/>
  <c r="E3032" i="2"/>
  <c r="E1790" i="2"/>
  <c r="E1804" i="2"/>
  <c r="E686" i="2"/>
  <c r="E2040" i="2"/>
  <c r="E2162" i="2"/>
  <c r="E2163" i="2"/>
  <c r="E3035" i="2"/>
  <c r="E2395" i="2"/>
  <c r="E3047" i="2"/>
  <c r="E2464" i="2"/>
  <c r="E2477" i="2"/>
  <c r="E2589" i="2"/>
  <c r="E2640" i="2"/>
  <c r="E2641" i="2"/>
  <c r="E2661" i="2"/>
  <c r="E2662" i="2"/>
  <c r="E3049" i="2"/>
  <c r="E2742" i="2"/>
  <c r="E2799" i="2"/>
  <c r="E2800" i="2"/>
  <c r="E1151" i="2"/>
  <c r="E3050" i="2"/>
  <c r="E2960" i="2"/>
  <c r="E3052" i="2"/>
  <c r="E3051" i="2"/>
  <c r="E3056" i="2"/>
  <c r="E264" i="2"/>
  <c r="E3072" i="2"/>
  <c r="E1496" i="2"/>
  <c r="E3078" i="2"/>
  <c r="E329" i="2"/>
  <c r="E431" i="2"/>
  <c r="E1086" i="2"/>
  <c r="E2897" i="2"/>
  <c r="E1564" i="2"/>
  <c r="E1785" i="2"/>
  <c r="E1985" i="2"/>
  <c r="E1986" i="2"/>
  <c r="E2332" i="2"/>
  <c r="E2584" i="2"/>
  <c r="E670" i="2"/>
  <c r="E1106" i="2"/>
  <c r="E1588" i="2"/>
  <c r="E1619" i="2"/>
  <c r="E1712" i="2"/>
  <c r="E2628" i="2"/>
  <c r="E3082" i="2"/>
  <c r="Q3" i="2"/>
  <c r="Q4" i="2" s="1"/>
  <c r="R3" i="2"/>
  <c r="R4" i="2" s="1"/>
  <c r="S3" i="2"/>
  <c r="S4" i="2" s="1"/>
  <c r="T3" i="2"/>
  <c r="T4" i="2" s="1"/>
  <c r="U3" i="2"/>
  <c r="U4" i="2" s="1"/>
  <c r="V3" i="2"/>
  <c r="V4" i="2" s="1"/>
  <c r="W3" i="2"/>
  <c r="W4" i="2" s="1"/>
  <c r="X3" i="2"/>
  <c r="X4" i="2" s="1"/>
  <c r="Y3" i="2"/>
  <c r="Y4" i="2" s="1"/>
  <c r="Z3" i="2"/>
  <c r="Z4" i="2" s="1"/>
  <c r="AA3" i="2"/>
  <c r="AA4" i="2" s="1"/>
  <c r="AC3" i="2"/>
  <c r="AC4" i="2" s="1"/>
  <c r="AD3" i="2"/>
  <c r="AD4" i="2" s="1"/>
  <c r="AE3" i="2"/>
  <c r="AE4" i="2" s="1"/>
  <c r="AF3" i="2"/>
  <c r="AF4" i="2" s="1"/>
  <c r="F305" i="2" l="1"/>
  <c r="F674" i="2"/>
  <c r="F2800" i="2"/>
  <c r="F1309" i="2"/>
  <c r="F233" i="2"/>
  <c r="F1502" i="2"/>
  <c r="F1872" i="2"/>
  <c r="F197" i="2"/>
  <c r="F3055" i="2"/>
  <c r="F1789" i="2"/>
  <c r="F2208" i="2"/>
  <c r="F1108" i="2"/>
  <c r="F2815" i="2"/>
  <c r="F1718" i="2"/>
  <c r="F2779" i="2"/>
  <c r="F2216" i="2"/>
  <c r="F2655" i="2"/>
  <c r="F2596" i="2"/>
  <c r="F2593" i="2"/>
  <c r="F2540" i="2"/>
  <c r="F641" i="2"/>
  <c r="F2452" i="2"/>
  <c r="F955" i="2"/>
  <c r="F240" i="2"/>
  <c r="F1863" i="2"/>
  <c r="F2850" i="2"/>
  <c r="F2302" i="2"/>
  <c r="F2222" i="2"/>
  <c r="F2418" i="2"/>
  <c r="F2113" i="2"/>
  <c r="F885" i="2"/>
  <c r="F2096" i="2"/>
  <c r="F1626" i="2"/>
  <c r="F2969" i="2"/>
  <c r="F1324" i="2"/>
  <c r="F649" i="2"/>
  <c r="F1552" i="2"/>
  <c r="F1162" i="2"/>
  <c r="F568" i="2"/>
  <c r="F2839" i="2"/>
  <c r="F2838" i="2"/>
  <c r="F1859" i="2"/>
  <c r="F460" i="2"/>
  <c r="F994" i="2"/>
  <c r="F1479" i="2"/>
  <c r="F1800" i="2"/>
  <c r="F1323" i="2"/>
  <c r="F1934" i="2"/>
  <c r="F1748" i="2"/>
  <c r="F1723" i="2"/>
  <c r="F88" i="2"/>
  <c r="F1847" i="2"/>
  <c r="F1605" i="2"/>
  <c r="F943" i="2"/>
  <c r="F1633" i="2"/>
  <c r="F1785" i="2"/>
  <c r="F2589" i="2"/>
  <c r="F1690" i="2"/>
  <c r="F2971" i="2"/>
  <c r="F433" i="2"/>
  <c r="F2583" i="2"/>
  <c r="F2879" i="2"/>
  <c r="F914" i="2"/>
  <c r="F2948" i="2"/>
  <c r="F124" i="2"/>
  <c r="F2946" i="2"/>
  <c r="F2329" i="2"/>
  <c r="F2966" i="2"/>
  <c r="F684" i="2"/>
  <c r="F2228" i="2"/>
  <c r="F2033" i="2"/>
  <c r="F225" i="2"/>
  <c r="F1799" i="2"/>
  <c r="F1882" i="2"/>
  <c r="F785" i="2"/>
  <c r="F2527" i="2"/>
  <c r="F1008" i="2"/>
  <c r="F2552" i="2"/>
  <c r="F3057" i="2"/>
  <c r="F489" i="2"/>
  <c r="F2357" i="2"/>
  <c r="F1556" i="2"/>
  <c r="F2638" i="2"/>
  <c r="F1978" i="2"/>
  <c r="F2239" i="2"/>
  <c r="F1126" i="2"/>
  <c r="F396" i="2"/>
  <c r="F1975" i="2"/>
  <c r="F3014" i="2"/>
  <c r="F2183" i="2"/>
  <c r="F1669" i="2"/>
  <c r="F2656" i="2"/>
  <c r="F1267" i="2"/>
  <c r="F590" i="2"/>
  <c r="F2093" i="2"/>
  <c r="F239" i="2"/>
  <c r="F1765" i="2"/>
  <c r="F2446" i="2"/>
  <c r="F2031" i="2"/>
  <c r="F1196" i="2"/>
  <c r="F626" i="2"/>
  <c r="F1040" i="2"/>
  <c r="F37" i="2"/>
  <c r="F2882" i="2"/>
  <c r="F1928" i="2"/>
  <c r="F1047" i="2"/>
  <c r="F1914" i="2"/>
  <c r="F1412" i="2"/>
  <c r="F1845" i="2"/>
  <c r="F1819" i="2"/>
  <c r="F2836" i="2"/>
  <c r="F1685" i="2"/>
  <c r="F2448" i="2"/>
  <c r="F1931" i="2"/>
  <c r="F1420" i="2"/>
  <c r="F1821" i="2"/>
  <c r="F2974" i="2"/>
  <c r="F2374" i="2"/>
  <c r="F2017" i="2"/>
  <c r="F1649" i="2"/>
  <c r="F1738" i="2"/>
  <c r="F2510" i="2"/>
  <c r="F1656" i="2"/>
  <c r="F2941" i="2"/>
  <c r="F2383" i="2"/>
  <c r="F1612" i="2"/>
  <c r="F2895" i="2"/>
  <c r="F1686" i="2"/>
  <c r="F1619" i="2"/>
  <c r="F3072" i="2"/>
  <c r="F2040" i="2"/>
  <c r="F730" i="2"/>
  <c r="F2533" i="2"/>
  <c r="F2103" i="2"/>
  <c r="F1362" i="2"/>
  <c r="F2717" i="2"/>
  <c r="F1367" i="2"/>
  <c r="F1623" i="2"/>
  <c r="F2901" i="2"/>
  <c r="F2872" i="2"/>
  <c r="F2768" i="2"/>
  <c r="F2732" i="2"/>
  <c r="F1302" i="2"/>
  <c r="F2751" i="2"/>
  <c r="F2783" i="2"/>
  <c r="F2233" i="2"/>
  <c r="F679" i="2"/>
  <c r="F116" i="2"/>
  <c r="F2635" i="2"/>
  <c r="F2608" i="2"/>
  <c r="F1414" i="2"/>
  <c r="F2568" i="2"/>
  <c r="F2449" i="2"/>
  <c r="F2866" i="2"/>
  <c r="F2001" i="2"/>
  <c r="F2767" i="2"/>
  <c r="F765" i="2"/>
  <c r="F2379" i="2"/>
  <c r="F2322" i="2"/>
  <c r="F1670" i="2"/>
  <c r="F2262" i="2"/>
  <c r="F2253" i="2"/>
  <c r="F2174" i="2"/>
  <c r="F1867" i="2"/>
  <c r="F2168" i="2"/>
  <c r="F2166" i="2"/>
  <c r="F1231" i="2"/>
  <c r="F1693" i="2"/>
  <c r="F2032" i="2"/>
  <c r="F2582" i="2"/>
  <c r="F1285" i="2"/>
  <c r="F585" i="2"/>
  <c r="F1932" i="2"/>
  <c r="F2752" i="2"/>
  <c r="F1096" i="2"/>
  <c r="F2250" i="2"/>
  <c r="F1429" i="2"/>
  <c r="F2726" i="2"/>
  <c r="F2581" i="2"/>
  <c r="F666" i="2"/>
  <c r="F1015" i="2"/>
  <c r="F1576" i="2"/>
  <c r="F1335" i="2"/>
  <c r="F1439" i="2"/>
  <c r="F1481" i="2"/>
  <c r="F589" i="2"/>
  <c r="F1875" i="2"/>
  <c r="F833" i="2"/>
  <c r="F1574" i="2"/>
  <c r="F1352" i="2"/>
  <c r="F1174" i="2"/>
  <c r="F1903" i="2"/>
  <c r="F1327" i="2"/>
  <c r="F1996" i="2"/>
  <c r="F2414" i="2"/>
  <c r="F1407" i="2"/>
  <c r="F743" i="2"/>
  <c r="F2219" i="2"/>
  <c r="F338" i="2"/>
  <c r="F1459" i="2"/>
  <c r="F1915" i="2"/>
  <c r="F1263" i="2"/>
  <c r="F2429" i="2"/>
  <c r="F1410" i="2"/>
  <c r="F2378" i="2"/>
  <c r="F1615" i="2"/>
  <c r="F1082" i="2"/>
  <c r="F577" i="2"/>
  <c r="F269" i="2"/>
  <c r="F1284" i="2"/>
  <c r="F2264" i="2"/>
  <c r="F1621" i="2"/>
  <c r="F2830" i="2"/>
  <c r="F1253" i="2"/>
  <c r="F2242" i="2"/>
  <c r="F1571" i="2"/>
  <c r="F1203" i="2"/>
  <c r="F1193" i="2"/>
  <c r="F541" i="2"/>
  <c r="F113" i="2"/>
  <c r="F1801" i="2"/>
  <c r="F1747" i="2"/>
  <c r="F1160" i="2"/>
  <c r="F1813" i="2"/>
  <c r="F1135" i="2"/>
  <c r="F1992" i="2"/>
  <c r="F268" i="2"/>
  <c r="F1958" i="2"/>
  <c r="F1455" i="2"/>
  <c r="F111" i="2"/>
  <c r="F1021" i="2"/>
  <c r="F1077" i="2"/>
  <c r="F3076" i="2"/>
  <c r="F2301" i="2"/>
  <c r="F1045" i="2"/>
  <c r="F968" i="2"/>
  <c r="F959" i="2"/>
  <c r="F104" i="2"/>
  <c r="F454" i="2"/>
  <c r="F709" i="2"/>
  <c r="F303" i="2"/>
  <c r="F2119" i="2"/>
  <c r="F804" i="2"/>
  <c r="F910" i="2"/>
  <c r="F2420" i="2"/>
  <c r="F3029" i="2"/>
  <c r="F2500" i="2"/>
  <c r="F2221" i="2"/>
  <c r="F2043" i="2"/>
  <c r="F685" i="2"/>
  <c r="F853" i="2"/>
  <c r="F1401" i="2"/>
  <c r="F815" i="2"/>
  <c r="F889" i="2"/>
  <c r="F622" i="2"/>
  <c r="F766" i="2"/>
  <c r="F565" i="2"/>
  <c r="F890" i="2"/>
  <c r="F665" i="2"/>
  <c r="F2710" i="2"/>
  <c r="F2571" i="2"/>
  <c r="F741" i="2"/>
  <c r="F728" i="2"/>
  <c r="F1564" i="2"/>
  <c r="F686" i="2"/>
  <c r="F379" i="2"/>
  <c r="F1664" i="2"/>
  <c r="F938" i="2"/>
  <c r="F2927" i="2"/>
  <c r="F1348" i="2"/>
  <c r="F1888" i="2"/>
  <c r="F2855" i="2"/>
  <c r="F1920" i="2"/>
  <c r="F2471" i="2"/>
  <c r="F2578" i="2"/>
  <c r="F328" i="2"/>
  <c r="F1198" i="2"/>
  <c r="F2439" i="2"/>
  <c r="F2425" i="2"/>
  <c r="F594" i="2"/>
  <c r="F964" i="2"/>
  <c r="F2849" i="2"/>
  <c r="F1974" i="2"/>
  <c r="F115" i="2"/>
  <c r="F2232" i="2"/>
  <c r="F2368" i="2"/>
  <c r="F1266" i="2"/>
  <c r="F878" i="2"/>
  <c r="F2102" i="2"/>
  <c r="F2086" i="2"/>
  <c r="F2150" i="2"/>
  <c r="F2135" i="2"/>
  <c r="F2844" i="2"/>
  <c r="F439" i="2"/>
  <c r="F2076" i="2"/>
  <c r="F1238" i="2"/>
  <c r="F1846" i="2"/>
  <c r="F347" i="2"/>
  <c r="F1997" i="2"/>
  <c r="F1032" i="2"/>
  <c r="F2843" i="2"/>
  <c r="F443" i="2"/>
  <c r="F550" i="2"/>
  <c r="F2019" i="2"/>
  <c r="F2151" i="2"/>
  <c r="F990" i="2"/>
  <c r="F1930" i="2"/>
  <c r="F1973" i="2"/>
  <c r="F78" i="2"/>
  <c r="F1954" i="2"/>
  <c r="F1969" i="2"/>
  <c r="F2211" i="2"/>
  <c r="F811" i="2"/>
  <c r="F1458" i="2"/>
  <c r="F844" i="2"/>
  <c r="F1840" i="2"/>
  <c r="F1046" i="2"/>
  <c r="F1610" i="2"/>
  <c r="F1140" i="2"/>
  <c r="F1137" i="2"/>
  <c r="F2694" i="2"/>
  <c r="F1868" i="2"/>
  <c r="F1856" i="2"/>
  <c r="F1145" i="2"/>
  <c r="F94" i="2"/>
  <c r="F2338" i="2"/>
  <c r="F158" i="2"/>
  <c r="F2771" i="2"/>
  <c r="F448" i="2"/>
  <c r="F1471" i="2"/>
  <c r="F335" i="2"/>
  <c r="F2389" i="2"/>
  <c r="F1085" i="2"/>
  <c r="F1715" i="2"/>
  <c r="F1650" i="2"/>
  <c r="F1689" i="2"/>
  <c r="F1495" i="2"/>
  <c r="F2880" i="2"/>
  <c r="F1588" i="2"/>
  <c r="F2477" i="2"/>
  <c r="F2937" i="2"/>
  <c r="F729" i="2"/>
  <c r="F196" i="2"/>
  <c r="F1736" i="2"/>
  <c r="F2685" i="2"/>
  <c r="F1842" i="2"/>
  <c r="F43" i="2"/>
  <c r="F155" i="2"/>
  <c r="F2199" i="2"/>
  <c r="F1100" i="2"/>
  <c r="F909" i="2"/>
  <c r="F2390" i="2"/>
  <c r="F2478" i="2"/>
  <c r="F2433" i="2"/>
  <c r="F1895" i="2"/>
  <c r="F2365" i="2"/>
  <c r="F2321" i="2"/>
  <c r="F3071" i="2"/>
  <c r="F2794" i="2"/>
  <c r="F2181" i="2"/>
  <c r="F2204" i="2"/>
  <c r="F1782" i="2"/>
  <c r="F542" i="2"/>
  <c r="F1972" i="2"/>
  <c r="F670" i="2"/>
  <c r="F1086" i="2"/>
  <c r="F3051" i="2"/>
  <c r="F3049" i="2"/>
  <c r="F3047" i="2"/>
  <c r="F1790" i="2"/>
  <c r="F1632" i="2"/>
  <c r="F1061" i="2"/>
  <c r="F2979" i="2"/>
  <c r="F337" i="2"/>
  <c r="F171" i="2"/>
  <c r="F1237" i="2"/>
  <c r="F1627" i="2"/>
  <c r="F58" i="2"/>
  <c r="F2366" i="2"/>
  <c r="F2914" i="2"/>
  <c r="F1694" i="2"/>
  <c r="F2891" i="2"/>
  <c r="F740" i="2"/>
  <c r="F69" i="2"/>
  <c r="F45" i="2"/>
  <c r="F1248" i="2"/>
  <c r="F3036" i="2"/>
  <c r="F2860" i="2"/>
  <c r="F1661" i="2"/>
  <c r="F1010" i="2"/>
  <c r="F2217" i="2"/>
  <c r="F2829" i="2"/>
  <c r="F2453" i="2"/>
  <c r="F898" i="2"/>
  <c r="F2529" i="2"/>
  <c r="F1132" i="2"/>
  <c r="F1936" i="2"/>
  <c r="F1020" i="2"/>
  <c r="F1176" i="2"/>
  <c r="F485" i="2"/>
  <c r="F2886" i="2"/>
  <c r="F1178" i="2"/>
  <c r="F2642" i="2"/>
  <c r="F2799" i="2"/>
  <c r="F2990" i="2"/>
  <c r="F2268" i="2"/>
  <c r="F2087" i="2"/>
  <c r="F2595" i="2"/>
  <c r="F1317" i="2"/>
  <c r="F2531" i="2"/>
  <c r="F3001" i="2"/>
  <c r="F2858" i="2"/>
  <c r="F2857" i="2"/>
  <c r="F3064" i="2"/>
  <c r="F2714" i="2"/>
  <c r="F333" i="2"/>
  <c r="F319" i="2"/>
  <c r="F2026" i="2"/>
  <c r="F2923" i="2"/>
  <c r="F2334" i="2"/>
  <c r="F3040" i="2"/>
  <c r="F2303" i="2"/>
  <c r="F2294" i="2"/>
  <c r="F1581" i="2"/>
  <c r="F169" i="2"/>
  <c r="F2218" i="2"/>
  <c r="F2643" i="2"/>
  <c r="F2091" i="2"/>
  <c r="F2911" i="2"/>
  <c r="F3038" i="2"/>
  <c r="F1710" i="2"/>
  <c r="F1157" i="2"/>
  <c r="F2776" i="2"/>
  <c r="F2750" i="2"/>
  <c r="F1877" i="2"/>
  <c r="F592" i="2"/>
  <c r="F2553" i="2"/>
  <c r="F1741" i="2"/>
  <c r="F3082" i="2"/>
  <c r="F2332" i="2"/>
  <c r="F329" i="2"/>
  <c r="F2960" i="2"/>
  <c r="F2661" i="2"/>
  <c r="F3035" i="2"/>
  <c r="F264" i="2"/>
  <c r="F2997" i="2"/>
  <c r="F723" i="2"/>
  <c r="F2991" i="2"/>
  <c r="F1325" i="2"/>
  <c r="F2840" i="2"/>
  <c r="F353" i="2"/>
  <c r="F1499" i="2"/>
  <c r="F1370" i="2"/>
  <c r="F2526" i="2"/>
  <c r="F1300" i="2"/>
  <c r="F2765" i="2"/>
  <c r="F1470" i="2"/>
  <c r="F90" i="2"/>
  <c r="F345" i="2"/>
  <c r="F2153" i="2"/>
  <c r="F2631" i="2"/>
  <c r="F325" i="2"/>
  <c r="F2385" i="2"/>
  <c r="F1662" i="2"/>
  <c r="F1150" i="2"/>
  <c r="F2163" i="2"/>
  <c r="F2127" i="2"/>
  <c r="F2883" i="2"/>
  <c r="F1712" i="2"/>
  <c r="F1985" i="2"/>
  <c r="F1496" i="2"/>
  <c r="F1151" i="2"/>
  <c r="F2640" i="2"/>
  <c r="F2162" i="2"/>
  <c r="F1742" i="2"/>
  <c r="F1313" i="2"/>
  <c r="F2989" i="2"/>
  <c r="F2972" i="2"/>
  <c r="F2952" i="2"/>
  <c r="F2561" i="2"/>
  <c r="F506" i="2"/>
  <c r="F2010" i="2"/>
  <c r="F2928" i="2"/>
  <c r="F2949" i="2"/>
  <c r="F1922" i="2"/>
  <c r="F2907" i="2"/>
  <c r="F989" i="2"/>
  <c r="F241" i="2"/>
  <c r="F3058" i="2"/>
  <c r="F726" i="2"/>
  <c r="F2706" i="2"/>
  <c r="F3015" i="2"/>
  <c r="F1921" i="2"/>
  <c r="F1387" i="2"/>
  <c r="F2041" i="2"/>
  <c r="F182" i="2"/>
  <c r="F2975" i="2"/>
  <c r="F1558" i="2"/>
  <c r="F129" i="2"/>
  <c r="F2788" i="2"/>
  <c r="F2782" i="2"/>
  <c r="F2528" i="2"/>
  <c r="F2756" i="2"/>
  <c r="F378" i="2"/>
  <c r="F2912" i="2"/>
  <c r="F2306" i="2"/>
  <c r="F444" i="2"/>
  <c r="F1925" i="2"/>
  <c r="F2733" i="2"/>
  <c r="F2764" i="2"/>
  <c r="F2797" i="2"/>
  <c r="F2092" i="2"/>
  <c r="F2704" i="2"/>
  <c r="F463" i="2"/>
  <c r="F1437" i="2"/>
  <c r="F2337" i="2"/>
  <c r="F2663" i="2"/>
  <c r="F2607" i="2"/>
  <c r="F2277" i="2"/>
  <c r="F2610" i="2"/>
  <c r="F1717" i="2"/>
  <c r="F1565" i="2"/>
  <c r="F1164" i="2"/>
  <c r="F2579" i="2"/>
  <c r="F612" i="2"/>
  <c r="F2534" i="2"/>
  <c r="F2514" i="2"/>
  <c r="F1625" i="2"/>
  <c r="F1557" i="2"/>
  <c r="F2777" i="2"/>
  <c r="F2609" i="2"/>
  <c r="F2588" i="2"/>
  <c r="F2548" i="2"/>
  <c r="F1761" i="2"/>
  <c r="F135" i="2"/>
  <c r="F2653" i="2"/>
  <c r="F2472" i="2"/>
  <c r="F2248" i="2"/>
  <c r="F2275" i="2"/>
  <c r="F2457" i="2"/>
  <c r="F1769" i="2"/>
  <c r="F814" i="2"/>
  <c r="F2410" i="2"/>
  <c r="F244" i="2"/>
  <c r="F2419" i="2"/>
  <c r="F1128" i="2"/>
  <c r="F2393" i="2"/>
  <c r="F2243" i="2"/>
  <c r="F1450" i="2"/>
  <c r="F2343" i="2"/>
  <c r="F1336" i="2"/>
  <c r="F2757" i="2"/>
  <c r="F2292" i="2"/>
  <c r="F882" i="2"/>
  <c r="F2280" i="2"/>
  <c r="F569" i="2"/>
  <c r="F2298" i="2"/>
  <c r="F979" i="2"/>
  <c r="F2273" i="2"/>
  <c r="F928" i="2"/>
  <c r="F1219" i="2"/>
  <c r="F2245" i="2"/>
  <c r="F2224" i="2"/>
  <c r="F280" i="2"/>
  <c r="F218" i="2"/>
  <c r="F2657" i="2"/>
  <c r="F2437" i="2"/>
  <c r="F1901" i="2"/>
  <c r="F1268" i="2"/>
  <c r="F2159" i="2"/>
  <c r="F645" i="2"/>
  <c r="F2123" i="2"/>
  <c r="F2167" i="2"/>
  <c r="F2520" i="2"/>
  <c r="F2070" i="2"/>
  <c r="F880" i="2"/>
  <c r="F2109" i="2"/>
  <c r="F2551" i="2"/>
  <c r="F2056" i="2"/>
  <c r="F2077" i="2"/>
  <c r="F1106" i="2"/>
  <c r="F2897" i="2"/>
  <c r="F3056" i="2"/>
  <c r="F2742" i="2"/>
  <c r="F2464" i="2"/>
  <c r="F1804" i="2"/>
  <c r="F1637" i="2"/>
  <c r="F1191" i="2"/>
  <c r="F2986" i="2"/>
  <c r="F2964" i="2"/>
  <c r="F174" i="2"/>
  <c r="F1440" i="2"/>
  <c r="F3074" i="2"/>
  <c r="F262" i="2"/>
  <c r="F2434" i="2"/>
  <c r="F2918" i="2"/>
  <c r="F2910" i="2"/>
  <c r="F1306" i="2"/>
  <c r="F874" i="2"/>
  <c r="F164" i="2"/>
  <c r="F2841" i="2"/>
  <c r="F3048" i="2"/>
  <c r="F2045" i="2"/>
  <c r="F2861" i="2"/>
  <c r="F1705" i="2"/>
  <c r="F1060" i="2"/>
  <c r="F687" i="2"/>
  <c r="F2947" i="2"/>
  <c r="F2530" i="2"/>
  <c r="F962" i="2"/>
  <c r="F688" i="2"/>
  <c r="F1138" i="2"/>
  <c r="F1310" i="2"/>
  <c r="F1069" i="2"/>
  <c r="F2958" i="2"/>
  <c r="F1011" i="2"/>
  <c r="F2887" i="2"/>
  <c r="F2798" i="2"/>
  <c r="F2645" i="2"/>
  <c r="F2881" i="2"/>
  <c r="F2353" i="2"/>
  <c r="F2391" i="2"/>
  <c r="F2856" i="2"/>
  <c r="F1711" i="2"/>
  <c r="F1240" i="2"/>
  <c r="F2700" i="2"/>
  <c r="F3021" i="2"/>
  <c r="F2687" i="2"/>
  <c r="F2451" i="2"/>
  <c r="F2621" i="2"/>
  <c r="F2606" i="2"/>
  <c r="F1687" i="2"/>
  <c r="F1346" i="2"/>
  <c r="F2590" i="2"/>
  <c r="F735" i="2"/>
  <c r="F546" i="2"/>
  <c r="F2525" i="2"/>
  <c r="F2996" i="2"/>
  <c r="F2753" i="2"/>
  <c r="F151" i="2"/>
  <c r="F2633" i="2"/>
  <c r="F2617" i="2"/>
  <c r="F2536" i="2"/>
  <c r="F2160" i="2"/>
  <c r="F2490" i="2"/>
  <c r="F1696" i="2"/>
  <c r="F1939" i="2"/>
  <c r="F624" i="2"/>
  <c r="F2632" i="2"/>
  <c r="F2851" i="2"/>
  <c r="F2367" i="2"/>
  <c r="F1270" i="2"/>
  <c r="F501" i="2"/>
  <c r="F2319" i="2"/>
  <c r="F2289" i="2"/>
  <c r="F1764" i="2"/>
  <c r="F2394" i="2"/>
  <c r="F2684" i="2"/>
  <c r="F1926" i="2"/>
  <c r="F1127" i="2"/>
  <c r="F2441" i="2"/>
  <c r="F2246" i="2"/>
  <c r="F2320" i="2"/>
  <c r="F2288" i="2"/>
  <c r="F2330" i="2"/>
  <c r="F2848" i="2"/>
  <c r="F2875" i="2"/>
  <c r="F1125" i="2"/>
  <c r="F1652" i="2"/>
  <c r="F2470" i="2"/>
  <c r="F2234" i="2"/>
  <c r="F2868" i="2"/>
  <c r="F1038" i="2"/>
  <c r="F1927" i="2"/>
  <c r="F2230" i="2"/>
  <c r="F2954" i="2"/>
  <c r="F2625" i="2"/>
  <c r="F2575" i="2"/>
  <c r="F1758" i="2"/>
  <c r="F1197" i="2"/>
  <c r="F2155" i="2"/>
  <c r="F520" i="2"/>
  <c r="F195" i="2"/>
  <c r="F2156" i="2"/>
  <c r="F2260" i="2"/>
  <c r="F1413" i="2"/>
  <c r="F725" i="2"/>
  <c r="F2518" i="2"/>
  <c r="F1641" i="2"/>
  <c r="F1721" i="2"/>
  <c r="F2073" i="2"/>
  <c r="F1143" i="2"/>
  <c r="F1281" i="2"/>
  <c r="F48" i="2"/>
  <c r="F2241" i="2"/>
  <c r="F1982" i="2"/>
  <c r="F2197" i="2"/>
  <c r="F780" i="2"/>
  <c r="F2376" i="2"/>
  <c r="F1979" i="2"/>
  <c r="F534" i="2"/>
  <c r="F2226" i="2"/>
  <c r="F1179" i="2"/>
  <c r="F102" i="2"/>
  <c r="F1976" i="2"/>
  <c r="F927" i="2"/>
  <c r="F484" i="2"/>
  <c r="F1971" i="2"/>
  <c r="F1963" i="2"/>
  <c r="F3026" i="2"/>
  <c r="F763" i="2"/>
  <c r="F604" i="2"/>
  <c r="F2736" i="2"/>
  <c r="F2956" i="2"/>
  <c r="F1834" i="2"/>
  <c r="F189" i="2"/>
  <c r="F1124" i="2"/>
  <c r="F1087" i="2"/>
  <c r="F1907" i="2"/>
  <c r="F922" i="2"/>
  <c r="F1935" i="2"/>
  <c r="F1844" i="2"/>
  <c r="F2203" i="2"/>
  <c r="F2240" i="2"/>
  <c r="F2951" i="2"/>
  <c r="F2735" i="2"/>
  <c r="F1774" i="2"/>
  <c r="F1812" i="2"/>
  <c r="F2943" i="2"/>
  <c r="F2016" i="2"/>
  <c r="F548" i="2"/>
  <c r="F1548" i="2"/>
  <c r="F1793" i="2"/>
  <c r="F1680" i="2"/>
  <c r="F1351" i="2"/>
  <c r="F2959" i="2"/>
  <c r="F2573" i="2"/>
  <c r="F2315" i="2"/>
  <c r="F1767" i="2"/>
  <c r="F1762" i="2"/>
  <c r="F1746" i="2"/>
  <c r="F1729" i="2"/>
  <c r="F2438" i="2"/>
  <c r="F2018" i="2"/>
  <c r="F2145" i="2"/>
  <c r="F2759" i="2"/>
  <c r="F682" i="2"/>
  <c r="F2702" i="2"/>
  <c r="F2691" i="2"/>
  <c r="F2749" i="2"/>
  <c r="F2671" i="2"/>
  <c r="F2665" i="2"/>
  <c r="F2427" i="2"/>
  <c r="F2616" i="2"/>
  <c r="F2602" i="2"/>
  <c r="F1681" i="2"/>
  <c r="F716" i="2"/>
  <c r="F879" i="2"/>
  <c r="F668" i="2"/>
  <c r="F543" i="2"/>
  <c r="F313" i="2"/>
  <c r="F2802" i="2"/>
  <c r="F1320" i="2"/>
  <c r="F2795" i="2"/>
  <c r="F2627" i="2"/>
  <c r="F2574" i="2"/>
  <c r="F2973" i="2"/>
  <c r="F2157" i="2"/>
  <c r="F836" i="2"/>
  <c r="F736" i="2"/>
  <c r="F1706" i="2"/>
  <c r="F1832" i="2"/>
  <c r="F2556" i="2"/>
  <c r="F2352" i="2"/>
  <c r="F2220" i="2"/>
  <c r="F253" i="2"/>
  <c r="F2423" i="2"/>
  <c r="F1050" i="2"/>
  <c r="F2945" i="2"/>
  <c r="F1751" i="2"/>
  <c r="F219" i="2"/>
  <c r="F2392" i="2"/>
  <c r="F1894" i="2"/>
  <c r="F907" i="2"/>
  <c r="F2745" i="2"/>
  <c r="F348" i="2"/>
  <c r="F2318" i="2"/>
  <c r="F1311" i="2"/>
  <c r="F1246" i="2"/>
  <c r="F2363" i="2"/>
  <c r="F2770" i="2"/>
  <c r="F871" i="2"/>
  <c r="F1435" i="2"/>
  <c r="F1874" i="2"/>
  <c r="F2231" i="2"/>
  <c r="F2524" i="2"/>
  <c r="F2748" i="2"/>
  <c r="F1493" i="2"/>
  <c r="F1292" i="2"/>
  <c r="F2202" i="2"/>
  <c r="F2193" i="2"/>
  <c r="F2187" i="2"/>
  <c r="F1707" i="2"/>
  <c r="F2161" i="2"/>
  <c r="F856" i="2"/>
  <c r="F377" i="2"/>
  <c r="F187" i="2"/>
  <c r="F767" i="2"/>
  <c r="F2094" i="2"/>
  <c r="F2069" i="2"/>
  <c r="F2128" i="2"/>
  <c r="F2225" i="2"/>
  <c r="F2213" i="2"/>
  <c r="F2055" i="2"/>
  <c r="F3081" i="2"/>
  <c r="F710" i="2"/>
  <c r="F953" i="2"/>
  <c r="F2029" i="2"/>
  <c r="F1984" i="2"/>
  <c r="F1981" i="2"/>
  <c r="F881" i="2"/>
  <c r="F557" i="2"/>
  <c r="F2295" i="2"/>
  <c r="F2053" i="2"/>
  <c r="F474" i="2"/>
  <c r="F317" i="2"/>
  <c r="F1701" i="2"/>
  <c r="F2715" i="2"/>
  <c r="F1390" i="2"/>
  <c r="F757" i="2"/>
  <c r="F1897" i="2"/>
  <c r="F2516" i="2"/>
  <c r="F1960" i="2"/>
  <c r="F1949" i="2"/>
  <c r="F1942" i="2"/>
  <c r="F591" i="2"/>
  <c r="F1329" i="2"/>
  <c r="F1817" i="2"/>
  <c r="F1828" i="2"/>
  <c r="F1818" i="2"/>
  <c r="F1001" i="2"/>
  <c r="F759" i="2"/>
  <c r="F1899" i="2"/>
  <c r="F2980" i="2"/>
  <c r="F1854" i="2"/>
  <c r="F2837" i="2"/>
  <c r="F642" i="2"/>
  <c r="F1655" i="2"/>
  <c r="F273" i="2"/>
  <c r="F2146" i="2"/>
  <c r="F1226" i="2"/>
  <c r="F35" i="2"/>
  <c r="F2766" i="2"/>
  <c r="F2009" i="2"/>
  <c r="F260" i="2"/>
  <c r="F230" i="2"/>
  <c r="F1503" i="2"/>
  <c r="F2598" i="2"/>
  <c r="F294" i="2"/>
  <c r="F2930" i="2"/>
  <c r="F2509" i="2"/>
  <c r="F1778" i="2"/>
  <c r="F1879" i="2"/>
  <c r="F1546" i="2"/>
  <c r="F1744" i="2"/>
  <c r="F810" i="2"/>
  <c r="F597" i="2"/>
  <c r="F1704" i="2"/>
  <c r="F397" i="2"/>
  <c r="F2401" i="2"/>
  <c r="F1545" i="2"/>
  <c r="F1638" i="2"/>
  <c r="F3030" i="2"/>
  <c r="F2196" i="2"/>
  <c r="F355" i="2"/>
  <c r="F1724" i="2"/>
  <c r="F1383" i="2"/>
  <c r="F774" i="2"/>
  <c r="F1593" i="2"/>
  <c r="F1583" i="2"/>
  <c r="F769" i="2"/>
  <c r="F398" i="2"/>
  <c r="F1553" i="2"/>
  <c r="F1999" i="2"/>
  <c r="F1755" i="2"/>
  <c r="F2587" i="2"/>
  <c r="F1500" i="2"/>
  <c r="F299" i="2"/>
  <c r="F1369" i="2"/>
  <c r="F1533" i="2"/>
  <c r="F153" i="2"/>
  <c r="F2889" i="2"/>
  <c r="F1381" i="2"/>
  <c r="F1507" i="2"/>
  <c r="F1314" i="2"/>
  <c r="F66" i="2"/>
  <c r="F1249" i="2"/>
  <c r="F1541" i="2"/>
  <c r="F1468" i="2"/>
  <c r="F1438" i="2"/>
  <c r="F1432" i="2"/>
  <c r="F977" i="2"/>
  <c r="F1415" i="2"/>
  <c r="F2832" i="2"/>
  <c r="F1374" i="2"/>
  <c r="F1364" i="2"/>
  <c r="F826" i="2"/>
  <c r="F1305" i="2"/>
  <c r="F1207" i="2"/>
  <c r="F2916" i="2"/>
  <c r="F1262" i="2"/>
  <c r="F3059" i="2"/>
  <c r="F689" i="2"/>
  <c r="F2480" i="2"/>
  <c r="F2051" i="2"/>
  <c r="F1475" i="2"/>
  <c r="F1073" i="2"/>
  <c r="F806" i="2"/>
  <c r="F1187" i="2"/>
  <c r="F1156" i="2"/>
  <c r="F1168" i="2"/>
  <c r="F1037" i="2"/>
  <c r="F3062" i="2"/>
  <c r="F1084" i="2"/>
  <c r="F2501" i="2"/>
  <c r="F1102" i="2"/>
  <c r="F1129" i="2"/>
  <c r="F599" i="2"/>
  <c r="F1283" i="2"/>
  <c r="F29" i="2"/>
  <c r="F1017" i="2"/>
  <c r="F1068" i="2"/>
  <c r="F2919" i="2"/>
  <c r="F1049" i="2"/>
  <c r="F503" i="2"/>
  <c r="F2772" i="2"/>
  <c r="F1334" i="2"/>
  <c r="F998" i="2"/>
  <c r="F987" i="2"/>
  <c r="F957" i="2"/>
  <c r="F942" i="2"/>
  <c r="F1531" i="2"/>
  <c r="F2915" i="2"/>
  <c r="F940" i="2"/>
  <c r="F1403" i="2"/>
  <c r="F2729" i="2"/>
  <c r="F2377" i="2"/>
  <c r="F875" i="2"/>
  <c r="F1956" i="2"/>
  <c r="F1814" i="2"/>
  <c r="F1530" i="2"/>
  <c r="F1318" i="2"/>
  <c r="F1083" i="2"/>
  <c r="F776" i="2"/>
  <c r="F246" i="2"/>
  <c r="F2498" i="2"/>
  <c r="F786" i="2"/>
  <c r="F754" i="2"/>
  <c r="F2985" i="2"/>
  <c r="F2876" i="2"/>
  <c r="F747" i="2"/>
  <c r="F1827" i="2"/>
  <c r="F711" i="2"/>
  <c r="F782" i="2"/>
  <c r="F1527" i="2"/>
  <c r="F2244" i="2"/>
  <c r="F771" i="2"/>
  <c r="F2283" i="2"/>
  <c r="F838" i="2"/>
  <c r="F1645" i="2"/>
  <c r="F1853" i="2"/>
  <c r="F567" i="2"/>
  <c r="F2138" i="2"/>
  <c r="F2678" i="2"/>
  <c r="F322" i="2"/>
  <c r="F1161" i="2"/>
  <c r="F1078" i="2"/>
  <c r="F1672" i="2"/>
  <c r="F915" i="2"/>
  <c r="F1090" i="2"/>
  <c r="F23" i="2"/>
  <c r="F3033" i="2"/>
  <c r="F1644" i="2"/>
  <c r="F1018" i="2"/>
  <c r="F2677" i="2"/>
  <c r="F516" i="2"/>
  <c r="F651" i="2"/>
  <c r="F708" i="2"/>
  <c r="F1256" i="2"/>
  <c r="F2898" i="2"/>
  <c r="F512" i="2"/>
  <c r="F2566" i="2"/>
  <c r="F2060" i="2"/>
  <c r="F637" i="2"/>
  <c r="F1910" i="2"/>
  <c r="F1359" i="2"/>
  <c r="F620" i="2"/>
  <c r="F3020" i="2"/>
  <c r="F2874" i="2"/>
  <c r="F2454" i="2"/>
  <c r="F1466" i="2"/>
  <c r="F618" i="2"/>
  <c r="F572" i="2"/>
  <c r="F2584" i="2"/>
  <c r="F431" i="2"/>
  <c r="F3052" i="2"/>
  <c r="F2662" i="2"/>
  <c r="F2395" i="2"/>
  <c r="F3032" i="2"/>
  <c r="F2994" i="2"/>
  <c r="F1053" i="2"/>
  <c r="F528" i="2"/>
  <c r="F2961" i="2"/>
  <c r="F166" i="2"/>
  <c r="F1134" i="2"/>
  <c r="F1562" i="2"/>
  <c r="F2970" i="2"/>
  <c r="F2314" i="2"/>
  <c r="F2057" i="2"/>
  <c r="F1617" i="2"/>
  <c r="F1133" i="2"/>
  <c r="F2873" i="2"/>
  <c r="F2845" i="2"/>
  <c r="F2953" i="2"/>
  <c r="F1276" i="2"/>
  <c r="F117" i="2"/>
  <c r="F2547" i="2"/>
  <c r="F1560" i="2"/>
  <c r="F855" i="2"/>
  <c r="F1860" i="2"/>
  <c r="F2817" i="2"/>
  <c r="F2816" i="2"/>
  <c r="F430" i="2"/>
  <c r="F2808" i="2"/>
  <c r="F1131" i="2"/>
  <c r="F3080" i="2"/>
  <c r="F946" i="2"/>
  <c r="F106" i="2"/>
  <c r="F1739" i="2"/>
  <c r="F2885" i="2"/>
  <c r="F1067" i="2"/>
  <c r="F1472" i="2"/>
  <c r="F2734" i="2"/>
  <c r="F1752" i="2"/>
  <c r="F1347" i="2"/>
  <c r="F2565" i="2"/>
  <c r="F1572" i="2"/>
  <c r="F1019" i="2"/>
  <c r="F2688" i="2"/>
  <c r="F285" i="2"/>
  <c r="F2878" i="2"/>
  <c r="F2654" i="2"/>
  <c r="F2652" i="2"/>
  <c r="F2137" i="2"/>
  <c r="F2601" i="2"/>
  <c r="F1676" i="2"/>
  <c r="F1239" i="2"/>
  <c r="F873" i="2"/>
  <c r="F2577" i="2"/>
  <c r="F526" i="2"/>
  <c r="F2522" i="2"/>
  <c r="F2512" i="2"/>
  <c r="F3010" i="2"/>
  <c r="F1865" i="2"/>
  <c r="F1587" i="2"/>
  <c r="F2503" i="2"/>
  <c r="F2502" i="2"/>
  <c r="F2099" i="2"/>
  <c r="F2486" i="2"/>
  <c r="F2482" i="2"/>
  <c r="F445" i="2"/>
  <c r="F816" i="2"/>
  <c r="F3039" i="2"/>
  <c r="F2465" i="2"/>
  <c r="F2456" i="2"/>
  <c r="F2426" i="2"/>
  <c r="F2413" i="2"/>
  <c r="F681" i="2"/>
  <c r="F2906" i="2"/>
  <c r="F1555" i="2"/>
  <c r="F2311" i="2"/>
  <c r="F2362" i="2"/>
  <c r="F2384" i="2"/>
  <c r="F888" i="2"/>
  <c r="F2405" i="2"/>
  <c r="F2299" i="2"/>
  <c r="F2256" i="2"/>
  <c r="F2282" i="2"/>
  <c r="F2177" i="2"/>
  <c r="F2111" i="2"/>
  <c r="F2741" i="2"/>
  <c r="F813" i="2"/>
  <c r="F140" i="2"/>
  <c r="F1616" i="2"/>
  <c r="F2229" i="2"/>
  <c r="F2083" i="2"/>
  <c r="F2523" i="2"/>
  <c r="F1282" i="2"/>
  <c r="F2205" i="2"/>
  <c r="F2847" i="2"/>
  <c r="F2190" i="2"/>
  <c r="F2361" i="2"/>
  <c r="F2171" i="2"/>
  <c r="F1063" i="2"/>
  <c r="F2148" i="2"/>
  <c r="F2143" i="2"/>
  <c r="F156" i="2"/>
  <c r="F2154" i="2"/>
  <c r="F2030" i="2"/>
  <c r="F1554" i="2"/>
  <c r="F41" i="2"/>
  <c r="F2142" i="2"/>
  <c r="F2058" i="2"/>
  <c r="F2046" i="2"/>
  <c r="F3067" i="2"/>
  <c r="F366" i="2"/>
  <c r="F905" i="2"/>
  <c r="F2683" i="2"/>
  <c r="F2178" i="2"/>
  <c r="F1980" i="2"/>
  <c r="F39" i="2"/>
  <c r="F383" i="2"/>
  <c r="F2170" i="2"/>
  <c r="F1692" i="2"/>
  <c r="F101" i="2"/>
  <c r="F2716" i="2"/>
  <c r="F177" i="2"/>
  <c r="F79" i="2"/>
  <c r="F2842" i="2"/>
  <c r="F495" i="2"/>
  <c r="F496" i="2"/>
  <c r="F2944" i="2"/>
  <c r="F1957" i="2"/>
  <c r="F2637" i="2"/>
  <c r="F1933" i="2"/>
  <c r="F564" i="2"/>
  <c r="F1850" i="2"/>
  <c r="F1805" i="2"/>
  <c r="F584" i="2"/>
  <c r="F923" i="2"/>
  <c r="F1916" i="2"/>
  <c r="F760" i="2"/>
  <c r="F2513" i="2"/>
  <c r="F2042" i="2"/>
  <c r="F1852" i="2"/>
  <c r="F1830" i="2"/>
  <c r="F931" i="2"/>
  <c r="F1589" i="2"/>
  <c r="F1794" i="2"/>
  <c r="F869" i="2"/>
  <c r="F1763" i="2"/>
  <c r="F1411" i="2"/>
  <c r="F1795" i="2"/>
  <c r="F1822" i="2"/>
  <c r="F216" i="2"/>
  <c r="F2775" i="2"/>
  <c r="F1062" i="2"/>
  <c r="F2987" i="2"/>
  <c r="F3075" i="2"/>
  <c r="F2894" i="2"/>
  <c r="F2467" i="2"/>
  <c r="F1775" i="2"/>
  <c r="F1811" i="2"/>
  <c r="F1486" i="2"/>
  <c r="F1280" i="2"/>
  <c r="F755" i="2"/>
  <c r="F578" i="2"/>
  <c r="F311" i="2"/>
  <c r="F1657" i="2"/>
  <c r="F2134" i="2"/>
  <c r="F1490" i="2"/>
  <c r="F1635" i="2"/>
  <c r="F2738" i="2"/>
  <c r="F1431" i="2"/>
  <c r="F2940" i="2"/>
  <c r="F1624" i="2"/>
  <c r="F1382" i="2"/>
  <c r="F1602" i="2"/>
  <c r="F1264" i="2"/>
  <c r="F2713" i="2"/>
  <c r="F2507" i="2"/>
  <c r="F2347" i="2"/>
  <c r="F1547" i="2"/>
  <c r="F1673" i="2"/>
  <c r="F2648" i="2"/>
  <c r="F2291" i="2"/>
  <c r="F1492" i="2"/>
  <c r="F2258" i="2"/>
  <c r="F1966" i="2"/>
  <c r="F32" i="2"/>
  <c r="F1331" i="2"/>
  <c r="F421" i="2"/>
  <c r="F1371" i="2"/>
  <c r="F1504" i="2"/>
  <c r="F1668" i="2"/>
  <c r="F2020" i="2"/>
  <c r="F1321" i="2"/>
  <c r="F1345" i="2"/>
  <c r="F289" i="2"/>
  <c r="F1430" i="2"/>
  <c r="F97" i="2"/>
  <c r="F827" i="2"/>
  <c r="F1303" i="2"/>
  <c r="F2778" i="2"/>
  <c r="F1900" i="2"/>
  <c r="F1363" i="2"/>
  <c r="F1350" i="2"/>
  <c r="F375" i="2"/>
  <c r="F967" i="2"/>
  <c r="F1204" i="2"/>
  <c r="F2938" i="2"/>
  <c r="F2977" i="2"/>
  <c r="F2705" i="2"/>
  <c r="F1234" i="2"/>
  <c r="F1213" i="2"/>
  <c r="F843" i="2"/>
  <c r="F1200" i="2"/>
  <c r="F1188" i="2"/>
  <c r="F1181" i="2"/>
  <c r="F1155" i="2"/>
  <c r="F1165" i="2"/>
  <c r="F1146" i="2"/>
  <c r="F2680" i="2"/>
  <c r="F1141" i="2"/>
  <c r="F1241" i="2"/>
  <c r="F1042" i="2"/>
  <c r="F1139" i="2"/>
  <c r="F1442" i="2"/>
  <c r="F1422" i="2"/>
  <c r="F625" i="2"/>
  <c r="F2936" i="2"/>
  <c r="F897" i="2"/>
  <c r="F1051" i="2"/>
  <c r="F1048" i="2"/>
  <c r="F1035" i="2"/>
  <c r="F2651" i="2"/>
  <c r="F1180" i="2"/>
  <c r="F2100" i="2"/>
  <c r="F1054" i="2"/>
  <c r="F952" i="2"/>
  <c r="F956" i="2"/>
  <c r="F1484" i="2"/>
  <c r="F3019" i="2"/>
  <c r="F1582" i="2"/>
  <c r="F1022" i="2"/>
  <c r="F2978" i="2"/>
  <c r="F2955" i="2"/>
  <c r="F2934" i="2"/>
  <c r="F976" i="2"/>
  <c r="F2728" i="2"/>
  <c r="F2967" i="2"/>
  <c r="F2200" i="2"/>
  <c r="F1988" i="2"/>
  <c r="F2908" i="2"/>
  <c r="F1101" i="2"/>
  <c r="F2867" i="2"/>
  <c r="F50" i="2"/>
  <c r="F820" i="2"/>
  <c r="F1202" i="2"/>
  <c r="F3028" i="2"/>
  <c r="F2532" i="2"/>
  <c r="F1559" i="2"/>
  <c r="F748" i="2"/>
  <c r="F1289" i="2"/>
  <c r="F1199" i="2"/>
  <c r="F2084" i="2"/>
  <c r="F320" i="2"/>
  <c r="F2062" i="2"/>
  <c r="F468" i="2"/>
  <c r="F2926" i="2"/>
  <c r="F44" i="2"/>
  <c r="F2859" i="2"/>
  <c r="F1884" i="2"/>
  <c r="F2884" i="2"/>
  <c r="F842" i="2"/>
  <c r="F772" i="2"/>
  <c r="F574" i="2"/>
  <c r="F2286" i="2"/>
  <c r="F817" i="2"/>
  <c r="F2723" i="2"/>
  <c r="F1457" i="2"/>
  <c r="F925" i="2"/>
  <c r="F2681" i="2"/>
  <c r="F2281" i="2"/>
  <c r="F2854" i="2"/>
  <c r="F2659" i="2"/>
  <c r="F2650" i="2"/>
  <c r="F2614" i="2"/>
  <c r="F1749" i="2"/>
  <c r="F1671" i="2"/>
  <c r="F1214" i="2"/>
  <c r="F872" i="2"/>
  <c r="F2550" i="2"/>
  <c r="F465" i="2"/>
  <c r="F2519" i="2"/>
  <c r="F2699" i="2"/>
  <c r="F2869" i="2"/>
  <c r="F2504" i="2"/>
  <c r="F63" i="2"/>
  <c r="F2801" i="2"/>
  <c r="F2639" i="2"/>
  <c r="F2090" i="2"/>
  <c r="F2485" i="2"/>
  <c r="F61" i="2"/>
  <c r="F416" i="2"/>
  <c r="F2458" i="2"/>
  <c r="F2466" i="2"/>
  <c r="F2351" i="2"/>
  <c r="F2443" i="2"/>
  <c r="F972" i="2"/>
  <c r="F281" i="2"/>
  <c r="F2921" i="2"/>
  <c r="F2400" i="2"/>
  <c r="F2396" i="2"/>
  <c r="F3004" i="2"/>
  <c r="F2313" i="2"/>
  <c r="F1598" i="2"/>
  <c r="F2354" i="2"/>
  <c r="F1599" i="2"/>
  <c r="F2326" i="2"/>
  <c r="F2307" i="2"/>
  <c r="F1099" i="2"/>
  <c r="F2287" i="2"/>
  <c r="F523" i="2"/>
  <c r="F2618" i="2"/>
  <c r="F395" i="2"/>
  <c r="F2278" i="2"/>
  <c r="F473" i="2"/>
  <c r="F2195" i="2"/>
  <c r="F2251" i="2"/>
  <c r="F2463" i="2"/>
  <c r="F508" i="2"/>
  <c r="F581" i="2"/>
  <c r="F2846" i="2"/>
  <c r="F2521" i="2"/>
  <c r="F2179" i="2"/>
  <c r="F1343" i="2"/>
  <c r="F949" i="2"/>
  <c r="F660" i="2"/>
  <c r="F302" i="2"/>
  <c r="F154" i="2"/>
  <c r="F42" i="2"/>
  <c r="F2072" i="2"/>
  <c r="F950" i="2"/>
  <c r="F1005" i="2"/>
  <c r="F2762" i="2"/>
  <c r="F40" i="2"/>
  <c r="F2079" i="2"/>
  <c r="F2436" i="2"/>
  <c r="F217" i="2"/>
  <c r="F864" i="2"/>
  <c r="F2007" i="2"/>
  <c r="F2124" i="2"/>
  <c r="F519" i="2"/>
  <c r="F2925" i="2"/>
  <c r="F277" i="2"/>
  <c r="F1918" i="2"/>
  <c r="F2108" i="2"/>
  <c r="F57" i="2"/>
  <c r="F2014" i="2"/>
  <c r="F2481" i="2"/>
  <c r="F1175" i="2"/>
  <c r="F2563" i="2"/>
  <c r="F221" i="2"/>
  <c r="F1889" i="2"/>
  <c r="F1880" i="2"/>
  <c r="F1464" i="2"/>
  <c r="F2152" i="2"/>
  <c r="F36" i="2"/>
  <c r="F1923" i="2"/>
  <c r="F1892" i="2"/>
  <c r="F1567" i="2"/>
  <c r="F1837" i="2"/>
  <c r="F1917" i="2"/>
  <c r="F1149" i="2"/>
  <c r="F988" i="2"/>
  <c r="F1891" i="2"/>
  <c r="F1829" i="2"/>
  <c r="F1716" i="2"/>
  <c r="F887" i="2"/>
  <c r="F2369" i="2"/>
  <c r="F698" i="2"/>
  <c r="F1885" i="2"/>
  <c r="F2902" i="2"/>
  <c r="F2998" i="2"/>
  <c r="F1810" i="2"/>
  <c r="F1301" i="2"/>
  <c r="F1737" i="2"/>
  <c r="F202" i="2"/>
  <c r="F1700" i="2"/>
  <c r="F3063" i="2"/>
  <c r="F2981" i="2"/>
  <c r="F3046" i="2"/>
  <c r="F2784" i="2"/>
  <c r="F2428" i="2"/>
  <c r="F2198" i="2"/>
  <c r="F1796" i="2"/>
  <c r="F1474" i="2"/>
  <c r="F1170" i="2"/>
  <c r="F1728" i="2"/>
  <c r="F498" i="2"/>
  <c r="F276" i="2"/>
  <c r="F1663" i="2"/>
  <c r="F2133" i="2"/>
  <c r="F1469" i="2"/>
  <c r="F916" i="2"/>
  <c r="F2660" i="2"/>
  <c r="F1074" i="2"/>
  <c r="F2865" i="2"/>
  <c r="F1614" i="2"/>
  <c r="F1340" i="2"/>
  <c r="F2628" i="2"/>
  <c r="F1986" i="2"/>
  <c r="F3078" i="2"/>
  <c r="F3050" i="2"/>
  <c r="F2641" i="2"/>
  <c r="F3006" i="2"/>
  <c r="F1563" i="2"/>
  <c r="F975" i="2"/>
  <c r="F2976" i="2"/>
  <c r="F247" i="2"/>
  <c r="F3012" i="2"/>
  <c r="F903" i="2"/>
  <c r="F2862" i="2"/>
  <c r="F2180" i="2"/>
  <c r="F2913" i="2"/>
  <c r="F1417" i="2"/>
  <c r="F1039" i="2"/>
  <c r="F252" i="2"/>
  <c r="F3060" i="2"/>
  <c r="F819" i="2"/>
  <c r="F3027" i="2"/>
  <c r="F1983" i="2"/>
  <c r="F1441" i="2"/>
  <c r="F3022" i="2"/>
  <c r="F1006" i="2"/>
  <c r="F2992" i="2"/>
  <c r="F220" i="2"/>
  <c r="F2796" i="2"/>
  <c r="F406" i="2"/>
  <c r="F2754" i="2"/>
  <c r="F818" i="2"/>
  <c r="F2238" i="2"/>
  <c r="F2747" i="2"/>
  <c r="F575" i="2"/>
  <c r="F2172" i="2"/>
  <c r="F105" i="2"/>
  <c r="F2546" i="2"/>
  <c r="F704" i="2"/>
  <c r="F2188" i="2"/>
  <c r="F2707" i="2"/>
  <c r="F579" i="2"/>
  <c r="F2673" i="2"/>
  <c r="F2537" i="2"/>
  <c r="F2853" i="2"/>
  <c r="F2658" i="2"/>
  <c r="F2333" i="2"/>
  <c r="F2611" i="2"/>
  <c r="F2599" i="2"/>
  <c r="F2594" i="2"/>
  <c r="F1223" i="2"/>
  <c r="F854" i="2"/>
  <c r="F615" i="2"/>
  <c r="F422" i="2"/>
  <c r="F2517" i="2"/>
  <c r="F2769" i="2"/>
  <c r="F2541" i="2"/>
  <c r="F159" i="2"/>
  <c r="F1172" i="2"/>
  <c r="F2669" i="2"/>
  <c r="F2564" i="2"/>
  <c r="F1919" i="2"/>
  <c r="F148" i="2"/>
  <c r="F2755" i="2"/>
  <c r="F2852" i="2"/>
  <c r="F2406" i="2"/>
  <c r="F2372" i="2"/>
  <c r="F2462" i="2"/>
  <c r="F1848" i="2"/>
  <c r="F857" i="2"/>
  <c r="F1148" i="2"/>
  <c r="F2317" i="2"/>
  <c r="F2545" i="2"/>
  <c r="F2247" i="2"/>
  <c r="F2000" i="2"/>
  <c r="F2265" i="2"/>
  <c r="F2381" i="2"/>
  <c r="F2345" i="2"/>
  <c r="F1436" i="2"/>
  <c r="F2324" i="2"/>
  <c r="F2305" i="2"/>
  <c r="F732" i="2"/>
  <c r="F1824" i="2"/>
  <c r="F181" i="2"/>
  <c r="F2600" i="2"/>
  <c r="F286" i="2"/>
  <c r="F2276" i="2"/>
  <c r="F2267" i="2"/>
  <c r="F1896" i="2"/>
  <c r="F2189" i="2"/>
  <c r="F2407" i="2"/>
  <c r="F374" i="2"/>
  <c r="F2626" i="2"/>
  <c r="F2201" i="2"/>
  <c r="F2469" i="2"/>
  <c r="F2173" i="2"/>
  <c r="F1299" i="2"/>
  <c r="F947" i="2"/>
  <c r="F2144" i="2"/>
  <c r="F2126" i="2"/>
  <c r="F131" i="2"/>
  <c r="F2095" i="2"/>
  <c r="F978" i="2"/>
  <c r="F2023" i="2"/>
  <c r="F2112" i="2"/>
  <c r="F2999" i="2"/>
  <c r="F2080" i="2"/>
  <c r="F2078" i="2"/>
  <c r="F2297" i="2"/>
  <c r="F2965" i="2"/>
  <c r="F2988" i="2"/>
  <c r="F1998" i="2"/>
  <c r="F2089" i="2"/>
  <c r="F234" i="2"/>
  <c r="F2629" i="2"/>
  <c r="F2022" i="2"/>
  <c r="F1386" i="2"/>
  <c r="F1460" i="2"/>
  <c r="F1977" i="2"/>
  <c r="F2012" i="2"/>
  <c r="F1991" i="2"/>
  <c r="F1443" i="2"/>
  <c r="F2476" i="2"/>
  <c r="F1924" i="2"/>
  <c r="F1886" i="2"/>
  <c r="F2515" i="2"/>
  <c r="F902" i="2"/>
  <c r="F1945" i="2"/>
  <c r="F2725" i="2"/>
  <c r="F185" i="2"/>
  <c r="F607" i="2"/>
  <c r="F562" i="2"/>
  <c r="F1720" i="2"/>
  <c r="F1578" i="2"/>
  <c r="F1970" i="2"/>
  <c r="F707" i="2"/>
  <c r="F1890" i="2"/>
  <c r="F720" i="2"/>
  <c r="F1505" i="2"/>
  <c r="F830" i="2"/>
  <c r="F1293" i="2"/>
  <c r="F1797" i="2"/>
  <c r="F1815" i="2"/>
  <c r="F1792" i="2"/>
  <c r="F2899" i="2"/>
  <c r="F1806" i="2"/>
  <c r="F1703" i="2"/>
  <c r="F1482" i="2"/>
  <c r="F2404" i="2"/>
  <c r="F1695" i="2"/>
  <c r="F1788" i="2"/>
  <c r="F2682" i="2"/>
  <c r="F3034" i="2"/>
  <c r="F1783" i="2"/>
  <c r="F1651" i="2"/>
  <c r="F162" i="2"/>
  <c r="F2038" i="2"/>
  <c r="F458" i="2"/>
  <c r="F2054" i="2"/>
  <c r="F2024" i="2"/>
  <c r="F2620" i="2"/>
  <c r="F38" i="2"/>
  <c r="F1353" i="2"/>
  <c r="F1215" i="2"/>
  <c r="F2044" i="2"/>
  <c r="F2011" i="2"/>
  <c r="F1757" i="2"/>
  <c r="F2039" i="2"/>
  <c r="F1866" i="2"/>
  <c r="F1551" i="2"/>
  <c r="F2793" i="2"/>
  <c r="F2035" i="2"/>
  <c r="F46" i="2"/>
  <c r="F1943" i="2"/>
  <c r="F2025" i="2"/>
  <c r="F860" i="2"/>
  <c r="F1841" i="2"/>
  <c r="F1304" i="2"/>
  <c r="F1825" i="2"/>
  <c r="F1550" i="2"/>
  <c r="F1385" i="2"/>
  <c r="F556" i="2"/>
  <c r="F1808" i="2"/>
  <c r="F1802" i="2"/>
  <c r="F1338" i="2"/>
  <c r="F1823" i="2"/>
  <c r="F364" i="2"/>
  <c r="F1355" i="2"/>
  <c r="F2920" i="2"/>
  <c r="F1791" i="2"/>
  <c r="F1549" i="2"/>
  <c r="F206" i="2"/>
  <c r="F1702" i="2"/>
  <c r="F1453" i="2"/>
  <c r="F2403" i="2"/>
  <c r="F2339" i="2"/>
  <c r="F1097" i="2"/>
  <c r="F2619" i="2"/>
  <c r="F3018" i="2"/>
  <c r="F1781" i="2"/>
  <c r="F1779" i="2"/>
  <c r="F2074" i="2"/>
  <c r="F1666" i="2"/>
  <c r="F1426" i="2"/>
  <c r="F1144" i="2"/>
  <c r="F702" i="2"/>
  <c r="F491" i="2"/>
  <c r="F1665" i="2"/>
  <c r="F3013" i="2"/>
  <c r="F1968" i="2"/>
  <c r="F1630" i="2"/>
  <c r="F1607" i="2"/>
  <c r="F2408" i="2"/>
  <c r="F1065" i="2"/>
  <c r="F1634" i="2"/>
  <c r="F1592" i="2"/>
  <c r="F1189" i="2"/>
  <c r="F2939" i="2"/>
  <c r="F828" i="2"/>
  <c r="F3024" i="2"/>
  <c r="F1544" i="2"/>
  <c r="F1561" i="2"/>
  <c r="F1446" i="2"/>
  <c r="F1494" i="2"/>
  <c r="F1735" i="2"/>
  <c r="F2008" i="2"/>
  <c r="F847" i="2"/>
  <c r="F3043" i="2"/>
  <c r="F1640" i="2"/>
  <c r="F1511" i="2"/>
  <c r="F2506" i="2"/>
  <c r="F183" i="2"/>
  <c r="F2917" i="2"/>
  <c r="F1242" i="2"/>
  <c r="F715" i="2"/>
  <c r="F1855" i="2"/>
  <c r="F2505" i="2"/>
  <c r="F342" i="2"/>
  <c r="F1461" i="2"/>
  <c r="F2328" i="2"/>
  <c r="F1290" i="2"/>
  <c r="F1416" i="2"/>
  <c r="F1750" i="2"/>
  <c r="F2460" i="2"/>
  <c r="F1365" i="2"/>
  <c r="F1380" i="2"/>
  <c r="F1337" i="2"/>
  <c r="F301" i="2"/>
  <c r="F2803" i="2"/>
  <c r="F840" i="2"/>
  <c r="F1697" i="2"/>
  <c r="F1254" i="2"/>
  <c r="F2572" i="2"/>
  <c r="F2255" i="2"/>
  <c r="F1618" i="2"/>
  <c r="F1209" i="2"/>
  <c r="F1194" i="2"/>
  <c r="F606" i="2"/>
  <c r="F125" i="2"/>
  <c r="F1961" i="2"/>
  <c r="F402" i="2"/>
  <c r="F2740" i="2"/>
  <c r="F1959" i="2"/>
  <c r="F1152" i="2"/>
  <c r="F1136" i="2"/>
  <c r="F423" i="2"/>
  <c r="F420" i="2"/>
  <c r="F1103" i="2"/>
  <c r="F996" i="2"/>
  <c r="F919" i="2"/>
  <c r="F1312" i="2"/>
  <c r="F2721" i="2"/>
  <c r="F2370" i="2"/>
  <c r="F2139" i="2"/>
  <c r="F1902" i="2"/>
  <c r="F1809" i="2"/>
  <c r="F1529" i="2"/>
  <c r="F839" i="2"/>
  <c r="F812" i="2"/>
  <c r="F795" i="2"/>
  <c r="F178" i="2"/>
  <c r="F436" i="2"/>
  <c r="F2399" i="2"/>
  <c r="F2695" i="2"/>
  <c r="F2792" i="2"/>
  <c r="F2828" i="2"/>
  <c r="F2207" i="2"/>
  <c r="F677" i="2"/>
  <c r="F2296" i="2"/>
  <c r="F3054" i="2"/>
  <c r="F1506" i="2"/>
  <c r="F1745" i="2"/>
  <c r="F24" i="2"/>
  <c r="F2210" i="2"/>
  <c r="F742" i="2"/>
  <c r="F3045" i="2"/>
  <c r="F1780" i="2"/>
  <c r="F237" i="2"/>
  <c r="F493" i="2"/>
  <c r="F2622" i="2"/>
  <c r="F2780" i="2"/>
  <c r="F746" i="2"/>
  <c r="F2274" i="2"/>
  <c r="F937" i="2"/>
  <c r="F1870" i="2"/>
  <c r="F896" i="2"/>
  <c r="F727" i="2"/>
  <c r="F2995" i="2"/>
  <c r="F859" i="2"/>
  <c r="F797" i="2"/>
  <c r="F1368" i="2"/>
  <c r="F312" i="2"/>
  <c r="F652" i="2"/>
  <c r="F694" i="2"/>
  <c r="F1041" i="2"/>
  <c r="F980" i="2"/>
  <c r="F654" i="2"/>
  <c r="F2085" i="2"/>
  <c r="F21" i="2"/>
  <c r="F2430" i="2"/>
  <c r="F632" i="2"/>
  <c r="F1322" i="2"/>
  <c r="F695" i="2"/>
  <c r="F610" i="2"/>
  <c r="F2823" i="2"/>
  <c r="F2346" i="2"/>
  <c r="F1093" i="2"/>
  <c r="F595" i="2"/>
  <c r="F2440" i="2"/>
  <c r="F2115" i="2"/>
  <c r="F19" i="2"/>
  <c r="F51" i="2"/>
  <c r="F2027" i="2"/>
  <c r="F1803" i="2"/>
  <c r="F1116" i="2"/>
  <c r="F504" i="2"/>
  <c r="F2065" i="2"/>
  <c r="F16" i="2"/>
  <c r="F527" i="2"/>
  <c r="F537" i="2"/>
  <c r="F447" i="2"/>
  <c r="F483" i="2"/>
  <c r="F2212" i="2"/>
  <c r="F175" i="2"/>
  <c r="F367" i="2"/>
  <c r="F2488" i="2"/>
  <c r="F535" i="2"/>
  <c r="F2634" i="2"/>
  <c r="F533" i="2"/>
  <c r="F509" i="2"/>
  <c r="F497" i="2"/>
  <c r="F1521" i="2"/>
  <c r="F904" i="2"/>
  <c r="F297" i="2"/>
  <c r="F450" i="2"/>
  <c r="F2388" i="2"/>
  <c r="F941" i="2"/>
  <c r="F2380" i="2"/>
  <c r="F245" i="2"/>
  <c r="F2114" i="2"/>
  <c r="F1080" i="2"/>
  <c r="F429" i="2"/>
  <c r="F198" i="2"/>
  <c r="F2557" i="2"/>
  <c r="F386" i="2"/>
  <c r="F676" i="2"/>
  <c r="F298" i="2"/>
  <c r="F3041" i="2"/>
  <c r="F356" i="2"/>
  <c r="F343" i="2"/>
  <c r="F2165" i="2"/>
  <c r="F1344" i="2"/>
  <c r="F929" i="2"/>
  <c r="F284" i="2"/>
  <c r="F53" i="2"/>
  <c r="F393" i="2"/>
  <c r="F1358" i="2"/>
  <c r="F487" i="2"/>
  <c r="F119" i="2"/>
  <c r="F762" i="2"/>
  <c r="F2591" i="2"/>
  <c r="F1684" i="2"/>
  <c r="F1357" i="2"/>
  <c r="F3031" i="2"/>
  <c r="F1839" i="2"/>
  <c r="F103" i="2"/>
  <c r="F1600" i="2"/>
  <c r="F1158" i="2"/>
  <c r="F1247" i="2"/>
  <c r="F1586" i="2"/>
  <c r="F1480" i="2"/>
  <c r="F1448" i="2"/>
  <c r="F1604" i="2"/>
  <c r="F2052" i="2"/>
  <c r="F2272" i="2"/>
  <c r="F1444" i="2"/>
  <c r="F488" i="2"/>
  <c r="F1543" i="2"/>
  <c r="F1518" i="2"/>
  <c r="F2744" i="2"/>
  <c r="F391" i="2"/>
  <c r="F1295" i="2"/>
  <c r="F214" i="2"/>
  <c r="F1487" i="2"/>
  <c r="F1272" i="2"/>
  <c r="F2904" i="2"/>
  <c r="F1029" i="2"/>
  <c r="F2586" i="2"/>
  <c r="F1425" i="2"/>
  <c r="F678" i="2"/>
  <c r="F316" i="2"/>
  <c r="F238" i="2"/>
  <c r="F841" i="2"/>
  <c r="F1843" i="2"/>
  <c r="F1356" i="2"/>
  <c r="F600" i="2"/>
  <c r="F1296" i="2"/>
  <c r="F1122" i="2"/>
  <c r="F1185" i="2"/>
  <c r="F2597" i="2"/>
  <c r="F1261" i="2"/>
  <c r="F2692" i="2"/>
  <c r="F1218" i="2"/>
  <c r="F1962" i="2"/>
  <c r="F1404" i="2"/>
  <c r="F971" i="2"/>
  <c r="F636" i="2"/>
  <c r="F382" i="2"/>
  <c r="F1171" i="2"/>
  <c r="F2567" i="2"/>
  <c r="F638" i="2"/>
  <c r="F2615" i="2"/>
  <c r="F87" i="2"/>
  <c r="F966" i="2"/>
  <c r="F524" i="2"/>
  <c r="F1105" i="2"/>
  <c r="F2037" i="2"/>
  <c r="F1319" i="2"/>
  <c r="F1536" i="2"/>
  <c r="F1091" i="2"/>
  <c r="F1058" i="2"/>
  <c r="F2542" i="2"/>
  <c r="F1798" i="2"/>
  <c r="F176" i="2"/>
  <c r="F671" i="2"/>
  <c r="F1167" i="2"/>
  <c r="F995" i="2"/>
  <c r="F834" i="2"/>
  <c r="F456" i="2"/>
  <c r="F932" i="2"/>
  <c r="F1297" i="2"/>
  <c r="F559" i="2"/>
  <c r="F27" i="2"/>
  <c r="F1089" i="2"/>
  <c r="F2697" i="2"/>
  <c r="F2323" i="2"/>
  <c r="F2118" i="2"/>
  <c r="F1898" i="2"/>
  <c r="F1807" i="2"/>
  <c r="F1528" i="2"/>
  <c r="F831" i="2"/>
  <c r="F992" i="2"/>
  <c r="F787" i="2"/>
  <c r="F908" i="2"/>
  <c r="F1056" i="2"/>
  <c r="F900" i="2"/>
  <c r="F863" i="2"/>
  <c r="F1646" i="2"/>
  <c r="F750" i="2"/>
  <c r="F2107" i="2"/>
  <c r="F738" i="2"/>
  <c r="F26" i="2"/>
  <c r="F2905" i="2"/>
  <c r="F852" i="2"/>
  <c r="F1462" i="2"/>
  <c r="F3068" i="2"/>
  <c r="F1869" i="2"/>
  <c r="F553" i="2"/>
  <c r="F2870" i="2"/>
  <c r="F1683" i="2"/>
  <c r="F232" i="2"/>
  <c r="F764" i="2"/>
  <c r="F2359" i="2"/>
  <c r="F2731" i="2"/>
  <c r="F3017" i="2"/>
  <c r="F800" i="2"/>
  <c r="F936" i="2"/>
  <c r="F1258" i="2"/>
  <c r="F257" i="2"/>
  <c r="F1857" i="2"/>
  <c r="F656" i="2"/>
  <c r="F798" i="2"/>
  <c r="F596" i="2"/>
  <c r="F655" i="2"/>
  <c r="F1024" i="2"/>
  <c r="F2826" i="2"/>
  <c r="F1887" i="2"/>
  <c r="F381" i="2"/>
  <c r="F623" i="2"/>
  <c r="F650" i="2"/>
  <c r="F1566" i="2"/>
  <c r="F20" i="2"/>
  <c r="F634" i="2"/>
  <c r="F1777" i="2"/>
  <c r="F1206" i="2"/>
  <c r="F399" i="2"/>
  <c r="F122" i="2"/>
  <c r="F2790" i="2"/>
  <c r="F601" i="2"/>
  <c r="F2824" i="2"/>
  <c r="F563" i="2"/>
  <c r="F1287" i="2"/>
  <c r="F965" i="2"/>
  <c r="F525" i="2"/>
  <c r="F486" i="2"/>
  <c r="F2397" i="2"/>
  <c r="F561" i="2"/>
  <c r="F555" i="2"/>
  <c r="F2402" i="2"/>
  <c r="F2125" i="2"/>
  <c r="F1756" i="2"/>
  <c r="F1427" i="2"/>
  <c r="F1159" i="2"/>
  <c r="F1725" i="2"/>
  <c r="F492" i="2"/>
  <c r="F1688" i="2"/>
  <c r="F1642" i="2"/>
  <c r="F2122" i="2"/>
  <c r="F1654" i="2"/>
  <c r="F739" i="2"/>
  <c r="F2508" i="2"/>
  <c r="F1075" i="2"/>
  <c r="F2835" i="2"/>
  <c r="F1613" i="2"/>
  <c r="F1220" i="2"/>
  <c r="F2963" i="2"/>
  <c r="F1123" i="2"/>
  <c r="F1568" i="2"/>
  <c r="F1584" i="2"/>
  <c r="F1477" i="2"/>
  <c r="F1447" i="2"/>
  <c r="F1595" i="2"/>
  <c r="F2760" i="2"/>
  <c r="F2068" i="2"/>
  <c r="F1081" i="2"/>
  <c r="F1904" i="2"/>
  <c r="F662" i="2"/>
  <c r="F1212" i="2"/>
  <c r="F2560" i="2"/>
  <c r="F215" i="2"/>
  <c r="F808" i="2"/>
  <c r="F1542" i="2"/>
  <c r="F2592" i="2"/>
  <c r="F1473" i="2"/>
  <c r="F2580" i="2"/>
  <c r="F424" i="2"/>
  <c r="F1467" i="2"/>
  <c r="F2331" i="2"/>
  <c r="F1406" i="2"/>
  <c r="F1421" i="2"/>
  <c r="F1227" i="2"/>
  <c r="F1409" i="2"/>
  <c r="F1754" i="2"/>
  <c r="F1389" i="2"/>
  <c r="F1339" i="2"/>
  <c r="F1288" i="2"/>
  <c r="F1205" i="2"/>
  <c r="F1269" i="2"/>
  <c r="F1265" i="2"/>
  <c r="F2922" i="2"/>
  <c r="F2576" i="2"/>
  <c r="F2375" i="2"/>
  <c r="F1913" i="2"/>
  <c r="F1222" i="2"/>
  <c r="F1195" i="2"/>
  <c r="F614" i="2"/>
  <c r="F201" i="2"/>
  <c r="F1169" i="2"/>
  <c r="F2382" i="2"/>
  <c r="F440" i="2"/>
  <c r="F2120" i="2"/>
  <c r="F1153" i="2"/>
  <c r="F30" i="2"/>
  <c r="F1130" i="2"/>
  <c r="F1023" i="2"/>
  <c r="F1941" i="2"/>
  <c r="F2763" i="2"/>
  <c r="F1211" i="2"/>
  <c r="F1033" i="2"/>
  <c r="F1012" i="2"/>
  <c r="F2459" i="2"/>
  <c r="F1230" i="2"/>
  <c r="F1594" i="2"/>
  <c r="F1030" i="2"/>
  <c r="F1014" i="2"/>
  <c r="F1532" i="2"/>
  <c r="F981" i="2"/>
  <c r="F945" i="2"/>
  <c r="F930" i="2"/>
  <c r="F1026" i="2"/>
  <c r="F326" i="2"/>
  <c r="F2929" i="2"/>
  <c r="F982" i="2"/>
  <c r="F2585" i="2"/>
  <c r="F2309" i="2"/>
  <c r="F2088" i="2"/>
  <c r="F866" i="2"/>
  <c r="F1784" i="2"/>
  <c r="F1428" i="2"/>
  <c r="F829" i="2"/>
  <c r="F974" i="2"/>
  <c r="F639" i="2"/>
  <c r="F768" i="2"/>
  <c r="F1025" i="2"/>
  <c r="F891" i="2"/>
  <c r="F1732" i="2"/>
  <c r="F752" i="2"/>
  <c r="F2703" i="2"/>
  <c r="F2067" i="2"/>
  <c r="F1184" i="2"/>
  <c r="F67" i="2"/>
  <c r="F1730" i="2"/>
  <c r="F851" i="2"/>
  <c r="F1360" i="2"/>
  <c r="F770" i="2"/>
  <c r="F680" i="2"/>
  <c r="F540" i="2"/>
  <c r="F2686" i="2"/>
  <c r="F1525" i="2"/>
  <c r="F1760" i="2"/>
  <c r="F703" i="2"/>
  <c r="F2257" i="2"/>
  <c r="F2644" i="2"/>
  <c r="F2827" i="2"/>
  <c r="F293" i="2"/>
  <c r="F152" i="2"/>
  <c r="F2668" i="2"/>
  <c r="F2028" i="2"/>
  <c r="F718" i="2"/>
  <c r="F2131" i="2"/>
  <c r="F371" i="2"/>
  <c r="F1013" i="2"/>
  <c r="F845" i="2"/>
  <c r="F796" i="2"/>
  <c r="F2081" i="2"/>
  <c r="F648" i="2"/>
  <c r="F2468" i="2"/>
  <c r="F482" i="2"/>
  <c r="F1639" i="2"/>
  <c r="F644" i="2"/>
  <c r="F640" i="2"/>
  <c r="F2336" i="2"/>
  <c r="F1719" i="2"/>
  <c r="F1118" i="2"/>
  <c r="F261" i="2"/>
  <c r="F1308" i="2"/>
  <c r="F2720" i="2"/>
  <c r="F598" i="2"/>
  <c r="F918" i="2"/>
  <c r="F549" i="2"/>
  <c r="F721" i="2"/>
  <c r="F1079" i="2"/>
  <c r="F2308" i="2"/>
  <c r="F2822" i="2"/>
  <c r="F2360" i="2"/>
  <c r="F1726" i="2"/>
  <c r="F884" i="2"/>
  <c r="F538" i="2"/>
  <c r="F407" i="2"/>
  <c r="F1224" i="2"/>
  <c r="F2924" i="2"/>
  <c r="F1522" i="2"/>
  <c r="F1629" i="2"/>
  <c r="F2373" i="2"/>
  <c r="F2900" i="2"/>
  <c r="F3005" i="2"/>
  <c r="F349" i="2"/>
  <c r="F1537" i="2"/>
  <c r="F180" i="2"/>
  <c r="F1088" i="2"/>
  <c r="F1647" i="2"/>
  <c r="F2447" i="2"/>
  <c r="F3042" i="2"/>
  <c r="F2006" i="2"/>
  <c r="F292" i="2"/>
  <c r="F958" i="2"/>
  <c r="F993" i="2"/>
  <c r="F960" i="2"/>
  <c r="F944" i="2"/>
  <c r="F926" i="2"/>
  <c r="F920" i="2"/>
  <c r="F912" i="2"/>
  <c r="F2711" i="2"/>
  <c r="F661" i="2"/>
  <c r="F2559" i="2"/>
  <c r="F2263" i="2"/>
  <c r="F2050" i="2"/>
  <c r="F1878" i="2"/>
  <c r="F1743" i="2"/>
  <c r="F1402" i="2"/>
  <c r="F825" i="2"/>
  <c r="F933" i="2"/>
  <c r="F781" i="2"/>
  <c r="F2117" i="2"/>
  <c r="F803" i="2"/>
  <c r="F1609" i="2"/>
  <c r="F464" i="2"/>
  <c r="F751" i="2"/>
  <c r="F2679" i="2"/>
  <c r="F2049" i="2"/>
  <c r="F737" i="2"/>
  <c r="F1092" i="2"/>
  <c r="F1298" i="2"/>
  <c r="F773" i="2"/>
  <c r="F706" i="2"/>
  <c r="F2746" i="2"/>
  <c r="F1526" i="2"/>
  <c r="F2176" i="2"/>
  <c r="F2495" i="2"/>
  <c r="F1294" i="2"/>
  <c r="F1095" i="2"/>
  <c r="F1861" i="2"/>
  <c r="F2097" i="2"/>
  <c r="F699" i="2"/>
  <c r="F2791" i="2"/>
  <c r="F744" i="2"/>
  <c r="F1119" i="2"/>
  <c r="F2493" i="2"/>
  <c r="F799" i="2"/>
  <c r="F2013" i="2"/>
  <c r="F2098" i="2"/>
  <c r="F86" i="2"/>
  <c r="F2304" i="2"/>
  <c r="F426" i="2"/>
  <c r="F236" i="2"/>
  <c r="F1989" i="2"/>
  <c r="F2709" i="2"/>
  <c r="F1858" i="2"/>
  <c r="F2825" i="2"/>
  <c r="F2474" i="2"/>
  <c r="F2935" i="2"/>
  <c r="F3009" i="2"/>
  <c r="F2147" i="2"/>
  <c r="F630" i="2"/>
  <c r="F1117" i="2"/>
  <c r="F619" i="2"/>
  <c r="F1154" i="2"/>
  <c r="F2719" i="2"/>
  <c r="F1849" i="2"/>
  <c r="F917" i="2"/>
  <c r="F545" i="2"/>
  <c r="F132" i="2"/>
  <c r="F387" i="2"/>
  <c r="F2279" i="2"/>
  <c r="F580" i="2"/>
  <c r="F2259" i="2"/>
  <c r="F1682" i="2"/>
  <c r="F784" i="2"/>
  <c r="F724" i="2"/>
  <c r="F983" i="2"/>
  <c r="F475" i="2"/>
  <c r="F690" i="2"/>
  <c r="F2489" i="2"/>
  <c r="F775" i="2"/>
  <c r="F1115" i="2"/>
  <c r="F1951" i="2"/>
  <c r="F2724" i="2"/>
  <c r="F2184" i="2"/>
  <c r="F1950" i="2"/>
  <c r="F229" i="2"/>
  <c r="F1987" i="2"/>
  <c r="F1255" i="2"/>
  <c r="F505" i="2"/>
  <c r="F1833" i="2"/>
  <c r="F1036" i="2"/>
  <c r="F457" i="2"/>
  <c r="F453" i="2"/>
  <c r="F449" i="2"/>
  <c r="F1519" i="2"/>
  <c r="F12" i="2"/>
  <c r="F263" i="2"/>
  <c r="F3044" i="2"/>
  <c r="F1449" i="2"/>
  <c r="F11" i="2"/>
  <c r="F1497" i="2"/>
  <c r="F413" i="2"/>
  <c r="F388" i="2"/>
  <c r="F1631" i="2"/>
  <c r="F894" i="2"/>
  <c r="F149" i="2"/>
  <c r="F2957" i="2"/>
  <c r="F352" i="2"/>
  <c r="F2293" i="2"/>
  <c r="F1876" i="2"/>
  <c r="F1186" i="2"/>
  <c r="F790" i="2"/>
  <c r="F412" i="2"/>
  <c r="F274" i="2"/>
  <c r="F2696" i="2"/>
  <c r="F1044" i="2"/>
  <c r="F126" i="2"/>
  <c r="F109" i="2"/>
  <c r="F2484" i="2"/>
  <c r="F1929" i="2"/>
  <c r="F2811" i="2"/>
  <c r="F865" i="2"/>
  <c r="F2701" i="2"/>
  <c r="F1034" i="2"/>
  <c r="F2809" i="2"/>
  <c r="F98" i="2"/>
  <c r="F1590" i="2"/>
  <c r="F259" i="2"/>
  <c r="F1768" i="2"/>
  <c r="F935" i="2"/>
  <c r="F404" i="2"/>
  <c r="F92" i="2"/>
  <c r="F81" i="2"/>
  <c r="F2261" i="2"/>
  <c r="F850" i="2"/>
  <c r="F191" i="2"/>
  <c r="F1393" i="2"/>
  <c r="F71" i="2"/>
  <c r="F2047" i="2"/>
  <c r="F163" i="2"/>
  <c r="F2416" i="2"/>
  <c r="F892" i="2"/>
  <c r="F2422" i="2"/>
  <c r="F405" i="2"/>
  <c r="F205" i="2"/>
  <c r="F2341" i="2"/>
  <c r="F1881" i="2"/>
  <c r="F1250" i="2"/>
  <c r="F647" i="2"/>
  <c r="F309" i="2"/>
  <c r="F1391" i="2"/>
  <c r="F25" i="2"/>
  <c r="F1291" i="2"/>
  <c r="F2893" i="2"/>
  <c r="F821" i="2"/>
  <c r="F2743" i="2"/>
  <c r="F1498" i="2"/>
  <c r="F2896" i="2"/>
  <c r="F2412" i="2"/>
  <c r="F1260" i="2"/>
  <c r="F2494" i="2"/>
  <c r="F761" i="2"/>
  <c r="F1524" i="2"/>
  <c r="F683" i="2"/>
  <c r="F2206" i="2"/>
  <c r="F693" i="2"/>
  <c r="F3065" i="2"/>
  <c r="F2492" i="2"/>
  <c r="F939" i="2"/>
  <c r="F1163" i="2"/>
  <c r="F2064" i="2"/>
  <c r="F1456" i="2"/>
  <c r="F1620" i="2"/>
  <c r="F227" i="2"/>
  <c r="F110" i="2"/>
  <c r="F1577" i="2"/>
  <c r="F2327" i="2"/>
  <c r="F435" i="2"/>
  <c r="F2730" i="2"/>
  <c r="F613" i="2"/>
  <c r="F99" i="2"/>
  <c r="F2888" i="2"/>
  <c r="F2004" i="2"/>
  <c r="F1580" i="2"/>
  <c r="F629" i="2"/>
  <c r="F1398" i="2"/>
  <c r="F3073" i="2"/>
  <c r="F2569" i="2"/>
  <c r="F588" i="2"/>
  <c r="F794" i="2"/>
  <c r="F587" i="2"/>
  <c r="F846" i="2"/>
  <c r="F226" i="2"/>
  <c r="F138" i="2"/>
  <c r="F566" i="2"/>
  <c r="F2254" i="2"/>
  <c r="F1523" i="2"/>
  <c r="F554" i="2"/>
  <c r="F17" i="2"/>
  <c r="F455" i="2"/>
  <c r="F15" i="2"/>
  <c r="F2266" i="2"/>
  <c r="F1043" i="2"/>
  <c r="F2271" i="2"/>
  <c r="F13" i="2"/>
  <c r="F1908" i="2"/>
  <c r="F1326" i="2"/>
  <c r="F184" i="2"/>
  <c r="F3008" i="2"/>
  <c r="F330" i="2"/>
  <c r="F696" i="2"/>
  <c r="F2554" i="2"/>
  <c r="F2690" i="2"/>
  <c r="F1520" i="2"/>
  <c r="F1027" i="2"/>
  <c r="F203" i="2"/>
  <c r="F2364" i="2"/>
  <c r="F1787" i="2"/>
  <c r="F2698" i="2"/>
  <c r="F2350" i="2"/>
  <c r="F1770" i="2"/>
  <c r="F1622" i="2"/>
  <c r="F1384" i="2"/>
  <c r="F2511" i="2"/>
  <c r="F2194" i="2"/>
  <c r="F1708" i="2"/>
  <c r="F1658" i="2"/>
  <c r="F2942" i="2"/>
  <c r="F1816" i="2"/>
  <c r="F1653" i="2"/>
  <c r="F34" i="2"/>
  <c r="F2340" i="2"/>
  <c r="F779" i="2"/>
  <c r="F1967" i="2"/>
  <c r="F1611" i="2"/>
  <c r="F948" i="2"/>
  <c r="F2666" i="2"/>
  <c r="F558" i="2"/>
  <c r="F1004" i="2"/>
  <c r="F1463" i="2"/>
  <c r="F62" i="2"/>
  <c r="F2442" i="2"/>
  <c r="F701" i="2"/>
  <c r="F2877" i="2"/>
  <c r="F2445" i="2"/>
  <c r="F777" i="2"/>
  <c r="F753" i="2"/>
  <c r="F1535" i="2"/>
  <c r="F2863" i="2"/>
  <c r="F1216" i="2"/>
  <c r="F1734" i="2"/>
  <c r="F1408" i="2"/>
  <c r="F1501" i="2"/>
  <c r="F1485" i="2"/>
  <c r="F1277" i="2"/>
  <c r="F2071" i="2"/>
  <c r="F1245" i="2"/>
  <c r="F2833" i="2"/>
  <c r="F1675" i="2"/>
  <c r="F1424" i="2"/>
  <c r="F95" i="2"/>
  <c r="F3002" i="2"/>
  <c r="F1405" i="2"/>
  <c r="F1575" i="2"/>
  <c r="F1354" i="2"/>
  <c r="F1316" i="2"/>
  <c r="F133" i="2"/>
  <c r="F403" i="2"/>
  <c r="F692" i="2"/>
  <c r="F1597" i="2"/>
  <c r="F2758" i="2"/>
  <c r="F288" i="2"/>
  <c r="F1217" i="2"/>
  <c r="F1539" i="2"/>
  <c r="F1121" i="2"/>
  <c r="F895" i="2"/>
  <c r="F539" i="2"/>
  <c r="F1177" i="2"/>
  <c r="F2169" i="2"/>
  <c r="F1733" i="2"/>
  <c r="F1142" i="2"/>
  <c r="F1538" i="2"/>
  <c r="F394" i="2"/>
  <c r="F608" i="2"/>
  <c r="F2417" i="2"/>
  <c r="F1727" i="2"/>
  <c r="F1667" i="2"/>
  <c r="F1059" i="2"/>
  <c r="F1098" i="2"/>
  <c r="F1608" i="2"/>
  <c r="F1057" i="2"/>
  <c r="F2132" i="2"/>
  <c r="F805" i="2"/>
  <c r="F55" i="2"/>
  <c r="F2909" i="2"/>
  <c r="F1002" i="2"/>
  <c r="F1236" i="2"/>
  <c r="F628" i="2"/>
  <c r="F200" i="2"/>
  <c r="F924" i="2"/>
  <c r="F913" i="2"/>
  <c r="F1912" i="2"/>
  <c r="F2005" i="2"/>
  <c r="F901" i="2"/>
  <c r="F2499" i="2"/>
  <c r="F877" i="2"/>
  <c r="F870" i="2"/>
  <c r="F858" i="2"/>
  <c r="F1713" i="2"/>
  <c r="F1377" i="2"/>
  <c r="F1120" i="2"/>
  <c r="F835" i="2"/>
  <c r="F778" i="2"/>
  <c r="F758" i="2"/>
  <c r="F427" i="2"/>
  <c r="F479" i="2"/>
  <c r="F862" i="2"/>
  <c r="F848" i="2"/>
  <c r="F2497" i="2"/>
  <c r="F1995" i="2"/>
  <c r="F722" i="2"/>
  <c r="F1990" i="2"/>
  <c r="F802" i="2"/>
  <c r="F2624" i="2"/>
  <c r="F801" i="2"/>
  <c r="F2455" i="2"/>
  <c r="F1166" i="2"/>
  <c r="F2612" i="2"/>
  <c r="F2191" i="2"/>
  <c r="F1072" i="2"/>
  <c r="F705" i="2"/>
  <c r="F3016" i="2"/>
  <c r="F1418" i="2"/>
  <c r="F659" i="2"/>
  <c r="F1911" i="2"/>
  <c r="F657" i="2"/>
  <c r="F1210" i="2"/>
  <c r="F2491" i="2"/>
  <c r="F1488" i="2"/>
  <c r="F2871" i="2"/>
  <c r="F1820" i="2"/>
  <c r="F714" i="2"/>
  <c r="F697" i="2"/>
  <c r="F2082" i="2"/>
  <c r="F1271" i="2"/>
  <c r="F1257" i="2"/>
  <c r="F1400" i="2"/>
  <c r="F143" i="2"/>
  <c r="F1094" i="2"/>
  <c r="F611" i="2"/>
  <c r="F2708" i="2"/>
  <c r="F2116" i="2"/>
  <c r="F1993" i="2"/>
  <c r="F1397" i="2"/>
  <c r="F951" i="2"/>
  <c r="F582" i="2"/>
  <c r="F2993" i="2"/>
  <c r="F2549" i="2"/>
  <c r="F1698" i="2"/>
  <c r="F646" i="2"/>
  <c r="F586" i="2"/>
  <c r="F571" i="2"/>
  <c r="F547" i="2"/>
  <c r="F80" i="2"/>
  <c r="F2821" i="2"/>
  <c r="F2003" i="2"/>
  <c r="F1722" i="2"/>
  <c r="F400" i="2"/>
  <c r="F1659" i="2"/>
  <c r="F2435" i="2"/>
  <c r="F1709" i="2"/>
  <c r="F2141" i="2"/>
  <c r="F33" i="2"/>
  <c r="F2335" i="2"/>
  <c r="F2316" i="2"/>
  <c r="F1628" i="2"/>
  <c r="F1603" i="2"/>
  <c r="F867" i="2"/>
  <c r="F2444" i="2"/>
  <c r="F194" i="2"/>
  <c r="F713" i="2"/>
  <c r="F1570" i="2"/>
  <c r="F1452" i="2"/>
  <c r="F911" i="2"/>
  <c r="F700" i="2"/>
  <c r="F2834" i="2"/>
  <c r="F1648" i="2"/>
  <c r="F1328" i="2"/>
  <c r="F476" i="2"/>
  <c r="F2712" i="2"/>
  <c r="F31" i="2"/>
  <c r="F809" i="2"/>
  <c r="F1433" i="2"/>
  <c r="F1003" i="2"/>
  <c r="F1491" i="2"/>
  <c r="F616" i="2"/>
  <c r="F667" i="2"/>
  <c r="F1965" i="2"/>
  <c r="F1244" i="2"/>
  <c r="F2693" i="2"/>
  <c r="F1434" i="2"/>
  <c r="F1028" i="2"/>
  <c r="F1964" i="2"/>
  <c r="F3077" i="2"/>
  <c r="F1388" i="2"/>
  <c r="F1540" i="2"/>
  <c r="F921" i="2"/>
  <c r="F536" i="2"/>
  <c r="F1208" i="2"/>
  <c r="F1273" i="2"/>
  <c r="F1182" i="2"/>
  <c r="F3066" i="2"/>
  <c r="F2727" i="2"/>
  <c r="F1235" i="2"/>
  <c r="F2121" i="2"/>
  <c r="F1489" i="2"/>
  <c r="F1201" i="2"/>
  <c r="F1190" i="2"/>
  <c r="F517" i="2"/>
  <c r="F1173" i="2"/>
  <c r="F1677" i="2"/>
  <c r="F1221" i="2"/>
  <c r="F1423" i="2"/>
  <c r="F1379" i="2"/>
  <c r="F1699" i="2"/>
  <c r="F107" i="2"/>
  <c r="F2227" i="2"/>
  <c r="F832" i="2"/>
  <c r="F65" i="2"/>
  <c r="F1714" i="2"/>
  <c r="F1016" i="2"/>
  <c r="F1076" i="2"/>
  <c r="F3037" i="2"/>
  <c r="F1883" i="2"/>
  <c r="F633" i="2"/>
  <c r="F997" i="2"/>
  <c r="F1534" i="2"/>
  <c r="F2968" i="2"/>
  <c r="F2475" i="2"/>
  <c r="F627" i="2"/>
  <c r="F172" i="2"/>
  <c r="F1674" i="2"/>
  <c r="F2544" i="2"/>
  <c r="F28" i="2"/>
  <c r="F1862" i="2"/>
  <c r="F893" i="2"/>
  <c r="F886" i="2"/>
  <c r="F876" i="2"/>
  <c r="F868" i="2"/>
  <c r="F1835" i="2"/>
  <c r="F1585" i="2"/>
  <c r="F1361" i="2"/>
  <c r="F1107" i="2"/>
  <c r="F807" i="2"/>
  <c r="F462" i="2"/>
  <c r="F756" i="2"/>
  <c r="F419" i="2"/>
  <c r="F362" i="2"/>
  <c r="F861" i="2"/>
  <c r="F3079" i="2"/>
  <c r="F2349" i="2"/>
  <c r="F1955" i="2"/>
  <c r="F318" i="2"/>
  <c r="F822" i="2"/>
  <c r="F2496" i="2"/>
  <c r="F2421" i="2"/>
  <c r="F664" i="2"/>
  <c r="F2355" i="2"/>
  <c r="F1873" i="2"/>
  <c r="F2415" i="2"/>
  <c r="F2036" i="2"/>
  <c r="F631" i="2"/>
  <c r="F2164" i="2"/>
  <c r="F2718" i="2"/>
  <c r="F1259" i="2"/>
  <c r="F2950" i="2"/>
  <c r="F1229" i="2"/>
  <c r="F2186" i="2"/>
  <c r="F2182" i="2"/>
  <c r="F2237" i="2"/>
  <c r="F731" i="2"/>
  <c r="F213" i="2"/>
  <c r="F717" i="2"/>
  <c r="F1831" i="2"/>
  <c r="F899" i="2"/>
  <c r="F576" i="2"/>
  <c r="F490" i="2"/>
  <c r="F1233" i="2"/>
  <c r="F1399" i="2"/>
  <c r="F2737" i="2"/>
  <c r="F663" i="2"/>
  <c r="F22" i="2"/>
  <c r="F593" i="2"/>
  <c r="F2605" i="2"/>
  <c r="F1953" i="2"/>
  <c r="F1376" i="2"/>
  <c r="F934" i="2"/>
  <c r="F411" i="2"/>
  <c r="F609" i="2"/>
  <c r="F605" i="2"/>
  <c r="F1601" i="2"/>
  <c r="F643" i="2"/>
  <c r="F573" i="2"/>
  <c r="F570" i="2"/>
  <c r="F2890" i="2"/>
  <c r="F18" i="2"/>
  <c r="F2820" i="2"/>
  <c r="F1952" i="2"/>
  <c r="F295" i="2"/>
  <c r="F532" i="2"/>
  <c r="F2129" i="2"/>
  <c r="F173" i="2"/>
  <c r="F2789" i="2"/>
  <c r="F1396" i="2"/>
  <c r="F3061" i="2"/>
  <c r="F792" i="2"/>
  <c r="F408" i="2"/>
  <c r="F2075" i="2"/>
  <c r="F1419" i="2"/>
  <c r="F837" i="2"/>
  <c r="F2636" i="2"/>
  <c r="F361" i="2"/>
  <c r="F2646" i="2"/>
  <c r="F2290" i="2"/>
  <c r="F1826" i="2"/>
  <c r="F675" i="2"/>
  <c r="F783" i="2"/>
  <c r="F385" i="2"/>
  <c r="F471" i="2"/>
  <c r="F2670" i="2"/>
  <c r="F270" i="2"/>
  <c r="F1478" i="2"/>
  <c r="F2675" i="2"/>
  <c r="F3011" i="2"/>
  <c r="F1759" i="2"/>
  <c r="F2786" i="2"/>
  <c r="F789" i="2"/>
  <c r="F2543" i="2"/>
  <c r="F991" i="2"/>
  <c r="F100" i="2"/>
  <c r="F602" i="2"/>
  <c r="F1514" i="2"/>
  <c r="F2674" i="2"/>
  <c r="F1643" i="2"/>
  <c r="F906" i="2"/>
  <c r="F211" i="2"/>
  <c r="F47" i="2"/>
  <c r="F208" i="2"/>
  <c r="F2209" i="2"/>
  <c r="F733" i="2"/>
  <c r="F2806" i="2"/>
  <c r="F193" i="2"/>
  <c r="F170" i="2"/>
  <c r="F2015" i="2"/>
  <c r="F350" i="2"/>
  <c r="F2312" i="2"/>
  <c r="F2623" i="2"/>
  <c r="F2371" i="2"/>
  <c r="F373" i="2"/>
  <c r="F2931" i="2"/>
  <c r="F114" i="2"/>
  <c r="F91" i="2"/>
  <c r="F1070" i="2"/>
  <c r="F73" i="2"/>
  <c r="F308" i="2"/>
  <c r="F531" i="2"/>
  <c r="F2136" i="2"/>
  <c r="F1454" i="2"/>
  <c r="F617" i="2"/>
  <c r="F621" i="2"/>
  <c r="F446" i="2"/>
  <c r="F2285" i="2"/>
  <c r="F2249" i="2"/>
  <c r="F793" i="2"/>
  <c r="F1731" i="2"/>
  <c r="F2535" i="2"/>
  <c r="F1341" i="2"/>
  <c r="F2479" i="2"/>
  <c r="F418" i="2"/>
  <c r="F346" i="2"/>
  <c r="F2903" i="2"/>
  <c r="F210" i="2"/>
  <c r="F1636" i="2"/>
  <c r="F502" i="2"/>
  <c r="F1476" i="2"/>
  <c r="F2487" i="2"/>
  <c r="F188" i="2"/>
  <c r="F452" i="2"/>
  <c r="F2235" i="2"/>
  <c r="F529" i="2"/>
  <c r="F583" i="2"/>
  <c r="F441" i="2"/>
  <c r="F2761" i="2"/>
  <c r="F1275" i="2"/>
  <c r="F228" i="2"/>
  <c r="F791" i="2"/>
  <c r="F390" i="2"/>
  <c r="F2063" i="2"/>
  <c r="F1395" i="2"/>
  <c r="F360" i="2"/>
  <c r="F147" i="2"/>
  <c r="F2864" i="2"/>
  <c r="F351" i="2"/>
  <c r="F2252" i="2"/>
  <c r="F1776" i="2"/>
  <c r="F1147" i="2"/>
  <c r="F306" i="2"/>
  <c r="F258" i="2"/>
  <c r="F2814" i="2"/>
  <c r="F272" i="2"/>
  <c r="F2270" i="2"/>
  <c r="F123" i="2"/>
  <c r="F2140" i="2"/>
  <c r="F2812" i="2"/>
  <c r="F1573" i="2"/>
  <c r="F2461" i="2"/>
  <c r="F653" i="2"/>
  <c r="F2483" i="2"/>
  <c r="F788" i="2"/>
  <c r="F2689" i="2"/>
  <c r="F2613" i="2"/>
  <c r="F1104" i="2"/>
  <c r="F251" i="2"/>
  <c r="F1513" i="2"/>
  <c r="F224" i="2"/>
  <c r="F304" i="2"/>
  <c r="F2214" i="2"/>
  <c r="F207" i="2"/>
  <c r="F1864" i="2"/>
  <c r="F370" i="2"/>
  <c r="F823" i="2"/>
  <c r="F514" i="2"/>
  <c r="F168" i="2"/>
  <c r="F1596" i="2"/>
  <c r="F199" i="2"/>
  <c r="F2059" i="2"/>
  <c r="F64" i="2"/>
  <c r="F2325" i="2"/>
  <c r="F372" i="2"/>
  <c r="F160" i="2"/>
  <c r="F112" i="2"/>
  <c r="F1836" i="2"/>
  <c r="F1109" i="2"/>
  <c r="F2672" i="2"/>
  <c r="F279" i="2"/>
  <c r="F10" i="2"/>
  <c r="F1445" i="2"/>
  <c r="F544" i="2"/>
  <c r="F2284" i="2"/>
  <c r="F1064" i="2"/>
  <c r="F472" i="2"/>
  <c r="F2175" i="2"/>
  <c r="F530" i="2"/>
  <c r="F986" i="2"/>
  <c r="F2236" i="2"/>
  <c r="F1066" i="2"/>
  <c r="F961" i="2"/>
  <c r="F1372" i="2"/>
  <c r="F3007" i="2"/>
  <c r="F2819" i="2"/>
  <c r="F310" i="2"/>
  <c r="F300" i="2"/>
  <c r="F2386" i="2"/>
  <c r="F494" i="2"/>
  <c r="F1007" i="2"/>
  <c r="F2831" i="2"/>
  <c r="F451" i="2"/>
  <c r="F2962" i="2"/>
  <c r="F1349" i="2"/>
  <c r="F1465" i="2"/>
  <c r="F1375" i="2"/>
  <c r="F2664" i="2"/>
  <c r="F1232" i="2"/>
  <c r="F438" i="2"/>
  <c r="F425" i="2"/>
  <c r="F389" i="2"/>
  <c r="F1994" i="2"/>
  <c r="F380" i="2"/>
  <c r="F669" i="2"/>
  <c r="F146" i="2"/>
  <c r="F358" i="2"/>
  <c r="F2604" i="2"/>
  <c r="F2185" i="2"/>
  <c r="F1517" i="2"/>
  <c r="F999" i="2"/>
  <c r="F278" i="2"/>
  <c r="F2300" i="2"/>
  <c r="F2630" i="2"/>
  <c r="F134" i="2"/>
  <c r="F121" i="2"/>
  <c r="F1286" i="2"/>
  <c r="F2787" i="2"/>
  <c r="F749" i="2"/>
  <c r="F2431" i="2"/>
  <c r="F603" i="2"/>
  <c r="F2358" i="2"/>
  <c r="F658" i="2"/>
  <c r="F2539" i="2"/>
  <c r="F2570" i="2"/>
  <c r="F712" i="2"/>
  <c r="F250" i="2"/>
  <c r="F1512" i="2"/>
  <c r="F849" i="2"/>
  <c r="F1366" i="2"/>
  <c r="F1332" i="2"/>
  <c r="F2982" i="2"/>
  <c r="F1771" i="2"/>
  <c r="F369" i="2"/>
  <c r="F521" i="2"/>
  <c r="F507" i="2"/>
  <c r="F2398" i="2"/>
  <c r="F167" i="2"/>
  <c r="F190" i="2"/>
  <c r="F1740" i="2"/>
  <c r="F1772" i="2"/>
  <c r="F1906" i="2"/>
  <c r="F1753" i="2"/>
  <c r="F145" i="2"/>
  <c r="F2066" i="2"/>
  <c r="F1392" i="2"/>
  <c r="F85" i="2"/>
  <c r="F513" i="2"/>
  <c r="F275" i="2"/>
  <c r="F9" i="2"/>
  <c r="F3053" i="2"/>
  <c r="F1315" i="2"/>
  <c r="F3069" i="2"/>
  <c r="F2774" i="2"/>
  <c r="F1909" i="2"/>
  <c r="F1342" i="2"/>
  <c r="F552" i="2"/>
  <c r="F481" i="2"/>
  <c r="F478" i="2"/>
  <c r="F467" i="2"/>
  <c r="F1851" i="2"/>
  <c r="F480" i="2"/>
  <c r="F432" i="2"/>
  <c r="F401" i="2"/>
  <c r="F984" i="2"/>
  <c r="F368" i="2"/>
  <c r="F2676" i="2"/>
  <c r="F2473" i="2"/>
  <c r="F2647" i="2"/>
  <c r="F2781" i="2"/>
  <c r="F3000" i="2"/>
  <c r="F499" i="2"/>
  <c r="F470" i="2"/>
  <c r="F1000" i="2"/>
  <c r="F334" i="2"/>
  <c r="F1838" i="2"/>
  <c r="F2432" i="2"/>
  <c r="F1009" i="2"/>
  <c r="F442" i="2"/>
  <c r="F3023" i="2"/>
  <c r="F2411" i="2"/>
  <c r="F1112" i="2"/>
  <c r="F437" i="2"/>
  <c r="F139" i="2"/>
  <c r="F2558" i="2"/>
  <c r="F1946" i="2"/>
  <c r="F376" i="2"/>
  <c r="F137" i="2"/>
  <c r="F144" i="2"/>
  <c r="F2804" i="2"/>
  <c r="F344" i="2"/>
  <c r="F336" i="2"/>
  <c r="F324" i="2"/>
  <c r="F973" i="2"/>
  <c r="F296" i="2"/>
  <c r="F2538" i="2"/>
  <c r="F1274" i="2"/>
  <c r="F1516" i="2"/>
  <c r="F1483" i="2"/>
  <c r="F120" i="2"/>
  <c r="F673" i="2"/>
  <c r="F2603" i="2"/>
  <c r="F1773" i="2"/>
  <c r="F1394" i="2"/>
  <c r="F255" i="2"/>
  <c r="F1871" i="2"/>
  <c r="F283" i="2"/>
  <c r="F1515" i="2"/>
  <c r="F2356" i="2"/>
  <c r="F186" i="2"/>
  <c r="F2387" i="2"/>
  <c r="F242" i="2"/>
  <c r="F223" i="2"/>
  <c r="F93" i="2"/>
  <c r="F1110" i="2"/>
  <c r="F2807" i="2"/>
  <c r="F1569" i="2"/>
  <c r="F327" i="2"/>
  <c r="F77" i="2"/>
  <c r="F157" i="2"/>
  <c r="F2344" i="2"/>
  <c r="F1307" i="2"/>
  <c r="F70" i="2"/>
  <c r="F1678" i="2"/>
  <c r="F1510" i="2"/>
  <c r="F1766" i="2"/>
  <c r="F1378" i="2"/>
  <c r="F2409" i="2"/>
  <c r="F96" i="2"/>
  <c r="F1508" i="2"/>
  <c r="F1031" i="2"/>
  <c r="F68" i="2"/>
  <c r="F235" i="2"/>
  <c r="F8" i="2"/>
  <c r="F1937" i="2"/>
  <c r="F1451" i="2"/>
  <c r="F2034" i="2"/>
  <c r="F136" i="2"/>
  <c r="F2269" i="2"/>
  <c r="F231" i="2"/>
  <c r="F212" i="2"/>
  <c r="F3025" i="2"/>
  <c r="F84" i="2"/>
  <c r="F2785" i="2"/>
  <c r="F1373" i="2"/>
  <c r="F321" i="2"/>
  <c r="F2649" i="2"/>
  <c r="F179" i="2"/>
  <c r="F2110" i="2"/>
  <c r="F165" i="2"/>
  <c r="F256" i="2"/>
  <c r="F1279" i="2"/>
  <c r="F1192" i="2"/>
  <c r="F969" i="2"/>
  <c r="F60" i="2"/>
  <c r="F130" i="2"/>
  <c r="F1944" i="2"/>
  <c r="F89" i="2"/>
  <c r="F76" i="2"/>
  <c r="F415" i="2"/>
  <c r="F161" i="2"/>
  <c r="F7" i="2"/>
  <c r="F551" i="2"/>
  <c r="F2061" i="2"/>
  <c r="F477" i="2"/>
  <c r="F14" i="2"/>
  <c r="F1579" i="2"/>
  <c r="F267" i="2"/>
  <c r="F2192" i="2"/>
  <c r="F1243" i="2"/>
  <c r="F290" i="2"/>
  <c r="F357" i="2"/>
  <c r="F2215" i="2"/>
  <c r="F2021" i="2"/>
  <c r="F2158" i="2"/>
  <c r="F522" i="2"/>
  <c r="F2818" i="2"/>
  <c r="F2104" i="2"/>
  <c r="F1114" i="2"/>
  <c r="F469" i="2"/>
  <c r="F192" i="2"/>
  <c r="F1330" i="2"/>
  <c r="F2223" i="2"/>
  <c r="F291" i="2"/>
  <c r="F1113" i="2"/>
  <c r="F222" i="2"/>
  <c r="F2048" i="2"/>
  <c r="F434" i="2"/>
  <c r="F1660" i="2"/>
  <c r="F3070" i="2"/>
  <c r="F2424" i="2"/>
  <c r="F1691" i="2"/>
  <c r="F365" i="2"/>
  <c r="F75" i="2"/>
  <c r="F2984" i="2"/>
  <c r="F2773" i="2"/>
  <c r="F341" i="2"/>
  <c r="F332" i="2"/>
  <c r="F323" i="2"/>
  <c r="F883" i="2"/>
  <c r="F461" i="2"/>
  <c r="F142" i="2"/>
  <c r="F3003" i="2"/>
  <c r="F2105" i="2"/>
  <c r="F266" i="2"/>
  <c r="F118" i="2"/>
  <c r="F515" i="2"/>
  <c r="F466" i="2"/>
  <c r="F339" i="2"/>
  <c r="F1252" i="2"/>
  <c r="F265" i="2"/>
  <c r="F1606" i="2"/>
  <c r="F2130" i="2"/>
  <c r="F1071" i="2"/>
  <c r="F1679" i="2"/>
  <c r="F359" i="2"/>
  <c r="F249" i="2"/>
  <c r="F1228" i="2"/>
  <c r="F510" i="2"/>
  <c r="F1055" i="2"/>
  <c r="F83" i="2"/>
  <c r="F2667" i="2"/>
  <c r="F1225" i="2"/>
  <c r="F307" i="2"/>
  <c r="F209" i="2"/>
  <c r="F2562" i="2"/>
  <c r="F963" i="2"/>
  <c r="F518" i="2"/>
  <c r="F72" i="2"/>
  <c r="F1251" i="2"/>
  <c r="F2892" i="2"/>
  <c r="F734" i="2"/>
  <c r="F1509" i="2"/>
  <c r="F128" i="2"/>
  <c r="F1938" i="2"/>
  <c r="F1333" i="2"/>
  <c r="F74" i="2"/>
  <c r="F414" i="2"/>
  <c r="F54" i="2"/>
  <c r="F6" i="2"/>
  <c r="F2310" i="2"/>
  <c r="F2106" i="2"/>
  <c r="F59" i="2"/>
  <c r="F2002" i="2"/>
  <c r="F511" i="2"/>
  <c r="F2739" i="2"/>
  <c r="F1893" i="2"/>
  <c r="F1052" i="2"/>
  <c r="F459" i="2"/>
  <c r="F2933" i="2"/>
  <c r="F417" i="2"/>
  <c r="F1948" i="2"/>
  <c r="F985" i="2"/>
  <c r="F635" i="2"/>
  <c r="F243" i="2"/>
  <c r="F1947" i="2"/>
  <c r="F392" i="2"/>
  <c r="F428" i="2"/>
  <c r="F691" i="2"/>
  <c r="F2149" i="2"/>
  <c r="F384" i="2"/>
  <c r="F954" i="2"/>
  <c r="F150" i="2"/>
  <c r="F363" i="2"/>
  <c r="F354" i="2"/>
  <c r="F340" i="2"/>
  <c r="F331" i="2"/>
  <c r="F314" i="2"/>
  <c r="F824" i="2"/>
  <c r="F282" i="2"/>
  <c r="F141" i="2"/>
  <c r="F2813" i="2"/>
  <c r="F271" i="2"/>
  <c r="F127" i="2"/>
  <c r="F2722" i="2"/>
  <c r="F108" i="2"/>
  <c r="F1940" i="2"/>
  <c r="F2932" i="2"/>
  <c r="F1111" i="2"/>
  <c r="F2810" i="2"/>
  <c r="F1278" i="2"/>
  <c r="F315" i="2"/>
  <c r="F52" i="2"/>
  <c r="F1591" i="2"/>
  <c r="F2983" i="2"/>
  <c r="F1786" i="2"/>
  <c r="F1183" i="2"/>
  <c r="F410" i="2"/>
  <c r="F2450" i="2"/>
  <c r="F82" i="2"/>
  <c r="F2342" i="2"/>
  <c r="F970" i="2"/>
  <c r="F248" i="2"/>
  <c r="F204" i="2"/>
  <c r="F254" i="2"/>
  <c r="F2101" i="2"/>
  <c r="F500" i="2"/>
  <c r="F2805" i="2"/>
  <c r="F672" i="2"/>
  <c r="F2555" i="2"/>
  <c r="F560" i="2"/>
  <c r="F287" i="2"/>
  <c r="F2348" i="2"/>
  <c r="F1905" i="2"/>
  <c r="F409" i="2"/>
  <c r="F719" i="2"/>
  <c r="F56" i="2"/>
  <c r="F49" i="2"/>
  <c r="F74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A48212-0230-4EA9-83CA-2E9BE46015E0}" keepAlive="1" name="Query - contacts (1)" description="Connection to the 'contacts (1)' query in the workbook." type="5" refreshedVersion="8" background="1" saveData="1">
    <dbPr connection="Provider=Microsoft.Mashup.OleDb.1;Data Source=$Workbook$;Location=&quot;contacts (1)&quot;;Extended Properties=&quot;&quot;" command="SELECT * FROM [contacts (1)]"/>
  </connection>
</connections>
</file>

<file path=xl/sharedStrings.xml><?xml version="1.0" encoding="utf-8"?>
<sst xmlns="http://schemas.openxmlformats.org/spreadsheetml/2006/main" count="12960" uniqueCount="4640">
  <si>
    <t>Relation 1 - Label</t>
  </si>
  <si>
    <t>Relation 1 - Value</t>
  </si>
  <si>
    <t/>
  </si>
  <si>
    <t>Red Ring Jászberény</t>
  </si>
  <si>
    <t>Aranyküllő</t>
  </si>
  <si>
    <t>Sulák László haverja</t>
  </si>
  <si>
    <t>Kidobó, Biztonsági Őr</t>
  </si>
  <si>
    <t>Kidobó Jelölt</t>
  </si>
  <si>
    <t>ABESSE Informatikai Tanácsadó Zrt.</t>
  </si>
  <si>
    <t>Blue Box</t>
  </si>
  <si>
    <t>DJ</t>
  </si>
  <si>
    <t>Kidobó, Biztonsági Őr, EKE, Eszterházy, Trezor Buli, Kristóf</t>
  </si>
  <si>
    <t>MMA Eger Shootbox - Balla Team</t>
  </si>
  <si>
    <t>Kidobó, Biztonsági Őr, Fekete István Ádám Pisti</t>
  </si>
  <si>
    <t>IND Kft.</t>
  </si>
  <si>
    <t>Brother</t>
  </si>
  <si>
    <t>Farkas Dezső</t>
  </si>
  <si>
    <t>Kidobó, Biztonsági Őr, Kempo, Küzdősport</t>
  </si>
  <si>
    <t>Citromfa Politikai Műhely</t>
  </si>
  <si>
    <t>Birkózó, Kidobó</t>
  </si>
  <si>
    <t>Lights Off, Tűzijáték, Zalaegerszeg, Étterem</t>
  </si>
  <si>
    <t>DJ, Szilágyi Erzsébet Gimnázium</t>
  </si>
  <si>
    <t>Eger, Egri Thai Box Edző, Kidobó, Biztonsági Őr</t>
  </si>
  <si>
    <t>Autószerelő, Andornaktálya, Alpolgármester</t>
  </si>
  <si>
    <t>Biztonsági, Kidobó</t>
  </si>
  <si>
    <t>Nagyréde, Építkezés, Őrzés</t>
  </si>
  <si>
    <t>Kidobó, villanyszerelő</t>
  </si>
  <si>
    <t>Kidobó, Biztonsági Őr, Tesco Eger, Rozsnoki Attila, Rege Birtok</t>
  </si>
  <si>
    <t>Kidobó, Biztonsági Őr, Biztonságszervező</t>
  </si>
  <si>
    <t>Kidobó, Biztonsági Őr, Bakó József</t>
  </si>
  <si>
    <t>Birkózó</t>
  </si>
  <si>
    <t>Birkózás, Birkózó</t>
  </si>
  <si>
    <t>Adrián</t>
  </si>
  <si>
    <t>Petőfi Téri Eperárus</t>
  </si>
  <si>
    <t>Országgyűlés Hivatala</t>
  </si>
  <si>
    <t>Tinder Győr</t>
  </si>
  <si>
    <t>Szent Ferenc Rehabilitációs Kórház</t>
  </si>
  <si>
    <t>Dr Csernik Péter Ügyvéd</t>
  </si>
  <si>
    <t>Tűzvédelmi Szakértő</t>
  </si>
  <si>
    <t>Magyar Országgyűlés (Hivatalos Oldal)</t>
  </si>
  <si>
    <t>Tinder, Gyöngyös, Társkereső, Milf, Drogéria</t>
  </si>
  <si>
    <t>Tata, Társkereső, Atlétika</t>
  </si>
  <si>
    <t>Fodrász</t>
  </si>
  <si>
    <t>Ági;Báthory/1</t>
  </si>
  <si>
    <t>Medicina Komplex Kft.</t>
  </si>
  <si>
    <t>Child</t>
  </si>
  <si>
    <t>Bozsik Nikolett, Bárdi Autó</t>
  </si>
  <si>
    <t>Magyar Birkózó Szövetség</t>
  </si>
  <si>
    <t>ESMTK Sportiskola Vezető</t>
  </si>
  <si>
    <t>Pásztorvölgyi Gimnázium</t>
  </si>
  <si>
    <t>Agastone</t>
  </si>
  <si>
    <t>akciopress</t>
  </si>
  <si>
    <t>VOLT fesztivál Berni Társaság</t>
  </si>
  <si>
    <t>ÉszakNet Kft.</t>
  </si>
  <si>
    <t>Kidobó, Biztonsági Őr, Cutler</t>
  </si>
  <si>
    <t>Rockwell Klub Miskolc</t>
  </si>
  <si>
    <t>Fidesz, Miskolc Polgármester</t>
  </si>
  <si>
    <t>Ricardo Poker Club</t>
  </si>
  <si>
    <t>Megyesi és Pápai Ügyvédi Iroda, Mi Hazánk Mozgalom</t>
  </si>
  <si>
    <t>Takács</t>
  </si>
  <si>
    <t>Ákos Zelei</t>
  </si>
  <si>
    <t>Kidobó, Buda Pest, Blue Box</t>
  </si>
  <si>
    <t>Diósgyőri Birkózó Club</t>
  </si>
  <si>
    <t>MEHASZ</t>
  </si>
  <si>
    <t>Kidobó, Biztonsági Őr, Focista, Eger, Kiss Lothár, Fodrász</t>
  </si>
  <si>
    <t>Alex/1</t>
  </si>
  <si>
    <t>Gyöngyös</t>
  </si>
  <si>
    <t>Demjéni Fürdő, Pultos, Kasszás, Szabó Martin, Tinder</t>
  </si>
  <si>
    <t>Blue Box Gyöngyös</t>
  </si>
  <si>
    <t>Mandala Cafe &amp; Lounge</t>
  </si>
  <si>
    <t>Tinder, DJ, Goa</t>
  </si>
  <si>
    <t>Bolyki</t>
  </si>
  <si>
    <t>Még nem kell</t>
  </si>
  <si>
    <t>Törley Pezsgőpincészet</t>
  </si>
  <si>
    <t>Cutler Eger</t>
  </si>
  <si>
    <t>Mezőkövesd</t>
  </si>
  <si>
    <t>MOL</t>
  </si>
  <si>
    <t>Vági Bence</t>
  </si>
  <si>
    <t>Tinder</t>
  </si>
  <si>
    <t>Bence Medved</t>
  </si>
  <si>
    <t>Állatkórhá/1</t>
  </si>
  <si>
    <t>Állatkórház/1</t>
  </si>
  <si>
    <t>Állatmen/1</t>
  </si>
  <si>
    <t>Állatorvos/1</t>
  </si>
  <si>
    <t>An;Kutyaiskola/1</t>
  </si>
  <si>
    <t>Andi/1</t>
  </si>
  <si>
    <t>Kidobó, Biztonsági Őr, HQ4, Benes</t>
  </si>
  <si>
    <t>Massive Dynamic</t>
  </si>
  <si>
    <t>Országgyűlés Irodaháza, IT, informatika</t>
  </si>
  <si>
    <t>Kidobó, Biztonsági Őr, Security</t>
  </si>
  <si>
    <t>Biztonságszervező</t>
  </si>
  <si>
    <t>Kidobó Biztonsági Őr, NAV</t>
  </si>
  <si>
    <t>Kidobó Biztonsági Őr</t>
  </si>
  <si>
    <t>Jobbik Magyarországért Mozgalom Eger</t>
  </si>
  <si>
    <t>Red Ring, Blue Box</t>
  </si>
  <si>
    <t>Kidobó, Biztonsági Őr, Dezső</t>
  </si>
  <si>
    <t>Országos Meteorológiai Szolgálat</t>
  </si>
  <si>
    <t>FTC Birkózás, válogatott</t>
  </si>
  <si>
    <t>In-Kal Security</t>
  </si>
  <si>
    <t>Miskolc, Kidobó, Biztonsági Őr</t>
  </si>
  <si>
    <t>Kurultáj, Jobbik Magyarországért Mozgalom</t>
  </si>
  <si>
    <t>Bíró Titkár</t>
  </si>
  <si>
    <t>Ingatlanos, Gyöngyös</t>
  </si>
  <si>
    <t>......</t>
  </si>
  <si>
    <t>Sörgödör</t>
  </si>
  <si>
    <t>Ápoló, Edelényi Kórház, Miskolci Megyei Kórház</t>
  </si>
  <si>
    <t>Bodnár Noémi</t>
  </si>
  <si>
    <t>Andro</t>
  </si>
  <si>
    <t>Domestic Partner</t>
  </si>
  <si>
    <t>Dér Zsolt</t>
  </si>
  <si>
    <t>Shine Dance School</t>
  </si>
  <si>
    <t>Szekeres Péter</t>
  </si>
  <si>
    <t>Anett;Dudás/1</t>
  </si>
  <si>
    <t>Anik;Korcsok/1</t>
  </si>
  <si>
    <t>Broadway</t>
  </si>
  <si>
    <t>Miskolc, Mentők, OMSZ</t>
  </si>
  <si>
    <t>Jobbik Ifjúsági Tagozat</t>
  </si>
  <si>
    <t>"Berze Kávézó"</t>
  </si>
  <si>
    <t>Rockwell, rocky</t>
  </si>
  <si>
    <t>Kastélykert Verpelét, Tetemvár</t>
  </si>
  <si>
    <t>Semmelweis Kórház</t>
  </si>
  <si>
    <t>Cutler, Tinder, Tetovált Hátú</t>
  </si>
  <si>
    <t>Miskolc BB Gym</t>
  </si>
  <si>
    <t>Farkas Dezső Édesanyja</t>
  </si>
  <si>
    <t>Jázon Rokona, Bernát Ricsi</t>
  </si>
  <si>
    <t>Baby Wine, Blue Box</t>
  </si>
  <si>
    <t>EKE HÖK</t>
  </si>
  <si>
    <t>Eger, Fitness, Ingatlan</t>
  </si>
  <si>
    <t>Mother</t>
  </si>
  <si>
    <t>Erika Palkó</t>
  </si>
  <si>
    <t>Pásztó Strand</t>
  </si>
  <si>
    <t>Anna;Fehér/1</t>
  </si>
  <si>
    <t>ELTE BTK HÖK</t>
  </si>
  <si>
    <t>Ansys/1</t>
  </si>
  <si>
    <t>Anya;Anita/1</t>
  </si>
  <si>
    <t>Anyu;Adrienn/1</t>
  </si>
  <si>
    <t>Anyu;Mésza/1</t>
  </si>
  <si>
    <t>Anyuj;Mózes/1</t>
  </si>
  <si>
    <t>Anyuka;Alex/1</t>
  </si>
  <si>
    <t>Apja;Dandi/1</t>
  </si>
  <si>
    <t>Apja;István/1</t>
  </si>
  <si>
    <t>Ariel/1</t>
  </si>
  <si>
    <t>Fodrász, Eger</t>
  </si>
  <si>
    <t>Csomor Csaba</t>
  </si>
  <si>
    <t>Jobbik, Farkas Gergely titkára</t>
  </si>
  <si>
    <t>Kidobó, Biztonsági Őr, Boxoló</t>
  </si>
  <si>
    <t>Olcsó miskolci nyomda</t>
  </si>
  <si>
    <t>Digiterm Kft.</t>
  </si>
  <si>
    <t>At;Janicsák/1</t>
  </si>
  <si>
    <t>Atti/1</t>
  </si>
  <si>
    <t>Red Ring, Jászberény Rendőr, Szolgálatirányító, Rendőr</t>
  </si>
  <si>
    <t>Biztonsági Őr, Security Kidobó</t>
  </si>
  <si>
    <t>Észak Magyarország napilap szerkesztő</t>
  </si>
  <si>
    <t>Betyársereg, Kidobó, Biztonsági</t>
  </si>
  <si>
    <t>Road Zenekar, Tour Manager</t>
  </si>
  <si>
    <t>Halálgömb, Motor, Siroki Motoros Találkozó</t>
  </si>
  <si>
    <t>Szt.Imre Kat.Ált.Isk.Eger</t>
  </si>
  <si>
    <t>Ügyvéd</t>
  </si>
  <si>
    <t>Kutyakiképző</t>
  </si>
  <si>
    <t>Kempo, Küzdősport, Biztonsági Őr, Security, Kidobó</t>
  </si>
  <si>
    <t>Kidobó, Rockwell</t>
  </si>
  <si>
    <t>Vízilabdaedző, Kelemen László</t>
  </si>
  <si>
    <t>Kidobó, Biztonsági Őr, BS, Felvidék, Betyársereg</t>
  </si>
  <si>
    <t>Csillog6 autómosó, tulajdonos, cégvezető</t>
  </si>
  <si>
    <t>Szent István Hotel,</t>
  </si>
  <si>
    <t>Zwack Unicum Hungary Kft.</t>
  </si>
  <si>
    <t>Kidobó, Biztonsági Őr, Mátyás Martin</t>
  </si>
  <si>
    <t>Régió Park Kft, Miskolc Parkolás</t>
  </si>
  <si>
    <t>Kidobó, Biztonsági Őr, Thai Box, Gyöngyös</t>
  </si>
  <si>
    <t>Target Security Kft.</t>
  </si>
  <si>
    <t>Biztonságszervező, Tűzvédelmi Előadó, Munkavédelem</t>
  </si>
  <si>
    <t>Kömlő, kis ABC bolt</t>
  </si>
  <si>
    <t>Biztonsàgi őr, kidobó</t>
  </si>
  <si>
    <t>Kidobó, Biztonsági Őr, Ózd, Hudik Gellért</t>
  </si>
  <si>
    <t>Bélapátfalva, Biztonsági Szolgálat, Vezető, Kidobó, Biztonsági Őr</t>
  </si>
  <si>
    <t>Kidobó, Biztonsági Őr, Eger</t>
  </si>
  <si>
    <t>Biztonsàgi őr, Kidobó, Eger</t>
  </si>
  <si>
    <t>Birkózás</t>
  </si>
  <si>
    <t>Kidobó, Biztonsági Őr, Farkas Dezső</t>
  </si>
  <si>
    <t>Kidobó, Biztonsági őr, TEK, Gyarmati Jancsi, Siroki Motoros Találkozó</t>
  </si>
  <si>
    <t>Lakatos, Bezárt Kocsikulcs Autó Kulcs</t>
  </si>
  <si>
    <t>Kidobó, Biztonsági Őr, Nagy Alex, Pásztó</t>
  </si>
  <si>
    <t>Biztonságszervező, Gyarmati János, Eger</t>
  </si>
  <si>
    <t>Attila;Ficsor/1</t>
  </si>
  <si>
    <t>Autópálya info</t>
  </si>
  <si>
    <t>Avasi Rendőrörs</t>
  </si>
  <si>
    <t>Bá;Feri/1</t>
  </si>
  <si>
    <t>bá;Gyuri/1</t>
  </si>
  <si>
    <t>Cross Team Eger</t>
  </si>
  <si>
    <t>Cifrakapu Utcai Üzletsor, Jysk, Eco Family, Kik, Pepco</t>
  </si>
  <si>
    <t>EKE HÖK Kolbiz</t>
  </si>
  <si>
    <t>Kidobó, Biztonsági Őr, Bakó József, Benes Gergő</t>
  </si>
  <si>
    <t>Ügyvéd Eger</t>
  </si>
  <si>
    <t>Kidobó Biztonsági Birkózó</t>
  </si>
  <si>
    <t>Siroki Motoros Találkozó, Biztonsági Őr, Security, Kidobó, Porta</t>
  </si>
  <si>
    <t>Küzdősport, MMA, Grappling, Szeged, Sárközi</t>
  </si>
  <si>
    <t>Kidobó, Biztonsági Őr, Crossfit</t>
  </si>
  <si>
    <t>Forever Living Products</t>
  </si>
  <si>
    <t>Bíboros</t>
  </si>
  <si>
    <t>Rockwell</t>
  </si>
  <si>
    <t>Kidobó, Biztonsági Őr, Fekete Pisti</t>
  </si>
  <si>
    <t>Rádiós Pest</t>
  </si>
  <si>
    <t>Szigetelő</t>
  </si>
  <si>
    <t>B-Sound Hangosítás</t>
  </si>
  <si>
    <t>Kidobó, Biztonsági Őr, Vörös Balázs</t>
  </si>
  <si>
    <t>Állatorvos</t>
  </si>
  <si>
    <t>Baleseti hosszù</t>
  </si>
  <si>
    <t>Pénzügyőr Birkózás</t>
  </si>
  <si>
    <t>PVG</t>
  </si>
  <si>
    <t>Kidobó, Biztonsági őr, Felvidék, Mag Erik</t>
  </si>
  <si>
    <t>Kidobó, Biztonsági Őr Jelölt</t>
  </si>
  <si>
    <t>Bandi;Nagy/1</t>
  </si>
  <si>
    <t>Tinder, Miskolc</t>
  </si>
  <si>
    <t>Kozmetika</t>
  </si>
  <si>
    <t>Vak lány, láthatatlan kiállítás, munkában segítség neki</t>
  </si>
  <si>
    <t>Szempillás</t>
  </si>
  <si>
    <t>Társkereső, Budapest</t>
  </si>
  <si>
    <t>Bacchus Borozó</t>
  </si>
  <si>
    <t>Salsa Tánc</t>
  </si>
  <si>
    <t>Juhász Joci</t>
  </si>
  <si>
    <t>József Juhász</t>
  </si>
  <si>
    <t>Rádió 1</t>
  </si>
  <si>
    <t>Személyi Edző, Tinder, Miskolc</t>
  </si>
  <si>
    <t>Barbee/1</t>
  </si>
  <si>
    <t>Barby</t>
  </si>
  <si>
    <t>KFC Magyarország</t>
  </si>
  <si>
    <t>Nemzeti Dohánybolt</t>
  </si>
  <si>
    <t>Kidobó, Biztonsági Őr, Fodor Károly</t>
  </si>
  <si>
    <t>Személyi Edző, Eger</t>
  </si>
  <si>
    <t>Bea Győri</t>
  </si>
  <si>
    <t>Miskolc Szinvapark</t>
  </si>
  <si>
    <t>Magyarok Világszövetsége</t>
  </si>
  <si>
    <t>Társkereső, Tinder, Kerecsend</t>
  </si>
  <si>
    <t>Kínai Tolmács</t>
  </si>
  <si>
    <t>Béki Jozsef</t>
  </si>
  <si>
    <t>Cutler Fitness</t>
  </si>
  <si>
    <t>Kidobó, Biztonsági Őr, Tapolca</t>
  </si>
  <si>
    <t>Tűzvédelmi Szakember, Biztonsági Terv, Tűzvédelmi Oktatás, Ragó Attila, Bélapátfalva</t>
  </si>
  <si>
    <t>Biztonsàgi őr, Kidobó, Besze</t>
  </si>
  <si>
    <t>BB photography</t>
  </si>
  <si>
    <t>Bella</t>
  </si>
  <si>
    <t>Prostituált, Tinder, Bellydance, Gyöngyös, Blue Box, Vendég</t>
  </si>
  <si>
    <t>EKE Videós</t>
  </si>
  <si>
    <t>Kidobó, Biztonsági Őr, Gyöngyös</t>
  </si>
  <si>
    <t>Pásztó, S Club</t>
  </si>
  <si>
    <t>Kidobó, Biztonsági Őr, Szigetszentmiklós</t>
  </si>
  <si>
    <t>Kidobó, Biztonsági Őr, Tatár Attila</t>
  </si>
  <si>
    <t>Judo, MMA, Eger</t>
  </si>
  <si>
    <t>Völgy Feszt, Elégségest Petinek</t>
  </si>
  <si>
    <t>S-Club Pásztó</t>
  </si>
  <si>
    <t>Partner</t>
  </si>
  <si>
    <t>Erdélyi Kitti</t>
  </si>
  <si>
    <t>Szuromi Ablakok, Nyílászáró</t>
  </si>
  <si>
    <t>Esküvő, Lagzi Védés</t>
  </si>
  <si>
    <t>Kidobó, Biztonsági</t>
  </si>
  <si>
    <t>Bence;Kóti/1</t>
  </si>
  <si>
    <t>Agria Park</t>
  </si>
  <si>
    <t>Benningt;Brigi/1</t>
  </si>
  <si>
    <t>PlazaFitness</t>
  </si>
  <si>
    <t>Jobbik Magyarországért Mozgalom, Fő utca, levelek</t>
  </si>
  <si>
    <t>Fortuna Pizzéria</t>
  </si>
  <si>
    <t>Tinder, Kecskemét, Tőserdő, Szegvár</t>
  </si>
  <si>
    <t>Bertók, Zsoltné Nóra</t>
  </si>
  <si>
    <t>T-DANCE TÁNC CENTRUM</t>
  </si>
  <si>
    <t>Besze Geri Pásztó Dojo</t>
  </si>
  <si>
    <t>Karl Media</t>
  </si>
  <si>
    <t>Polgármesteri Hivatal Ózd</t>
  </si>
  <si>
    <t>Betti;Bereczky/1</t>
  </si>
  <si>
    <t>Janiczak Dávid munkatársa, Jobbik Magyarországért Mozgalom</t>
  </si>
  <si>
    <t>BetTeam, Fitness</t>
  </si>
  <si>
    <t>Prostituált, Gogo Táncos, Sztriptíz, Tinder</t>
  </si>
  <si>
    <t>Táncos</t>
  </si>
  <si>
    <t>Miskolc, Kurva, Prostituált</t>
  </si>
  <si>
    <t>Biró</t>
  </si>
  <si>
    <t>Bogácsi Önkormányzat</t>
  </si>
  <si>
    <t>BiztGrón12M/1</t>
  </si>
  <si>
    <t>Black</t>
  </si>
  <si>
    <t>Louis Vuitton</t>
  </si>
  <si>
    <t>Szentpáli István Kereskedelmi és Vendéglátó Szakközépiskola és S</t>
  </si>
  <si>
    <t>Experidance Hooligans</t>
  </si>
  <si>
    <t>Tinder, Dunakeszi, Nagy Csöcsök</t>
  </si>
  <si>
    <t>Bolt;Ansys/1</t>
  </si>
  <si>
    <t>Connecting Event Kft</t>
  </si>
  <si>
    <t>Tinder, Szén Józsi, Pásztó</t>
  </si>
  <si>
    <t>Rocky</t>
  </si>
  <si>
    <t>Botond</t>
  </si>
  <si>
    <t>Polgármesteri Hivatal Eger</t>
  </si>
  <si>
    <t>Parfüm</t>
  </si>
  <si>
    <t>Brigi/1</t>
  </si>
  <si>
    <t>Tinder, Budapest, Taxis</t>
  </si>
  <si>
    <t>S-Power Gym, Kovács Zsuzsi</t>
  </si>
  <si>
    <t>Orvos</t>
  </si>
  <si>
    <t>Tinder, Modell, Szépségkirálynő</t>
  </si>
  <si>
    <t>Bunyós Pityu</t>
  </si>
  <si>
    <t>Szikora István</t>
  </si>
  <si>
    <t>Buszsofőr</t>
  </si>
  <si>
    <t>BAMA Ruha és Cipő Divatház</t>
  </si>
  <si>
    <t>CallApp</t>
  </si>
  <si>
    <t>Cathie/1</t>
  </si>
  <si>
    <t>Cédélopó/1</t>
  </si>
  <si>
    <t>Miskolc, Tinder</t>
  </si>
  <si>
    <t>B-A-Z Megyei Kórház</t>
  </si>
  <si>
    <t>sebiologie | Ingatlan Értékesítő</t>
  </si>
  <si>
    <t>Műkörmös</t>
  </si>
  <si>
    <t>Ex-Kobra Kft. Kidobó</t>
  </si>
  <si>
    <t>Biztonsági Őr, Security, Kidobó</t>
  </si>
  <si>
    <t>Polgármesteri Hivatal Engedélyező, Katasztrófás</t>
  </si>
  <si>
    <t>Kidobó, Biztonsági Őr, Felsőtárkány, Szekeres Péter, Bakó József</t>
  </si>
  <si>
    <t>Avasi Esküvői Megrendelő</t>
  </si>
  <si>
    <t>Ablak, Építkezés</t>
  </si>
  <si>
    <t>Kisbót</t>
  </si>
  <si>
    <t>BAZ MEGYEI KÓRHÁZ Traumatológia</t>
  </si>
  <si>
    <t>Black Bull Kft.</t>
  </si>
  <si>
    <t>Magyar MMA Országos Küzdősport Szövetség, Szegedi Sárközi Team</t>
  </si>
  <si>
    <t>Aldi, Eger Építésvezető</t>
  </si>
  <si>
    <t>Dorogi Nehézatlétikai Club</t>
  </si>
  <si>
    <t>Liget, Broadway, Gödör, Inter-Ausztria</t>
  </si>
  <si>
    <t>Jobbik, alfahir.hu, szerkesztő, újságíró</t>
  </si>
  <si>
    <t>Birkózás, Miskolc, DVTK, Bacsó Alex, Weyron, Phantom</t>
  </si>
  <si>
    <t>46\333 333</t>
  </si>
  <si>
    <t>Fradi Security, MLSZ, Válogatott, FTC</t>
  </si>
  <si>
    <t>Lego Nyíregyháza</t>
  </si>
  <si>
    <t>Kidobó, Biztonsági Őr, Box</t>
  </si>
  <si>
    <t>Ferencváros Szurkoló</t>
  </si>
  <si>
    <t>Csabi;Bóta/1</t>
  </si>
  <si>
    <t>Tinder, Társkereső</t>
  </si>
  <si>
    <t>Csilla;Ficsor/1</t>
  </si>
  <si>
    <t>Csótányirtás</t>
  </si>
  <si>
    <t>Bársony-Hunyadi Általános Iskola</t>
  </si>
  <si>
    <t>Dalma;Farkas/1</t>
  </si>
  <si>
    <t>Dalma;Hegyesi/1</t>
  </si>
  <si>
    <t>Táncos, Sztriptíz, Gogo</t>
  </si>
  <si>
    <t>Brdwy Productions, Ráki, Broadway, Színpad építés Hangosítás</t>
  </si>
  <si>
    <t>Fotós, Partyfotós</t>
  </si>
  <si>
    <t>Ego Bar</t>
  </si>
  <si>
    <t>Dani;Hossó/1</t>
  </si>
  <si>
    <t>Dani;Molnár/1</t>
  </si>
  <si>
    <t>Kidobó, Biztonsági Őr, Tesco, Tatár Attila</t>
  </si>
  <si>
    <t>Kidobó, Biztonsági Őr, Pétervására, Boxoló, Golyó, Fónad</t>
  </si>
  <si>
    <t>EKE HÖK Gólyatábor</t>
  </si>
  <si>
    <t>Kepes Intézet</t>
  </si>
  <si>
    <t>After Dark, Chili Ózd, Rendezvényszervező,</t>
  </si>
  <si>
    <t>DJ, Zenész</t>
  </si>
  <si>
    <t>Do It Yourself Nutrition</t>
  </si>
  <si>
    <t>Kovács Kft Biztonsági Őr, Security, Kidobó</t>
  </si>
  <si>
    <t>MMA</t>
  </si>
  <si>
    <t>DC Solutions, Beta, Mozi</t>
  </si>
  <si>
    <t>Eger Önkormányzat, Városháza, Alpolgármester</t>
  </si>
  <si>
    <t>Országgyűlés</t>
  </si>
  <si>
    <t>Blue Box, Vendég, Tinder</t>
  </si>
  <si>
    <t>Dáriusz</t>
  </si>
  <si>
    <t>Szolnok, Lóci, Kidobó, Biztonsági Őr</t>
  </si>
  <si>
    <t>IMPRO MUSIC Bt.</t>
  </si>
  <si>
    <t>Dávi;Pénzes/1</t>
  </si>
  <si>
    <t>Spouse</t>
  </si>
  <si>
    <t>A halott anyja</t>
  </si>
  <si>
    <t>Debi udvarlója</t>
  </si>
  <si>
    <t>Jobbik Magyarországért Mozgalom Ózd</t>
  </si>
  <si>
    <t>Személyi Edző</t>
  </si>
  <si>
    <t>Tesco</t>
  </si>
  <si>
    <t>Jiu Jitsu Bjj</t>
  </si>
  <si>
    <t>Cég Workshop Hotel Eger, PAW</t>
  </si>
  <si>
    <t>Hangtechnika, Fénytechnika, Klíma</t>
  </si>
  <si>
    <t>Tales From The Underground Rock Metal Koncert</t>
  </si>
  <si>
    <t>Red Ring</t>
  </si>
  <si>
    <t>Kidobó, Biztonsági Őr, Koleszár Csaba, Ózd</t>
  </si>
  <si>
    <t>OVB Budapest</t>
  </si>
  <si>
    <t>Kidobó, Biztonsági Őr, Vízilabda</t>
  </si>
  <si>
    <t>Dealer;Ruha/1</t>
  </si>
  <si>
    <t>Bolyki János</t>
  </si>
  <si>
    <t>Tinder, Kecskemét, Magas, Csöcsös</t>
  </si>
  <si>
    <t>Kidobó, Biztonsági őr</t>
  </si>
  <si>
    <t>LED Butik</t>
  </si>
  <si>
    <t>Sister</t>
  </si>
  <si>
    <t>Kovács Zsuzsa</t>
  </si>
  <si>
    <t>Detty/1</t>
  </si>
  <si>
    <t>Dévid/1</t>
  </si>
  <si>
    <t>Euronorm Group Hungary Kft.</t>
  </si>
  <si>
    <t>Kidobó, biztonsági őr</t>
  </si>
  <si>
    <t>Valentin Georgina Nina</t>
  </si>
  <si>
    <t>Pásztorvölgyi Általános Iskola és Gimnázium</t>
  </si>
  <si>
    <t>Egri Kutya Menhely - Állatokat Védjük Együtt Alapítvány</t>
  </si>
  <si>
    <t>Robinson Szigetek</t>
  </si>
  <si>
    <t>Team USA</t>
  </si>
  <si>
    <t>Diszpécser</t>
  </si>
  <si>
    <t>Parter Kft.</t>
  </si>
  <si>
    <t>Termál Strandfürdő Eger - Hivatalos oldal</t>
  </si>
  <si>
    <t>DVTK Birkózás</t>
  </si>
  <si>
    <t>Hartman Fekete Kft</t>
  </si>
  <si>
    <t>Döner kebab Miskolc</t>
  </si>
  <si>
    <t>Tinder, Társkereső, Erőemelő, Könyvelő</t>
  </si>
  <si>
    <t>Jobbik Magyarországért Mozgalom</t>
  </si>
  <si>
    <t>Tinder, Juhász Gabi</t>
  </si>
  <si>
    <t>Parent</t>
  </si>
  <si>
    <t>Gábor Juhász</t>
  </si>
  <si>
    <t>Klein Máté. &lt;3</t>
  </si>
  <si>
    <t>MIM Tours Egyetemi Taniroda</t>
  </si>
  <si>
    <t>Dóri;Suhaj/1</t>
  </si>
  <si>
    <t>Dóri/1</t>
  </si>
  <si>
    <t>Nemzeti Művelődési Intézet, Salgótarján, Tinder, Riporter, Műsorvezető, Kommunikáció, Kommunikátor</t>
  </si>
  <si>
    <t>Pszichológus</t>
  </si>
  <si>
    <t>Rádió Eger, Hírszerkesztő</t>
  </si>
  <si>
    <t>Tinder, Társkereső, Fitness</t>
  </si>
  <si>
    <t>Father</t>
  </si>
  <si>
    <t>Berényi Zsolt</t>
  </si>
  <si>
    <t>UCC Vodafone</t>
  </si>
  <si>
    <t>Vagyonőr, Kidobó Biztonsági Őr</t>
  </si>
  <si>
    <t>Dron</t>
  </si>
  <si>
    <t>Róbert</t>
  </si>
  <si>
    <t>Leier Hungária Kft.</t>
  </si>
  <si>
    <t>Herman Öttó Gimnázium</t>
  </si>
  <si>
    <t>E;Szaniszló/1</t>
  </si>
  <si>
    <t>Bolyki Pincészet, Vendég, Eger, Budapest, Retro Fesztivál</t>
  </si>
  <si>
    <t>Liget, Excalibur, diszkó</t>
  </si>
  <si>
    <t>Vodafone</t>
  </si>
  <si>
    <t>Edina Majoros</t>
  </si>
  <si>
    <t>Fürjes Bence, Erős Annamária, Kovács Zsuzsa</t>
  </si>
  <si>
    <t>Blue Box, Red Ring</t>
  </si>
  <si>
    <t>Ing Szabász</t>
  </si>
  <si>
    <t>Edit;Majoros/1</t>
  </si>
  <si>
    <t>Eger;Rádió/1</t>
  </si>
  <si>
    <t>Egyetem/1</t>
  </si>
  <si>
    <t>Lynx Kormos Bt.</t>
  </si>
  <si>
    <t>Kormos László</t>
  </si>
  <si>
    <t>Blue Box, Tinder, Apc</t>
  </si>
  <si>
    <t>Emese</t>
  </si>
  <si>
    <t>ZF Hungária Kft.</t>
  </si>
  <si>
    <t>ZF Hungária, Eger, munkaügyis</t>
  </si>
  <si>
    <t>Bosch Miskolc</t>
  </si>
  <si>
    <t>A nagybetűs ÉLET.</t>
  </si>
  <si>
    <t>Pornó, Pornószínész, Színész</t>
  </si>
  <si>
    <t>piac, tojás, kofa, árus</t>
  </si>
  <si>
    <t>Óvónő Recsk</t>
  </si>
  <si>
    <t>Europa Design</t>
  </si>
  <si>
    <t>Novák Ügyvédi Iroda</t>
  </si>
  <si>
    <t>Novák Peti</t>
  </si>
  <si>
    <t>Enikö;Szabó/1</t>
  </si>
  <si>
    <t>Hársfa Söröző</t>
  </si>
  <si>
    <t>Kidobó, Biztonsági Őr, Benes</t>
  </si>
  <si>
    <t>Kidobó, Biztonsági Őr, Betyársereg</t>
  </si>
  <si>
    <t>drogosok ismerője a csebokszban</t>
  </si>
  <si>
    <t>Kecskeméti Bogrács Fesztivál Szervező</t>
  </si>
  <si>
    <t>Anna Török</t>
  </si>
  <si>
    <t>Vénusz szalon</t>
  </si>
  <si>
    <t>Strand, Pásztó Önkormányzat</t>
  </si>
  <si>
    <t>Albi, albérlet, lakás, kisbolt</t>
  </si>
  <si>
    <t>Erős/1</t>
  </si>
  <si>
    <t>ORFK</t>
  </si>
  <si>
    <t>Zsuzsi ❤️ Anyukája</t>
  </si>
  <si>
    <t>Megyei Közgyűlés, Repka</t>
  </si>
  <si>
    <t>Liget, Hippolit</t>
  </si>
  <si>
    <t>Ózdi Önkormányzat</t>
  </si>
  <si>
    <t>Autó Vásárlás Cigány</t>
  </si>
  <si>
    <t>Gerendás büfé</t>
  </si>
  <si>
    <t>Inga Café, Puzsér Róbert, Apu Azért Iszik, Mert Te Sírsz, Rendezvényszervező</t>
  </si>
  <si>
    <t>Szeretlek Magyarország, Megasztár</t>
  </si>
  <si>
    <t>Lakópark Egri Csillagok Utca 68</t>
  </si>
  <si>
    <t>Logopédus</t>
  </si>
  <si>
    <t>Személyi Edző, Tinder</t>
  </si>
  <si>
    <t>Tomin Márton Szakdolgozat</t>
  </si>
  <si>
    <t>Jobbik, Vona Gábor titkára</t>
  </si>
  <si>
    <t>Cigány, Labrador Gazda, Danny</t>
  </si>
  <si>
    <t>Maklár, Rúzsa Magdi Koncert, Andornaktálya</t>
  </si>
  <si>
    <t>Kutyafuttató, Utazási Iroda, Két Kutya</t>
  </si>
  <si>
    <t>Szántó Balázs</t>
  </si>
  <si>
    <t>Miskolci Egyetem</t>
  </si>
  <si>
    <t>Heves Megyei Katasztrófavédelem, Egri Katasztrófavédelmi Kirendeltség</t>
  </si>
  <si>
    <t>Miskolci Leung Ting Wing Tsun Kung Fu Klub</t>
  </si>
  <si>
    <t>Termálfürdő Tiszaújváros</t>
  </si>
  <si>
    <t>Éva;Debrei/1</t>
  </si>
  <si>
    <t>Rockwell Klub</t>
  </si>
  <si>
    <t>Táncos, Gogo, Striptease, Vetkőző, Escort, Cortess, Hostess, Show</t>
  </si>
  <si>
    <t>Szent István Hotel</t>
  </si>
  <si>
    <t>Meccs, Biztonsági Őr</t>
  </si>
  <si>
    <t>SZÖB</t>
  </si>
  <si>
    <t>Evelin/1</t>
  </si>
  <si>
    <t>Fapados bisztró</t>
  </si>
  <si>
    <t>Fater;Martin/1</t>
  </si>
  <si>
    <t>MMA Küzdősport</t>
  </si>
  <si>
    <t>Kis Barbi Barátnője Adrián</t>
  </si>
  <si>
    <t>DJ Free, Blue Box, Red Ring</t>
  </si>
  <si>
    <t>Kidobó, Biztonsági Őr, Jászberény</t>
  </si>
  <si>
    <t>Kidobó, Biztonsági Őr, Szekeres Péter, Csomor Csaba</t>
  </si>
  <si>
    <t>Nagyréde</t>
  </si>
  <si>
    <t>Klíma, Ostoros, Behajtás</t>
  </si>
  <si>
    <t>TFS Security Camera</t>
  </si>
  <si>
    <t>Profirent Gépkölcsönző Debrecen, Aggregátor</t>
  </si>
  <si>
    <t>Magyar Birkózó Szövetség, Ceglédi Birkózás</t>
  </si>
  <si>
    <t>Flott-Trans Kft</t>
  </si>
  <si>
    <t>Jobbik Magyarországért Mozgalom, Z. Kárpát Dániel asszisztens</t>
  </si>
  <si>
    <t>Italkereskedő-Ház Zrt</t>
  </si>
  <si>
    <t>Gyöngyös Rendőrség</t>
  </si>
  <si>
    <t>Birkózás, Válogatott, BVSC</t>
  </si>
  <si>
    <t>Autómentő Aggregátor, Tréler</t>
  </si>
  <si>
    <t>Gyógytornász, Maszk</t>
  </si>
  <si>
    <t>Ferenc?</t>
  </si>
  <si>
    <t>EKVI</t>
  </si>
  <si>
    <t>Szervező, Party Szervező, Eclips Rendezvények, Szent István Hotel És Trezor</t>
  </si>
  <si>
    <t>Flóra/1</t>
  </si>
  <si>
    <t>Flóri/1</t>
  </si>
  <si>
    <t>FM7</t>
  </si>
  <si>
    <t>Heves, Vastelep, Őrzés, Security, Számla, Kidobó</t>
  </si>
  <si>
    <t>Pászthy Dezső</t>
  </si>
  <si>
    <t>Fru</t>
  </si>
  <si>
    <t>Vodafone Hungary</t>
  </si>
  <si>
    <t>Jászberény, Vendég</t>
  </si>
  <si>
    <t>Tinder, Pillás</t>
  </si>
  <si>
    <t>MKT IB</t>
  </si>
  <si>
    <t>Autóstalálkozó, Aggtelek,</t>
  </si>
  <si>
    <t>Gabi;Pogonyi/1</t>
  </si>
  <si>
    <t>Faceline Marketing, DJ, Grafikus</t>
  </si>
  <si>
    <t>Rocky, Rockwell, kidobó</t>
  </si>
  <si>
    <t>Kidobó, Biztonsági Őr, Ex Kobra</t>
  </si>
  <si>
    <t>Kidobó, Biztonsági Őr, Eger, Katona, Sérült Hátú</t>
  </si>
  <si>
    <t>Gyógymasszőr, tape ragasztó, masszőr</t>
  </si>
  <si>
    <t>Kidobó, Biztonsági Őr, Pest, Fradi, Lóci</t>
  </si>
  <si>
    <t>Bodony Táncház</t>
  </si>
  <si>
    <t>Jogász, Porsche Hungary, Lufiárus</t>
  </si>
  <si>
    <t>Rocky, arockwell</t>
  </si>
  <si>
    <t>Szegedi sportcsarnok igazgatója</t>
  </si>
  <si>
    <t>Gábor Hegedűs</t>
  </si>
  <si>
    <t>DJ, Klíma</t>
  </si>
  <si>
    <t>Kidobó, Biztonsági Őr, Eger, Szása</t>
  </si>
  <si>
    <t>Fodor Károly</t>
  </si>
  <si>
    <t>Kidobó, rocky, rockwell</t>
  </si>
  <si>
    <t>Hódítás Éjszakája</t>
  </si>
  <si>
    <t>Betyársereg, Gyula</t>
  </si>
  <si>
    <t>303-as Logisztikai Osztály</t>
  </si>
  <si>
    <t>TEK, Rendőr, Küzdősport</t>
  </si>
  <si>
    <t>Fidesz Eger Fidelitas</t>
  </si>
  <si>
    <t>Birkózó, Edző</t>
  </si>
  <si>
    <t>Security, Kidobó, Biztonsági Őr, Fradi, FTC, Fölgye Pál</t>
  </si>
  <si>
    <t>Miskolc, Rockwell Klub</t>
  </si>
  <si>
    <t>Thai Box, Kick Box, Box</t>
  </si>
  <si>
    <t>Jobbik magyarországért Mozgalom Sajtófőnök</t>
  </si>
  <si>
    <t>DJ, Eger, Brdwy</t>
  </si>
  <si>
    <t>Kidobó, Biztonsági Őr, Lóci, Szolnok, Kecskemét</t>
  </si>
  <si>
    <t>Tenisz Eger, Labda,</t>
  </si>
  <si>
    <t>Hangácsi Andrea</t>
  </si>
  <si>
    <t>Valton Security</t>
  </si>
  <si>
    <t>4:23</t>
  </si>
  <si>
    <t>Gyömrő Allűr</t>
  </si>
  <si>
    <t>Karl Media Group, Pro On, Lights Off</t>
  </si>
  <si>
    <t>Egri McDonald's tulaja</t>
  </si>
  <si>
    <t>Eger, Kutya Mentő</t>
  </si>
  <si>
    <t>Tinder, Eger, Családsegítő, Gyermekotthon, Állami Gondozás</t>
  </si>
  <si>
    <t>Bogács, Jászberény, Hintó, Yoko</t>
  </si>
  <si>
    <t>Gál Fruzsina</t>
  </si>
  <si>
    <t>Gary/1</t>
  </si>
  <si>
    <t>Magyar Országgyűlés Hivatala</t>
  </si>
  <si>
    <t>Magyar Országgyűlés</t>
  </si>
  <si>
    <t>Gyúró, Masszőr</t>
  </si>
  <si>
    <t>Partyfotós, Fotográfus</t>
  </si>
  <si>
    <t>Kidobó, Biztonsági Őr, Szépasszony Völgy</t>
  </si>
  <si>
    <t>Peaches N' Cream</t>
  </si>
  <si>
    <t>EVAT Zrt., Biztonsági, Kidobó</t>
  </si>
  <si>
    <t>Jázon, Kidobó, Biztonsági Őr, Idiegen Légiós</t>
  </si>
  <si>
    <t>Gergő</t>
  </si>
  <si>
    <t>Elefanto Futár</t>
  </si>
  <si>
    <t>Kidobó, Erőemelő</t>
  </si>
  <si>
    <t>Bíboros, Portafőnök, Security, Kidobó</t>
  </si>
  <si>
    <t>Bélapátfalvi Hegyi Drift Tulaj</t>
  </si>
  <si>
    <t>Bélkő Kht Drift, Bélapátfalva Autó, Rendezvény</t>
  </si>
  <si>
    <t>Kidobó, Biztonsági Őr, Kóczán Arnold, Hatvan</t>
  </si>
  <si>
    <t>Rusznyák Dominika</t>
  </si>
  <si>
    <t>Kidobó Biztonsági Őr, Rendőr</t>
  </si>
  <si>
    <t>Rotary International</t>
  </si>
  <si>
    <t>Kecskeméti Bogrács Fesztivál</t>
  </si>
  <si>
    <t>Békafütty Pultos</t>
  </si>
  <si>
    <t>Gery</t>
  </si>
  <si>
    <t>Grafikus</t>
  </si>
  <si>
    <t>Egri Városi Sportiskola</t>
  </si>
  <si>
    <t>Pásztói Rendőrkapitányság</t>
  </si>
  <si>
    <t>Géza;Kovács/1</t>
  </si>
  <si>
    <t>Illatszer értékesítő</t>
  </si>
  <si>
    <t>Gotti</t>
  </si>
  <si>
    <t>Személyi Edző, Tinder, Miskolc, 4% Fitness</t>
  </si>
  <si>
    <t>Lévai Tamás, Birkózás</t>
  </si>
  <si>
    <t>Gyepmester/1</t>
  </si>
  <si>
    <t>Társkereső, Tinder, Tata</t>
  </si>
  <si>
    <t>Arany</t>
  </si>
  <si>
    <t>Magyar Birkózó Szövetség, Orvos, Csapatorvos</t>
  </si>
  <si>
    <t>Agria Building Master Kft.</t>
  </si>
  <si>
    <t>Jobbik Magyarországért Mozgalom, Hatvannégy Vármegye, HVIM</t>
  </si>
  <si>
    <t>Kidobó, Biztonsági Őr Betyár</t>
  </si>
  <si>
    <t>Budapest Bortársaság</t>
  </si>
  <si>
    <t>Birkózás, válogatott edző, MBSZ</t>
  </si>
  <si>
    <t>Box, Mezőkövesd</t>
  </si>
  <si>
    <t>Weisz</t>
  </si>
  <si>
    <t>China Restaurant Lohfelden</t>
  </si>
  <si>
    <t>Gyros/1</t>
  </si>
  <si>
    <t>Kidobó , Biztonsági Őr, Szedlák Endre, Karate, Küzdősport</t>
  </si>
  <si>
    <t>Kidobó, Biztonsági Őr, Bátonyterenye Nógrád</t>
  </si>
  <si>
    <t>Miskolci Egyetem AIT</t>
  </si>
  <si>
    <t>Gyuri;Csilla/1</t>
  </si>
  <si>
    <t>Gyuri/1</t>
  </si>
  <si>
    <t>H;Papa/1</t>
  </si>
  <si>
    <t>AC IP Control Kt.</t>
  </si>
  <si>
    <t>Hangàr/1</t>
  </si>
  <si>
    <t>Tóth Csabi FTC Fradi Security Barátja</t>
  </si>
  <si>
    <t>Red Bull</t>
  </si>
  <si>
    <t>Pásztó Open Air Retro Vendég</t>
  </si>
  <si>
    <t>Kajak Kenu, Környezetmérnök, Mérnök, Tinder</t>
  </si>
  <si>
    <t>HÖOK Mentorprogram</t>
  </si>
  <si>
    <t>Feró-Véd '06 Kft., Biztonsági Őr, Security, Kidobó</t>
  </si>
  <si>
    <t>Karl Media Group</t>
  </si>
  <si>
    <t>Hongkong</t>
  </si>
  <si>
    <t>RED RING Jászberény</t>
  </si>
  <si>
    <t>Howard/1</t>
  </si>
  <si>
    <t>Jobbik Magyarországért Mozgalom Eger, elnök</t>
  </si>
  <si>
    <t>Ilcsi</t>
  </si>
  <si>
    <t>Ildi/1</t>
  </si>
  <si>
    <t>EKE, Hallgató, Vénusz DVTK, foci, Grafikus</t>
  </si>
  <si>
    <t>Karcagi Csöcsös</t>
  </si>
  <si>
    <t>Fidesz, Eger, csebox választókörzeti képviselő 2010-2014</t>
  </si>
  <si>
    <t>Könyvelő</t>
  </si>
  <si>
    <t>Bölker</t>
  </si>
  <si>
    <t>Tinder, Encs NAV</t>
  </si>
  <si>
    <t>Imi;Magyar/1</t>
  </si>
  <si>
    <t>Modell Ápoló</t>
  </si>
  <si>
    <t>Jászberény, Yoko, Szalagavató</t>
  </si>
  <si>
    <t>Betyársereg, Betyár</t>
  </si>
  <si>
    <t>Kidobó, Biztonsági Őr, Artist Kávézó</t>
  </si>
  <si>
    <t>Csepel Birkózás</t>
  </si>
  <si>
    <t>Bodony Rendőr</t>
  </si>
  <si>
    <t>Interaktív/1</t>
  </si>
  <si>
    <t>iPhone X</t>
  </si>
  <si>
    <t>Ist;Kóczián/1</t>
  </si>
  <si>
    <t>Istvá;Dorkó/1</t>
  </si>
  <si>
    <t>Kidobó, Biztonsági Őr, Veres Bandi, Kecskés</t>
  </si>
  <si>
    <t>Kidobó, Biztonsági Őr, Box, Dorkó</t>
  </si>
  <si>
    <t>Arló, Suvadás Liget Szervező</t>
  </si>
  <si>
    <t>Hewlet-Packard</t>
  </si>
  <si>
    <t>Sári Andrea</t>
  </si>
  <si>
    <t>Kidobó, Biztonsági Őr, Pásztó</t>
  </si>
  <si>
    <t>Petőfibánya, Medve Dzsenifer</t>
  </si>
  <si>
    <t>S-group Biztonsági Kidobó</t>
  </si>
  <si>
    <t>Kidobó, Biztonsági Őr, Suszter</t>
  </si>
  <si>
    <t>Kidobó, Biztonsági Őr, Vendéglátós, Megkeresett</t>
  </si>
  <si>
    <t>Bolyki Pincészet Eger</t>
  </si>
  <si>
    <t>Kidobó, Biztonsági Őr, Szása, Jancsi, Tarnazsadány</t>
  </si>
  <si>
    <t>Hevesaranyos Rendezvényszervező, Farkas Dezső</t>
  </si>
  <si>
    <t>Egri Vár Látogatás</t>
  </si>
  <si>
    <t>Janiczak Dávid defekt csere</t>
  </si>
  <si>
    <t>Miskolci Egyetem (University of Miskolc)</t>
  </si>
  <si>
    <t>Kovács Kft, Kidobó, Biztonsági, Szeku</t>
  </si>
  <si>
    <t>Biztonsági Őr, Nyugdíjas, Simon Józsi Apósa</t>
  </si>
  <si>
    <t>Rajos Víz, Ballon, Vízadagoló</t>
  </si>
  <si>
    <t>ZF Hungária Kft informatikus</t>
  </si>
  <si>
    <t>Kidobó, Biztonsági Őr, Bakó</t>
  </si>
  <si>
    <t>Trailer, Autóvontatás</t>
  </si>
  <si>
    <t>Kidobó Biztonsági Birkózó, Gilda</t>
  </si>
  <si>
    <t>Tóth Szabó Vendel Apukája</t>
  </si>
  <si>
    <t>Birkózó Könyv\, Sportkönyv</t>
  </si>
  <si>
    <t>Cafe Sherry</t>
  </si>
  <si>
    <t>East Side Arena &amp; Beach Miskolc</t>
  </si>
  <si>
    <t>Zumba Instruktor, Felvidék, Táncos</t>
  </si>
  <si>
    <t>Ivett/1</t>
  </si>
  <si>
    <t>Főorvos, Orvos, Urológus, Onkológus, Szakorvos, Szomszéd</t>
  </si>
  <si>
    <t>Fonyód, Óriási Mellek</t>
  </si>
  <si>
    <t>Kidobó, Biztonsági Őr, Hatvan, Mozgássérült Kísérő</t>
  </si>
  <si>
    <t>Jácint/1</t>
  </si>
  <si>
    <t>Jancsika/1</t>
  </si>
  <si>
    <t>Kidobó, Biztonsági Őr, Salgótarján</t>
  </si>
  <si>
    <t>Focimeccs, Biztonsági, Kidobó</t>
  </si>
  <si>
    <t>Janicsák</t>
  </si>
  <si>
    <t>Motilitás Fitness, Tinder</t>
  </si>
  <si>
    <t>Janka/1</t>
  </si>
  <si>
    <t>Jáno;Kromek/1</t>
  </si>
  <si>
    <t>Jobbik Magyarországért Mozgalom, nyelvtanár</t>
  </si>
  <si>
    <t>Kemény Ferenc Sportiskola és Általános Iskola</t>
  </si>
  <si>
    <t>Mezőkövesd, Box</t>
  </si>
  <si>
    <t>Bíboros Biztonsági Őr, Security, Kidobó</t>
  </si>
  <si>
    <t>Kidobó, Biztonsági Őr, Szűcs Ákos, Gyöngyös, Rendőr</t>
  </si>
  <si>
    <t>MVK Zrt.- A megbízható útitárs, Kidobó, Szeku, Biztonsági</t>
  </si>
  <si>
    <t>Mézes Gyömbéres Fűszeres Pálinka</t>
  </si>
  <si>
    <t>Keramikus, Bögre, Edény, Kerámia, Pöttyös</t>
  </si>
  <si>
    <t>Városgondozás Eger Önkormányzat</t>
  </si>
  <si>
    <t>Kidobó</t>
  </si>
  <si>
    <t>Biztonsági Őr, Security Kidobó, Verpelét</t>
  </si>
  <si>
    <t>Szinvapark Bevásárlóközpont</t>
  </si>
  <si>
    <t>Jenô;Bódi/1</t>
  </si>
  <si>
    <t>BB-Gym Miskolc</t>
  </si>
  <si>
    <t>Demjéni Fürdő, biztonsági főnök, Biztonsági, Kidobó</t>
  </si>
  <si>
    <t>Heves, Disco, Retro, Üzletvezető</t>
  </si>
  <si>
    <t>Kisterem - Eger</t>
  </si>
  <si>
    <t>Birkózó\\\, Kidobó\\\, Biztonsági Őr</t>
  </si>
  <si>
    <t>Kidobó, biztonsági őr, Gödör, Bolyki, Broadway</t>
  </si>
  <si>
    <t>Jobbik Ózd Vona Gáborral ügy</t>
  </si>
  <si>
    <t>XBody, Biztonsági, Kidobó</t>
  </si>
  <si>
    <t>Táplálékkiegészítő, Tápkieg</t>
  </si>
  <si>
    <t>Bóta Erika</t>
  </si>
  <si>
    <t>Adácsi Birkózó Club</t>
  </si>
  <si>
    <t>Kidobó, Biztonsági Őr, Csoma Gábor, Szilvásvárad</t>
  </si>
  <si>
    <t>Kidobó, Biztonsági Őr, Egyetem, Kézilabda</t>
  </si>
  <si>
    <t>Jubby</t>
  </si>
  <si>
    <t>Judi;Szerencsi/1</t>
  </si>
  <si>
    <t>MÁTRAMETÁL Kft Sirok</t>
  </si>
  <si>
    <t>Siroki Motoros Találkozó</t>
  </si>
  <si>
    <t>Blue Box, Gyöngyös, Jobbik IT</t>
  </si>
  <si>
    <t>MISEK Hospice</t>
  </si>
  <si>
    <t>DE! Akciócsoport, Választási Csalás</t>
  </si>
  <si>
    <t>Judit;Simon/1</t>
  </si>
  <si>
    <t>Lila fagyizó</t>
  </si>
  <si>
    <t>Tesco Pénzügyi Partner</t>
  </si>
  <si>
    <t>Kidobó, biztonsági őr, felvidék, Mag Erik</t>
  </si>
  <si>
    <t>K;Szentgyörgyi/1</t>
  </si>
  <si>
    <t>Kereskedelmi és Vendéglátóipari Szakközépiskola</t>
  </si>
  <si>
    <t>Óceán Stúdió Szépségszalon</t>
  </si>
  <si>
    <t>Magyar Birkózó Szövetség alelnök</t>
  </si>
  <si>
    <t>Kálmán Péter</t>
  </si>
  <si>
    <t>Speedbody Haraszti</t>
  </si>
  <si>
    <t>Wakeboard Kecskemét</t>
  </si>
  <si>
    <t>Köztársasági Őrezred / Dignitary Protection Service</t>
  </si>
  <si>
    <t>Karav;Pizza/1</t>
  </si>
  <si>
    <t>Focimeccs, Biztonsági, Kidobó, Szén</t>
  </si>
  <si>
    <t>jnt</t>
  </si>
  <si>
    <t>NAV</t>
  </si>
  <si>
    <t>Kidobó, Biztonsági Őr, Farkas Dezső, Bélapátfalva Apátság Őrzés</t>
  </si>
  <si>
    <t>Kidobó, Biztonsági Őr, Szolnok, Lóci</t>
  </si>
  <si>
    <t>Pest, Budapest, Maffia, Maffiózó, Gengszter, Milliárdos, Kovács Zsuzsi</t>
  </si>
  <si>
    <t>Miskolci Egyetem AIT, Fidesz</t>
  </si>
  <si>
    <t>Retro Motor Eger</t>
  </si>
  <si>
    <t>Dietetikus, Kőrösi Éva</t>
  </si>
  <si>
    <t>Kata;Kalina/1</t>
  </si>
  <si>
    <t>Tűzvédelmi Szakember</t>
  </si>
  <si>
    <t>Rugby Club Hotel</t>
  </si>
  <si>
    <t>Honvédkórház</t>
  </si>
  <si>
    <t>19-es</t>
  </si>
  <si>
    <t>Kati</t>
  </si>
  <si>
    <t>Bacchus Bogács Tulaj</t>
  </si>
  <si>
    <t>Sportorvosi Rendelő, Kórház, Orvos</t>
  </si>
  <si>
    <t>Kavics</t>
  </si>
  <si>
    <t>Kidobó, Biztonsági Őr, In-Kal Inkal</t>
  </si>
  <si>
    <t>Kidobó, Biztonsági Őr, Birkózó</t>
  </si>
  <si>
    <t>Kendő</t>
  </si>
  <si>
    <t>Kidobó, Forint, Stamp</t>
  </si>
  <si>
    <t>KenWood/1</t>
  </si>
  <si>
    <t>Kidobó, Biztonsági Őr, Recsk</t>
  </si>
  <si>
    <t>Kex/1</t>
  </si>
  <si>
    <t>MITISZK Nonprofit Kft.</t>
  </si>
  <si>
    <t>Tinder, Társkereső, Eger</t>
  </si>
  <si>
    <t>Óvónő</t>
  </si>
  <si>
    <t>Heves, Vastelep</t>
  </si>
  <si>
    <t>Elveszett kutya Beagle</t>
  </si>
  <si>
    <t>Prostituált, Kurva, Eger, Tinder</t>
  </si>
  <si>
    <t>Tinder, Társkereső, Instagram</t>
  </si>
  <si>
    <t>Ferenczi Sándor Egészségügyi Szakközépiskola</t>
  </si>
  <si>
    <t>Hostess</t>
  </si>
  <si>
    <t>Jósnő, Mesterjós, Tinder</t>
  </si>
  <si>
    <t>REMEK Salgótarján Rendezvényszervező</t>
  </si>
  <si>
    <t>KO söröző</t>
  </si>
  <si>
    <t>Kóczi/1</t>
  </si>
  <si>
    <t>Koleszár Csaba Asszonya</t>
  </si>
  <si>
    <t>Koleszár Csaba nővére</t>
  </si>
  <si>
    <t>Koli;Edi/1</t>
  </si>
  <si>
    <t>Kolos/1</t>
  </si>
  <si>
    <t>Swat Security, Kidobó, Biztonsági Őr</t>
  </si>
  <si>
    <t>Kórház/1</t>
  </si>
  <si>
    <t>Koripálya/1</t>
  </si>
  <si>
    <t>gárdista</t>
  </si>
  <si>
    <t>Cutler</t>
  </si>
  <si>
    <t>Rendőr, Nyomozó, Miskolc</t>
  </si>
  <si>
    <t>Eleven Events</t>
  </si>
  <si>
    <t>Jász-Trade Kft.</t>
  </si>
  <si>
    <t>Berlin</t>
  </si>
  <si>
    <t>Kovácsolt Vasrózsa</t>
  </si>
  <si>
    <t>Jobbik Magyarországért Mozgalom Eger 11-es vk.</t>
  </si>
  <si>
    <t>Kris;Balázs/1</t>
  </si>
  <si>
    <t>Uránia, Mozi, Fénytechnika</t>
  </si>
  <si>
    <t>Szilágyi Diáknap, SZEG</t>
  </si>
  <si>
    <t>Hang - Szín Musical és Színitanoda</t>
  </si>
  <si>
    <t>Kidobó, Biztonsági Őr, Lakó Tamás</t>
  </si>
  <si>
    <t>Tinder, Poligám</t>
  </si>
  <si>
    <t>Krisztián Bajári</t>
  </si>
  <si>
    <t>Miskolc Thai Box Team</t>
  </si>
  <si>
    <t>Kidobó, Biztonsági Őr, Budapest, Andrási József</t>
  </si>
  <si>
    <t>Kidobó, Biztonsági Őr, Heves, Halmajugra, Kutya, Kutyás Őr, Német Juhász, Kutya Kiképző, Kutya Iskola</t>
  </si>
  <si>
    <t>DJ, Jászberény, Krisz</t>
  </si>
  <si>
    <t>Kidobó, Biztonsági, Kick Box, Kecskemét, Gyöngyös</t>
  </si>
  <si>
    <t>L'acoustics hangosítás, színpadtechnika</t>
  </si>
  <si>
    <t>Jobbik, Jászberény, Jegyző, Parlament, Jog, Kodifikáció</t>
  </si>
  <si>
    <t>Szöllősy Áron ::: Szöllősy Richárd</t>
  </si>
  <si>
    <t>Kubuk</t>
  </si>
  <si>
    <t>Kuksi/1</t>
  </si>
  <si>
    <t>Laci;Kérészi/1</t>
  </si>
  <si>
    <t>MORDOR</t>
  </si>
  <si>
    <t>Magyar Közút</t>
  </si>
  <si>
    <t>Ózdi MMA K-1 Edző</t>
  </si>
  <si>
    <t>lak;Erdélyi/1</t>
  </si>
  <si>
    <t>Kidobó, Biztonsági Őr, Budai Igor</t>
  </si>
  <si>
    <t>Lala/1</t>
  </si>
  <si>
    <t>Lali;Csergő/1</t>
  </si>
  <si>
    <t>Lali/1</t>
  </si>
  <si>
    <t>Kidobó, Biztonsági Őr, Pécs, Duo-Imga Kft.</t>
  </si>
  <si>
    <t>Tinder, Gyöngyös, Társkereső</t>
  </si>
  <si>
    <t>Csanády Autószervíz, autószerelő</t>
  </si>
  <si>
    <t>Autószerelő Eger</t>
  </si>
  <si>
    <t>Heves, Rendőrség</t>
  </si>
  <si>
    <t>Dopeman, Dopehitel, Dopehajker</t>
  </si>
  <si>
    <t>Red Ring, portadőnök, kidobó, Kempo, küzdősport</t>
  </si>
  <si>
    <t>Birkózás, Bekecs, Szerencs</t>
  </si>
  <si>
    <t>Klinka-Geo Trans Kft. Bánya, Noszvaj</t>
  </si>
  <si>
    <t>Renault Megane Alkatrész</t>
  </si>
  <si>
    <t>Tornászoknál Masszőr, Gyógytornász, Gyógymasszőr, Gyúró,</t>
  </si>
  <si>
    <t>Vadász Bodony</t>
  </si>
  <si>
    <t>Zolnai István Barátja</t>
  </si>
  <si>
    <t>Kidobó, Biztonsági Őr, Szőke Gabi, Kerecsend</t>
  </si>
  <si>
    <t>Kidobó, Biztonsági Őr, Salgótarján, Gál Gyula</t>
  </si>
  <si>
    <t>Tűzvédelmi, Menekülési Terv</t>
  </si>
  <si>
    <t>Fidesz, Miskolc</t>
  </si>
  <si>
    <t>Kollégiumi elnök</t>
  </si>
  <si>
    <t>Nagy Aggregátor</t>
  </si>
  <si>
    <t>Kidobó, Biztonsági Őr, Miskolc</t>
  </si>
  <si>
    <t>Mi Hazánk Mozgalom</t>
  </si>
  <si>
    <t>Vízadagoló Automata, Ballonos Víz</t>
  </si>
  <si>
    <t>Jobbik, országgyűlési képviselő</t>
  </si>
  <si>
    <t>Tőserdő, Lakitelek, Kecskemét 💛</t>
  </si>
  <si>
    <t>Pláza Fitness Eger</t>
  </si>
  <si>
    <t>Leg;Adrieenn/1</t>
  </si>
  <si>
    <t>Lengyel Helga</t>
  </si>
  <si>
    <t>UEFA Bajnokok Ligája, SWAT, szervező, Rendezvény</t>
  </si>
  <si>
    <t>Kossuth Zsuzsanna Szakközépiskola, Szakiskola és Kollégium Eger</t>
  </si>
  <si>
    <t>Kidobó, Biztonsági Őr, Mezőkövesd, Hudik Gellért</t>
  </si>
  <si>
    <t>Még sehol.</t>
  </si>
  <si>
    <t>Levente/1</t>
  </si>
  <si>
    <t>Lila</t>
  </si>
  <si>
    <t>Badoo</t>
  </si>
  <si>
    <t>Tinder, Társkereső, Bombmaker, Fodrász, Sminkes</t>
  </si>
  <si>
    <t>Mk-Audiológia</t>
  </si>
  <si>
    <t>Artist Kávézó és Bár</t>
  </si>
  <si>
    <t>Karate</t>
  </si>
  <si>
    <t>Restaurant City</t>
  </si>
  <si>
    <t>Bolyki Szülinap, Tinder</t>
  </si>
  <si>
    <t>Miskolci Egyetem Gépészmérnöki és Informatikai Kar</t>
  </si>
  <si>
    <t>Tinder, Jászjákóhalma</t>
  </si>
  <si>
    <t>Radiorent Kft.</t>
  </si>
  <si>
    <t>Lilla;Sike/1</t>
  </si>
  <si>
    <t>Lilucc/1</t>
  </si>
  <si>
    <t>Magyar Birkózó Szövetség, Pannon Sport</t>
  </si>
  <si>
    <t>Lóci</t>
  </si>
  <si>
    <t>Kidobó, Biztonsági Őr, Fradi, Fölgye</t>
  </si>
  <si>
    <t>Kidobó, Biztonsági Őr, Szása, Halmay Csaba</t>
  </si>
  <si>
    <t>Budapest, magánkollégium, kollégium</t>
  </si>
  <si>
    <t>Tinder, Cutler, Eger, Orvos, Altatós, Aneszteziológus, Rehabos, Gyógytornát Csinált A Kondiban</t>
  </si>
  <si>
    <t>Pultos, Karszalagos</t>
  </si>
  <si>
    <t>Titkár</t>
  </si>
  <si>
    <t>Majoros Anna Júlia</t>
  </si>
  <si>
    <t>Mama mobil</t>
  </si>
  <si>
    <t>Már;Pogonyi/1</t>
  </si>
  <si>
    <t>Csiszár Péter</t>
  </si>
  <si>
    <t>Szépasszonyvölgy Buli</t>
  </si>
  <si>
    <t>Humbák Borkápolna Eger, Szeged, Budapest</t>
  </si>
  <si>
    <t>Lights Off, Kidobó, Biztonsági Őr, Budapest, Sík Bence, Vízilabda</t>
  </si>
  <si>
    <t>Marci;Gordos/1</t>
  </si>
  <si>
    <t>Balneo Hotel Zsori Thermal &amp; Wellness ****</t>
  </si>
  <si>
    <t>Judo, Magyar Judo Szövetség</t>
  </si>
  <si>
    <t>Parlament, Demokráciajáték</t>
  </si>
  <si>
    <t>Mari;Pók/1</t>
  </si>
  <si>
    <t>Ápoló</t>
  </si>
  <si>
    <t>Agria Volán szabó</t>
  </si>
  <si>
    <t>MMA Küzdősportos, TKD</t>
  </si>
  <si>
    <t>Edzőmaszk Eladó, Budapest, Training Mask Elevation</t>
  </si>
  <si>
    <t>Kidobó, Szeku, Security, MMA, FTC, Fradi Biztonsági, Kidobó</t>
  </si>
  <si>
    <t>Unix Autó Eger</t>
  </si>
  <si>
    <t>Szervező, Mozi, Uránia, Rock Koncert, Téveszme</t>
  </si>
  <si>
    <t>Márk;Bartha/1</t>
  </si>
  <si>
    <t>Dorog, Birkózás, Cipő, Birkózócipő, Lévai</t>
  </si>
  <si>
    <t>Svájc, Nógrád</t>
  </si>
  <si>
    <t>Allure, Cutler</t>
  </si>
  <si>
    <t>Sörgödör Mezőkövesd</t>
  </si>
  <si>
    <t>Mini Grill Büfé</t>
  </si>
  <si>
    <t>Szigetvár</t>
  </si>
  <si>
    <t>Gárdonyi Géza Ciszterci Gimnázium, Eger</t>
  </si>
  <si>
    <t>Borsodi Sörgyár Zrt.</t>
  </si>
  <si>
    <t>Összefogás Párt</t>
  </si>
  <si>
    <t>Kidobó, Biztonsági Őr, Betyársereg, BS, Debrecen</t>
  </si>
  <si>
    <t>Meex</t>
  </si>
  <si>
    <t>Mátra volán</t>
  </si>
  <si>
    <t>Update Pékség &amp; Kávézó Eger</t>
  </si>
  <si>
    <t>Cinema Agria és Uránia Mozi</t>
  </si>
  <si>
    <t>Matyi/1</t>
  </si>
  <si>
    <t>MyrPics</t>
  </si>
  <si>
    <t>MC DC</t>
  </si>
  <si>
    <t>Megaburger</t>
  </si>
  <si>
    <t>Gyöngyös Blue Box, Elysium</t>
  </si>
  <si>
    <t>Tinder, Miskolc, Ingatlanos</t>
  </si>
  <si>
    <t>B.A.Z Megyei Önkormányzat. GEH</t>
  </si>
  <si>
    <t>Melody</t>
  </si>
  <si>
    <t>Melody/1</t>
  </si>
  <si>
    <t>Rúdtánc</t>
  </si>
  <si>
    <t>Mésza/1</t>
  </si>
  <si>
    <t>Lengyel Masszőr Birkózás</t>
  </si>
  <si>
    <t>Emese Tinder</t>
  </si>
  <si>
    <t>Kidobó Biztonsági Őr, Kükk Team, Sziget SC,</t>
  </si>
  <si>
    <t>Rendőr, Artiszt Bisztró, Korpás Zsolti Haverja</t>
  </si>
  <si>
    <t>Valton Security, Kidobó</t>
  </si>
  <si>
    <t>Bíboros, Kidobó, Biztonsági Őr</t>
  </si>
  <si>
    <t>Mito + a haverok</t>
  </si>
  <si>
    <t>Kidobó, Biztonsági Őr, Rendőr</t>
  </si>
  <si>
    <t>Miriam</t>
  </si>
  <si>
    <t>EKE JC</t>
  </si>
  <si>
    <t>ESMTK, Birkózás</t>
  </si>
  <si>
    <t>vona Gábor Jobbik</t>
  </si>
  <si>
    <t>mobil;Adidas/1</t>
  </si>
  <si>
    <t>Dream Media Budapest</t>
  </si>
  <si>
    <t>Móni/1</t>
  </si>
  <si>
    <t>Országos Mentőszolgálat, Mentő</t>
  </si>
  <si>
    <t>Morzsa</t>
  </si>
  <si>
    <t>Mózi/1</t>
  </si>
  <si>
    <t>MS</t>
  </si>
  <si>
    <t>Rockwell Club</t>
  </si>
  <si>
    <t>Feró-Véd '06 Kft</t>
  </si>
  <si>
    <t>Birkózás, Azerbajdzsán, AZE</t>
  </si>
  <si>
    <t>Lélekgyógyász</t>
  </si>
  <si>
    <t>KOZMETIKUS</t>
  </si>
  <si>
    <t>Anyának Lenni Jó</t>
  </si>
  <si>
    <t>Néni;Ildi/1</t>
  </si>
  <si>
    <t>Néni;Maja/1</t>
  </si>
  <si>
    <t>Nénje;Práj/1</t>
  </si>
  <si>
    <t>Niki;Erdélyi/1</t>
  </si>
  <si>
    <t>Fogorvos</t>
  </si>
  <si>
    <t>DJ Free</t>
  </si>
  <si>
    <t>Mango Bar</t>
  </si>
  <si>
    <t>NCIS (Naval Criminal Investigative Service)</t>
  </si>
  <si>
    <t>Vagyonőr, Kidobó, Biztonsági Őr</t>
  </si>
  <si>
    <t>Bárdi Autó Eger</t>
  </si>
  <si>
    <t>Nagyréde, Scharioth Birtok Szomszéd</t>
  </si>
  <si>
    <t>Polgármesteri Hivatal Sárospatak</t>
  </si>
  <si>
    <t>Birkózócipő, Birkózómez, Cipő, Mez, Birkózás</t>
  </si>
  <si>
    <t>Birkózás, Birkózó, ITA, GEO, Grúz, Olasz, 97 kg</t>
  </si>
  <si>
    <t>Nixi/1</t>
  </si>
  <si>
    <t>Bartók Music, Hangtechnika, Fény, Színpad, Mezőkövesd</t>
  </si>
  <si>
    <t>Miskolc pláza körmös üzlet</t>
  </si>
  <si>
    <t>Wrestler</t>
  </si>
  <si>
    <t>Kozmetikus, Ózd, Pest</t>
  </si>
  <si>
    <t>Norber;Bíró/1</t>
  </si>
  <si>
    <t>Bélapátfalva Rendőrség, Miklós Gábor Kolléga</t>
  </si>
  <si>
    <t>Játékboltos</t>
  </si>
  <si>
    <t>Kidobó, Biztonsági Őr, Pláza Fitness</t>
  </si>
  <si>
    <t>Kidobó, Biztonsági Őr, Kazincbarcika</t>
  </si>
  <si>
    <t>Kidobó, Biztonsági Őr, Valentényi Sándor, Budapest</t>
  </si>
  <si>
    <t>Hunyadi Kft, Budapest, Berzenczey úti albérlő</t>
  </si>
  <si>
    <t>Magyar MMA Országos Küzdősport Szövetség, Magyar MMA Premium Lig</t>
  </si>
  <si>
    <t>Petrény Borászat</t>
  </si>
  <si>
    <t>PK Security, Kidobó, Biztonsági Őr</t>
  </si>
  <si>
    <t>OMV</t>
  </si>
  <si>
    <t>Kidobó, Biztonsági Őr, Valton, Bor Piknik Fesztivál Vajdahunyad Vára, Rosalia Borpiknik, Tiltott</t>
  </si>
  <si>
    <t>Biztonsági Őr, Budapest, Vagyonőr Két Ujj</t>
  </si>
  <si>
    <t>Hangover Party</t>
  </si>
  <si>
    <t>Szűcs Ákos</t>
  </si>
  <si>
    <t>Nszabi87</t>
  </si>
  <si>
    <t>Jobbik Magyarországért Mozgalom Iroda</t>
  </si>
  <si>
    <t>István Korán</t>
  </si>
  <si>
    <t>Macok Bisztró</t>
  </si>
  <si>
    <t>Tinder, Óvodapedagógus, Óvónő</t>
  </si>
  <si>
    <t>Ostoba Fortunás Cigány</t>
  </si>
  <si>
    <t>Oth;Szabolcsék/1</t>
  </si>
  <si>
    <t>Jobbik Magyarországért Mozgalom, Fő utca</t>
  </si>
  <si>
    <t>Otp</t>
  </si>
  <si>
    <t>Ottho;Dorkó/1</t>
  </si>
  <si>
    <t>Otthoni</t>
  </si>
  <si>
    <t>ESMTK,ESMTK, birkózás, Erzsébetváros</t>
  </si>
  <si>
    <t>Ozsi/1</t>
  </si>
  <si>
    <t>Box</t>
  </si>
  <si>
    <t>Pali/1</t>
  </si>
  <si>
    <t>Békafütty Pénztárca</t>
  </si>
  <si>
    <t>Camelot, Tiszaújváros</t>
  </si>
  <si>
    <t>Papa és Mama</t>
  </si>
  <si>
    <t>Papó/1</t>
  </si>
  <si>
    <t>Párshow/1</t>
  </si>
  <si>
    <t>Pászthy Lajos szomszédja</t>
  </si>
  <si>
    <t>Pásztó</t>
  </si>
  <si>
    <t>Eszterházy Károly Főiskola Gyakorló Általános Iskola</t>
  </si>
  <si>
    <t>Suli</t>
  </si>
  <si>
    <t>Elégségest Petinek</t>
  </si>
  <si>
    <t>Kidobó, Biztonsági Őr, Kutya, K9, Halmajugra, Heves</t>
  </si>
  <si>
    <t>Patrick/1</t>
  </si>
  <si>
    <t>Oszkár, Eger - Budapest</t>
  </si>
  <si>
    <t>Kidobó, Biztonsági Őr, Pásztó, Bátony, Robinson</t>
  </si>
  <si>
    <t>Broadway, BRDWY, Liget</t>
  </si>
  <si>
    <t>Patt/1</t>
  </si>
  <si>
    <t>Pécsi;Lolita/1</t>
  </si>
  <si>
    <t>Pesti Fasz</t>
  </si>
  <si>
    <t>Peter</t>
  </si>
  <si>
    <t>Birkózás, Új-Szövetség a Birkózásért, Magyar Birkózó Szövetség</t>
  </si>
  <si>
    <t>Kidobó Biztonsági Őr, Tűzoltó</t>
  </si>
  <si>
    <t>Blue Box Parkoló</t>
  </si>
  <si>
    <t>Kidobó, Biztonsági Őr, Szekeres Péter, Sirok</t>
  </si>
  <si>
    <t>University of Miskolc</t>
  </si>
  <si>
    <t>Dodo Tech</t>
  </si>
  <si>
    <t>Kidobó, Biztonsági Őr, Veszprém</t>
  </si>
  <si>
    <t>Jobbik Magyarországért Mozgalom - ÓZD</t>
  </si>
  <si>
    <t>miskolc, rockwell, kidobó, focimeccs, Borsodchem</t>
  </si>
  <si>
    <t>Rock Koncert Uránia</t>
  </si>
  <si>
    <t>Kidobó, Biztonsági Őr, Meki, McDonald's</t>
  </si>
  <si>
    <t>Kastélykert Verpelét</t>
  </si>
  <si>
    <t>Bélapátfalva Csirketelep, Pünkösdvölgy tanya</t>
  </si>
  <si>
    <t>Jobbik BAZ megyei és miskolci iroda, Miskolc MJV</t>
  </si>
  <si>
    <t>Politikus, Influencer</t>
  </si>
  <si>
    <t>Robinson Szigetek, Szécsény, Fesztivál</t>
  </si>
  <si>
    <t>Kidobó, Biztonsági Őr, Laczlan János, Mag Erik, Ózd</t>
  </si>
  <si>
    <t>TFS Security, Kamera Rendszer</t>
  </si>
  <si>
    <t>Pázmány Baráti Kör</t>
  </si>
  <si>
    <t>Kidobó, Biztonsági Őr, Seres Laci</t>
  </si>
  <si>
    <t>Gyöngyös Rendőrfőkapitányság</t>
  </si>
  <si>
    <t>Fekete Pisti</t>
  </si>
  <si>
    <t>Kidobó, Maffia, Fight, Küzdősport</t>
  </si>
  <si>
    <t>Negro Café</t>
  </si>
  <si>
    <t>Péter Zsadányi</t>
  </si>
  <si>
    <t>Peti;Bárdos/1</t>
  </si>
  <si>
    <t>Neon Club Eger</t>
  </si>
  <si>
    <t>BioTech USA HU</t>
  </si>
  <si>
    <t>Szilvásvárad Jegyző</t>
  </si>
  <si>
    <t>Rtl Klub</t>
  </si>
  <si>
    <t>Toolex kft</t>
  </si>
  <si>
    <t>Philharmonics</t>
  </si>
  <si>
    <t>Pi;Bumeráng/2</t>
  </si>
  <si>
    <t>Pinyon</t>
  </si>
  <si>
    <t>Broadway Productions, Brdwy</t>
  </si>
  <si>
    <t>Pióca</t>
  </si>
  <si>
    <t>aha</t>
  </si>
  <si>
    <t>Tinder, Székesfehérvár</t>
  </si>
  <si>
    <t>Demjéni Fürdő</t>
  </si>
  <si>
    <t>Herczeg Dekor</t>
  </si>
  <si>
    <t>Betyársereg, Kidobó, Biztonsági Őr</t>
  </si>
  <si>
    <t>Pizza</t>
  </si>
  <si>
    <t>Pizza;Pesti/1</t>
  </si>
  <si>
    <t>Prima pizza</t>
  </si>
  <si>
    <t>Próba</t>
  </si>
  <si>
    <t>puk</t>
  </si>
  <si>
    <t>Kidobó, Biztonsági Őr, Ózd, Küzdősport</t>
  </si>
  <si>
    <t>Rásó</t>
  </si>
  <si>
    <t>Rio, Ózd</t>
  </si>
  <si>
    <t>Kerámia, Keramikus, Bögre</t>
  </si>
  <si>
    <t>Kutya, Eger</t>
  </si>
  <si>
    <t>Rebi2</t>
  </si>
  <si>
    <t>Rég;Mischinger/1</t>
  </si>
  <si>
    <t>régi;Anyu/1</t>
  </si>
  <si>
    <t>Tinder, Társkereső, Rendőr, Személyi Edző, Crossfit, Pesterzsébet</t>
  </si>
  <si>
    <t>Inter-Ausztria Kft.</t>
  </si>
  <si>
    <t>Tanárnő, pvg</t>
  </si>
  <si>
    <t>Cutler Fitness by Allure</t>
  </si>
  <si>
    <t>Ózd, Jobbik</t>
  </si>
  <si>
    <t>Egy Tündér</t>
  </si>
  <si>
    <t>Személyi Edző, Találkozási Tanácsadó, Élelmiszermérnök</t>
  </si>
  <si>
    <t>I ❤️ Gym</t>
  </si>
  <si>
    <t>Fitness Tinder</t>
  </si>
  <si>
    <t>Kidobó, Biztonsági Őr, Pécs</t>
  </si>
  <si>
    <t>Forgách Gyuszi</t>
  </si>
  <si>
    <t>Renault Téligumival Alufelni</t>
  </si>
  <si>
    <t>Markhot Ferenc Kórház</t>
  </si>
  <si>
    <t>Fradi (Ferencvárosi Torna Club)</t>
  </si>
  <si>
    <t>Richárd Bernát</t>
  </si>
  <si>
    <t>Kidobó, Biztonsági, Peak</t>
  </si>
  <si>
    <t>Kidobó, Biztonsági Őr, Hatvan Mák Zsolti</t>
  </si>
  <si>
    <t>Kidobó, Biztonsági Őr, Kállai Ricsi</t>
  </si>
  <si>
    <t>Veres Valentin</t>
  </si>
  <si>
    <t>Kidobó, Biztonsági Őr, Miskolc, Jitsu, EKE</t>
  </si>
  <si>
    <t>RIO/1</t>
  </si>
  <si>
    <t>Tinder, Eger, Szépségszalon, Szőrtelenítés</t>
  </si>
  <si>
    <t>Püspökladány Birkózás</t>
  </si>
  <si>
    <t>Magyar Telekom</t>
  </si>
  <si>
    <t>Pránanadi tanár mester</t>
  </si>
  <si>
    <t>K&amp;H Bank Zrt.</t>
  </si>
  <si>
    <t>Fotós</t>
  </si>
  <si>
    <t>Kidobó, Biztonsági Őr, Szilvásvárad, Lovas Csarnok, Ménesgazdaság, Éjjeli Őr</t>
  </si>
  <si>
    <t>Küzdősport, Boxoló, Biztonsági Őr, Security, Kidobó</t>
  </si>
  <si>
    <t>Kidobó Biztonsági Őr, Vagyonőr</t>
  </si>
  <si>
    <t>Android Fejlesztő, Bíboros</t>
  </si>
  <si>
    <t>Verpelét, Szekeres Peti, 2 Kutya, Cigány</t>
  </si>
  <si>
    <t>Ráki Csaba BRDWY Productions, Hangosítás</t>
  </si>
  <si>
    <t>Heves Megyei Katasztrófavédelem, Katasztrófavédő Eger</t>
  </si>
  <si>
    <t>MMA szövetség, Jobbik Magyarországért Mozgalom</t>
  </si>
  <si>
    <t>CBF Invest, Tőzsde, . Binary Option</t>
  </si>
  <si>
    <t>Andornaktálya, Szilveszter Buli Szervező</t>
  </si>
  <si>
    <t>Fotós Fényképész</t>
  </si>
  <si>
    <t>Roland</t>
  </si>
  <si>
    <t>Vértessomlói Jobbik Szervezet</t>
  </si>
  <si>
    <t>Kidobó, Biztonsági Őr, Szabó Alex, Cutler, Téglagyári Tó</t>
  </si>
  <si>
    <t>Plexi</t>
  </si>
  <si>
    <t>TIMBER LAKE WEST CAMP</t>
  </si>
  <si>
    <t>Telenor</t>
  </si>
  <si>
    <t>Ruha Dealer, Gas, Springfield</t>
  </si>
  <si>
    <t>Loading... ██████████████] 99%</t>
  </si>
  <si>
    <t>Rövid;Baleset/1</t>
  </si>
  <si>
    <t>Rózsafutár/7</t>
  </si>
  <si>
    <t>S;Könyvtári/1</t>
  </si>
  <si>
    <t>Gyöngyös, Rendőrség, Rendőr</t>
  </si>
  <si>
    <t>Gyöngyös Üzem Biztosítás</t>
  </si>
  <si>
    <t>DBC</t>
  </si>
  <si>
    <t>Zemplén Security, Kidobó</t>
  </si>
  <si>
    <t>Sany;Csehovics/1</t>
  </si>
  <si>
    <t>Sanyi;Pogonyi/1</t>
  </si>
  <si>
    <t>Sári/1</t>
  </si>
  <si>
    <t>OptionBit</t>
  </si>
  <si>
    <t>SCR-Design | Hegedűs Ádám Imre</t>
  </si>
  <si>
    <t>Seres Légiós Szomszédja</t>
  </si>
  <si>
    <t>Insular-Tech Kft.</t>
  </si>
  <si>
    <t>Soós/1</t>
  </si>
  <si>
    <t>Sportorvosi/1</t>
  </si>
  <si>
    <t>Tinder, Veresegyház</t>
  </si>
  <si>
    <t>sz.dori01</t>
  </si>
  <si>
    <t>Vízilabda 🤽‍♂️</t>
  </si>
  <si>
    <t>Peak Ricsi Felesége</t>
  </si>
  <si>
    <t>Tomin Márton</t>
  </si>
  <si>
    <t>Wrestling</t>
  </si>
  <si>
    <t>FBI – Federal Bureau of Investigation</t>
  </si>
  <si>
    <t>Agriaflora</t>
  </si>
  <si>
    <t>East Komp Kft, Kempo, Mma, Kuzdosport</t>
  </si>
  <si>
    <t>Medieval Motoros Club, Betyársereg, Betyár, Cseh Pisti</t>
  </si>
  <si>
    <t>Gyöngyös Építkezés, Őrzés, Telephely</t>
  </si>
  <si>
    <t>Rocky, kidobó, meccs</t>
  </si>
  <si>
    <t>Jázon, Négyes, Szentistván</t>
  </si>
  <si>
    <t>Birkózás, orvos, Szent János Kórház</t>
  </si>
  <si>
    <t>Kecskeméti Kidobó</t>
  </si>
  <si>
    <t>Szabolcs/1</t>
  </si>
  <si>
    <t>Szandi;Nagy/1</t>
  </si>
  <si>
    <t>Szandi/1</t>
  </si>
  <si>
    <t>Szaxi</t>
  </si>
  <si>
    <t>Szemfeny/1</t>
  </si>
  <si>
    <t>Szemfényvesztö/1</t>
  </si>
  <si>
    <t>Szevcsik Zsuzsanna</t>
  </si>
  <si>
    <t>Szigetva;Pizza/1</t>
  </si>
  <si>
    <t>Szil;Buszos/1</t>
  </si>
  <si>
    <t>Kleopátra</t>
  </si>
  <si>
    <t>Teva Magyarország Zrt.</t>
  </si>
  <si>
    <t>Tri-busz BT</t>
  </si>
  <si>
    <t>Tiszafüredi DJ Fesztivál</t>
  </si>
  <si>
    <t>T-mobile 5 jegyű kód</t>
  </si>
  <si>
    <t>Marketing Salgótarján</t>
  </si>
  <si>
    <t>Kidobó, Biztonsági Őr, MMA</t>
  </si>
  <si>
    <t>Kidobó, Biztonsági Őr, Szén Józsi</t>
  </si>
  <si>
    <t>Miskolci Tűzoltóság</t>
  </si>
  <si>
    <t>Kidobó, Biztonsági Őr, Gergyesi Feri, Judo</t>
  </si>
  <si>
    <t>Bóta Stage, Villanyszerelés, Áram</t>
  </si>
  <si>
    <t>Kempo, Küzdősport, Masszőr, Gyógytornász</t>
  </si>
  <si>
    <t>DJ Deka, Üzletvezető, Mezőkövesd Pubi Café</t>
  </si>
  <si>
    <t>Fidesz</t>
  </si>
  <si>
    <t>Karl Media Group, Pro On Agency</t>
  </si>
  <si>
    <t>Kidobó, Biztonsági Őr, Pest, Cinema Hall</t>
  </si>
  <si>
    <t>Pránanadi, gyógyító, segítő</t>
  </si>
  <si>
    <t>Bikini Pool Party</t>
  </si>
  <si>
    <t>Reklámpékség</t>
  </si>
  <si>
    <t>Fidesz Magyar Polgári Szövetség, vízilabda, Fidelitas</t>
  </si>
  <si>
    <t>Kidobó, Biztonsági Őr, Szabó Martin</t>
  </si>
  <si>
    <t>Vona Gábor személyi testőre</t>
  </si>
  <si>
    <t>Tamás Lévai</t>
  </si>
  <si>
    <t>Rocky, rockwell, kidobó</t>
  </si>
  <si>
    <t>M1 Fitness Miskolc</t>
  </si>
  <si>
    <t>Hangtechnika</t>
  </si>
  <si>
    <t>Kidobó, Biztonsági Őr, Küzdősport, Halmay, Mezőkövesd, Box</t>
  </si>
  <si>
    <t>Kidobó, Biztonsági Őr, Bakó József, Eger</t>
  </si>
  <si>
    <t>Fogtechnikus</t>
  </si>
  <si>
    <t>AIBoost, Ibis Hotel Konferencia, Workshop</t>
  </si>
  <si>
    <t>Biztonsági Őr, Kidobó</t>
  </si>
  <si>
    <t>Videós</t>
  </si>
  <si>
    <t>Jobbik, Vona Gábor ügyintézője</t>
  </si>
  <si>
    <t>Kömlő polgármester</t>
  </si>
  <si>
    <t>Kidobó, Biztonsági, Feszt!Eger Fesztivál</t>
  </si>
  <si>
    <t>Megrendelő, Építkezés</t>
  </si>
  <si>
    <t>Automobil Eger</t>
  </si>
  <si>
    <t>Kazincbarcika - Sajókaza vonalon</t>
  </si>
  <si>
    <t>Törvényház Kávézó</t>
  </si>
  <si>
    <t>Tesco ügyfélszolgálat</t>
  </si>
  <si>
    <t>Eger tesco, egri tesco</t>
  </si>
  <si>
    <t>tesó;Dóri/1</t>
  </si>
  <si>
    <t>tesó;Malik/1</t>
  </si>
  <si>
    <t>Kidobó, Biztonsági Őr, Újpest, Foci Meccs Focimeccs</t>
  </si>
  <si>
    <t>Viczián Tamás</t>
  </si>
  <si>
    <t>Rendőrség, Pétervására, Alezredes</t>
  </si>
  <si>
    <t>Kidobó, Biztonsági Őr, Kszel Zsolt</t>
  </si>
  <si>
    <t>Rockwell, Rocky</t>
  </si>
  <si>
    <t>Orvos, OxyRose, Háziorvos</t>
  </si>
  <si>
    <t>Birkózás Jászapáti</t>
  </si>
  <si>
    <t>Siroki Motoros Találkozó portafőnök, Biztonsági Őr, Security, Ki</t>
  </si>
  <si>
    <t>MSZP, Magyar Szocialista Párt</t>
  </si>
  <si>
    <t>Sziget Fesztivál</t>
  </si>
  <si>
    <t>Influencer, Vadász Fanni</t>
  </si>
  <si>
    <t>Chippendale</t>
  </si>
  <si>
    <t>Fodrász, Eger, Tinder</t>
  </si>
  <si>
    <t>Timi;Pogonyi/1</t>
  </si>
  <si>
    <t>Szállás Pár Órára</t>
  </si>
  <si>
    <t>RockWell Klub</t>
  </si>
  <si>
    <t>Tomi;Kelemen/1</t>
  </si>
  <si>
    <t>DJ, Blue Box, Gyöngyös</t>
  </si>
  <si>
    <t>Springfield man &amp; woman</t>
  </si>
  <si>
    <t>AVM</t>
  </si>
  <si>
    <t>Tóth Tamás</t>
  </si>
  <si>
    <t>Tün;KutyaBoxer/1</t>
  </si>
  <si>
    <t>Blue Box Pultos, Red Ring</t>
  </si>
  <si>
    <t>Bükkalja Borozó, Bogácsi Pincesor</t>
  </si>
  <si>
    <t>Salgótarján, Tinder, Társkereső</t>
  </si>
  <si>
    <t>The Feelgood</t>
  </si>
  <si>
    <t>Új;Adrienn/1</t>
  </si>
  <si>
    <t>új;Barbee/1</t>
  </si>
  <si>
    <t>Új;Ildi/1</t>
  </si>
  <si>
    <t>Új;Matyi/1</t>
  </si>
  <si>
    <t>Új;Pali/1</t>
  </si>
  <si>
    <t>Üzlet;Birkò/1</t>
  </si>
  <si>
    <t>Valaki</t>
  </si>
  <si>
    <t>Kidobó, Biztonsági Őr, Benes Gergő, Erőemelő, HQ4</t>
  </si>
  <si>
    <t>Kéményseprők Országos Szakszervezete</t>
  </si>
  <si>
    <t>Angol Nyelvtanár, Tanár, Tinder</t>
  </si>
  <si>
    <t>Pictures from Silence</t>
  </si>
  <si>
    <t>Varrónő</t>
  </si>
  <si>
    <t>szabó</t>
  </si>
  <si>
    <t>Karcag, Tinder, Ukrán, Orosz</t>
  </si>
  <si>
    <t>Tinder, Személyi Edző, Budapest</t>
  </si>
  <si>
    <t>Vikto;Kabát/1</t>
  </si>
  <si>
    <t>Kidobó, Biztonsági Őr, Bakó Józsi</t>
  </si>
  <si>
    <t>Lights Off Ügyvezető Igazgató</t>
  </si>
  <si>
    <t>CTDI Kft</t>
  </si>
  <si>
    <t>Fotós Fotoviktor</t>
  </si>
  <si>
    <t>Eu-k security, biztonsági, kidobó, rockwell</t>
  </si>
  <si>
    <t>Gyöngyös, Ügyvéd</t>
  </si>
  <si>
    <t>Szemere Bertalan Szakképző és Művészeti Középiskola</t>
  </si>
  <si>
    <t>Sike András</t>
  </si>
  <si>
    <t>András Sike</t>
  </si>
  <si>
    <t>Tinder, Debrecen, Személyi Edző</t>
  </si>
  <si>
    <t>Polever, Tinder, Rúdtáncos</t>
  </si>
  <si>
    <t>Király szolárium szalon</t>
  </si>
  <si>
    <t>Magyar Telekom Nyrt.</t>
  </si>
  <si>
    <t>Eger, Egri Vár Biztonsági Őr Főnök, Biztonsági Őr, Security, Kid</t>
  </si>
  <si>
    <t>Tarnaörs, Főnix Pizzéria</t>
  </si>
  <si>
    <t>EKF Koli gondnok</t>
  </si>
  <si>
    <t>Pörzse Virág Fogorvos</t>
  </si>
  <si>
    <t>Vivi;Malik/1</t>
  </si>
  <si>
    <t>Street Workout</t>
  </si>
  <si>
    <t>Náci Tetkós Csaj</t>
  </si>
  <si>
    <t>Kézilabda Miskolc</t>
  </si>
  <si>
    <t>Közgazdasági Gimnázium Eger</t>
  </si>
  <si>
    <t>Vivien Beautician</t>
  </si>
  <si>
    <t>Rozsdás Rákolló</t>
  </si>
  <si>
    <t>Volán;Agria/1</t>
  </si>
  <si>
    <t>Dispomedicor Zrt.</t>
  </si>
  <si>
    <t>WPB Céges 1</t>
  </si>
  <si>
    <t>Goa Party</t>
  </si>
  <si>
    <t>Recover Corner</t>
  </si>
  <si>
    <t>Zebra Design</t>
  </si>
  <si>
    <t>Hintóvölgye Borozó Bogács</t>
  </si>
  <si>
    <t>Zoln;István/1</t>
  </si>
  <si>
    <t>Zolt;Balázs/1</t>
  </si>
  <si>
    <t>CESTE</t>
  </si>
  <si>
    <t>EUK, Kecskés Csabi, Jánosik, Pesti előadás biztonsági vezető</t>
  </si>
  <si>
    <t>Jobbik Magyarországért Mozgalom, Iránytű Intézet</t>
  </si>
  <si>
    <t>Kidobó, Biztonsági Őr, Seres László, Verpelét</t>
  </si>
  <si>
    <t>Jobbik biztonsági szervező</t>
  </si>
  <si>
    <t>HVIM, Hatvannégy Vármegye Ifjúsági Mozgalom</t>
  </si>
  <si>
    <t>Kovács Kft, Biztonsági Őr, Security, Kidobó</t>
  </si>
  <si>
    <t>ESN Hungary (Erasmus Student Network)</t>
  </si>
  <si>
    <t>Imola cégcsoport - biztonsági vezető Biztonsági Őr, Security, Kidobó</t>
  </si>
  <si>
    <t>Jobbik Magyarországért Mozgalom, Miskolc</t>
  </si>
  <si>
    <t>Jobbik Magyaroeszágért Mozgalom</t>
  </si>
  <si>
    <t>Szépasszony Völgy Ostoros Pince</t>
  </si>
  <si>
    <t>Biztonsági, Kidobó, Küzdősport</t>
  </si>
  <si>
    <t>Uránia Mozi, Eger, Márai Központ</t>
  </si>
  <si>
    <t>Labirintus Tattoo</t>
  </si>
  <si>
    <t>Zsiráf</t>
  </si>
  <si>
    <t>Jobbik Magyarországért Mozgalom Vona Gábor Testőr</t>
  </si>
  <si>
    <t>Eger Mozi, Beta, Bejelentő</t>
  </si>
  <si>
    <t>Jászberény</t>
  </si>
  <si>
    <t>Csepeli birkózó club</t>
  </si>
  <si>
    <t>Halmajugra, Tarnazsadány</t>
  </si>
  <si>
    <t>Kidobó, Biztonsági Őr, Kecskemét, Kutya Kaja, Paleolit Diéta</t>
  </si>
  <si>
    <t>Felnémeti Macok Fesztivál tulaj</t>
  </si>
  <si>
    <t>Kidobó Biztonsági PannonSec bűnmegelőzési Zrt</t>
  </si>
  <si>
    <t>Mezőkövesd szűcs</t>
  </si>
  <si>
    <t>Küzdősport, Karate, Biztonsági Őr, Security, Kidobó</t>
  </si>
  <si>
    <t>Gym, Kidobó, Biztonsági Őr, Hatvan</t>
  </si>
  <si>
    <t>Orvos, Fogorvos</t>
  </si>
  <si>
    <t>CsanáDI ÁrpáD Általános Iskola és Gimnázium</t>
  </si>
  <si>
    <t>Magyar Honvédség</t>
  </si>
  <si>
    <t>Kidobó, Biztonsági Őr, Vági</t>
  </si>
  <si>
    <t>Miskolci Egyetem Kollégiumi Bizottsági ügyintéző</t>
  </si>
  <si>
    <t>Eger Heroes Amerikai Foci</t>
  </si>
  <si>
    <t>Szása, S-power Gym</t>
  </si>
  <si>
    <t>Susan "Heart" Tattoo Model, Jobbik, Fotós</t>
  </si>
  <si>
    <t>Polgármesteri Hivatal Tiszalúc</t>
  </si>
  <si>
    <t>BSK Crossfight Személyi Edző, Tinder Budapest</t>
  </si>
  <si>
    <t>Vadna Lights Off Buli Security</t>
  </si>
  <si>
    <t>Hostess,táncos,pókerfész, és főállású maciszerető</t>
  </si>
  <si>
    <t>A hazámat szolgálom</t>
  </si>
  <si>
    <t>Column1</t>
  </si>
  <si>
    <t>Potenciális</t>
  </si>
  <si>
    <t>x</t>
  </si>
  <si>
    <t>World Is Mine, Brdwy Rendezvényszervező, Szervező, Salgótarján, Mestyán Dániel</t>
  </si>
  <si>
    <t>Leonardo Üzletvezető</t>
  </si>
  <si>
    <t>Rendőrség, HMRFK Rendőr</t>
  </si>
  <si>
    <t>Blue Box DJ</t>
  </si>
  <si>
    <t>BÉKAFÜTTY-ALL IN Kft. Üzletvezető , tulajdonos</t>
  </si>
  <si>
    <t>Müller Ferdinád edzőterem Kidobó, Biztonsági Őr</t>
  </si>
  <si>
    <t>Simon Pincészet Borász</t>
  </si>
  <si>
    <t>Lights Off Promoter</t>
  </si>
  <si>
    <t>RockWell Klub | Vision Studio DJ | Tulajdonos</t>
  </si>
  <si>
    <t>Cutler Fitness Miskolc Kidobó, Biztonsági Őr, Személyi Edző</t>
  </si>
  <si>
    <t>Kidobó, Biztonsági Őr Tapolca</t>
  </si>
  <si>
    <t>Majka, Kidobó, Biztonsági Őr, Testőr, Birkózó</t>
  </si>
  <si>
    <t>Oktogon Labrador Buci</t>
  </si>
  <si>
    <t>Blue Box, Budapest Park Pultos, Pultvezető, Ruhatáros, Jegyeladó, Kasszás, Üzletvezető</t>
  </si>
  <si>
    <t>Tégely Patika Patikus, gyógyszerész</t>
  </si>
  <si>
    <t>Valton Ügyintéző</t>
  </si>
  <si>
    <t>GKA Ügyvédi Iroda Végrehajtási És Öröklési Ügyvéd</t>
  </si>
  <si>
    <t>Magyar Birkózó Szövetség Bíró Titkár</t>
  </si>
  <si>
    <t>Kaposvári Nagypiac Kft. Ügyvezető Sirok, Vár, Kutya, Pécs</t>
  </si>
  <si>
    <t>Hotel Eger, Hunguest Üzletvezető, Recepciós, Vezető</t>
  </si>
  <si>
    <t>Kidobó, Biztonsági Őr, Kazincbarcika Farkas Dezső</t>
  </si>
  <si>
    <t>Fitness Pláza Tulajdonos</t>
  </si>
  <si>
    <t>Tulajdonos, Goa Party Szervező</t>
  </si>
  <si>
    <t>Kidobó, Biztonsági Őr Csőszerelő, Karosszéria lakatos</t>
  </si>
  <si>
    <t>Felvidék, Szlovákia, Nemesradnót Polgármester</t>
  </si>
  <si>
    <t>Személy-, Vagyonvédelmi és Magánnyomozói Szakmai Kamara, Vagyonőri Képzés, Szakértő</t>
  </si>
  <si>
    <t>Blue Box Parkolóőr</t>
  </si>
  <si>
    <t>Magyar Birkózó Szövetség Birkózó</t>
  </si>
  <si>
    <t>Mindful Desire Counselling Szexológus Pszichológus</t>
  </si>
  <si>
    <t>Daily News Humgary Újságíró</t>
  </si>
  <si>
    <t>Blue Box Gyöngyös Vendég</t>
  </si>
  <si>
    <t>Miskolci Egyetem, Innováció Menedzsment</t>
  </si>
  <si>
    <t>Blue Box Üzletvezető</t>
  </si>
  <si>
    <t>Szécsény, Robinson Fesztivál, Color Fesztivál, Balassagyarmat Pultos, Szervező</t>
  </si>
  <si>
    <t>Lights Off Gazdasági Vezető</t>
  </si>
  <si>
    <t>PVG, Pásztorvölgyi Gimnázium Tinder</t>
  </si>
  <si>
    <t>AÉS Terasz Buli Szervező</t>
  </si>
  <si>
    <t>Tibi Atya, Humbák Borkápolna Pultos</t>
  </si>
  <si>
    <t>Zöld Pecsét Üzletvezető</t>
  </si>
  <si>
    <t>Flot-Trans Kft Ügyvezető Igazgató</t>
  </si>
  <si>
    <t>amigeleken.hu DVTK Szerkesztő</t>
  </si>
  <si>
    <t>Magyar Birkózó Szövetség Bíró</t>
  </si>
  <si>
    <t>Red Ring, Blue Box Üzletvezető</t>
  </si>
  <si>
    <t>Blue Box Kidobó, Biztonsági Őr</t>
  </si>
  <si>
    <t>Fitness Tinder Szeged</t>
  </si>
  <si>
    <t>Lights Off Promoter Vezető</t>
  </si>
  <si>
    <t>Blue Box Vendég</t>
  </si>
  <si>
    <t>SALESmanago Product Manager</t>
  </si>
  <si>
    <t>BB Gym Miskolc Edző</t>
  </si>
  <si>
    <t>Blue Box Takarító</t>
  </si>
  <si>
    <t>Sarkadi Péter Autósiskola Bt. Tinder, Budapest</t>
  </si>
  <si>
    <t>Jobbik Ifjúsági Tagozat Jogász, Behajtó, Behajtás, Végrehajtó,</t>
  </si>
  <si>
    <t>Angel's, Sikk Üzletvezető, Tulajdonos</t>
  </si>
  <si>
    <t>Budapest Hair Fodrász, TikTok</t>
  </si>
  <si>
    <t>Angels Üzletvezető</t>
  </si>
  <si>
    <t>Agria Tűzbiztonsági Bt. Tűzvédelmi Szakember, Biztonságszervező, Munkavédelem, Major Adrienn</t>
  </si>
  <si>
    <t>EKE JC HÖK Elnök</t>
  </si>
  <si>
    <t>Pásztó Strand Vezető</t>
  </si>
  <si>
    <t>Edelényi Koch Róbert Kórház Orvos, Háziorvos</t>
  </si>
  <si>
    <t>DAS Jogszervíz Kft, Gyöngyös Jogvédő, Jogász, Ügyvéd</t>
  </si>
  <si>
    <t>Lights Off Eger Promoter</t>
  </si>
  <si>
    <t>Biztonságszervező Nemes Sándor, Döme Fater</t>
  </si>
  <si>
    <t>Gyémánt Vonal Kidobó, Biztonsági Őr</t>
  </si>
  <si>
    <t>Insular Tech Kft. Ügyvezető, Szekeres Péter</t>
  </si>
  <si>
    <t>Tutti Frutti, Kidobó, Biztonsági Őr</t>
  </si>
  <si>
    <t>BME, Budapesti Műszaki és Gazdaságtudományi Egyetem, Alkalmazott Matematikus MSc</t>
  </si>
  <si>
    <t>Dun &amp; Bradstreet Üzletkötő</t>
  </si>
  <si>
    <t>Magyar Birkózó szövetség Edző</t>
  </si>
  <si>
    <t>Avasi Sörház Tulajdonos, Üzletvezető</t>
  </si>
  <si>
    <t>Kidobó, Biztonsági Őr, Tapolca Rendőr</t>
  </si>
  <si>
    <t>BB RR Partybusz Sofőr</t>
  </si>
  <si>
    <t>Jászberény, Gimnázium Osztályfőnök</t>
  </si>
  <si>
    <t>In-Kal, Bejelentő Kidobó, Biztonsági Őr</t>
  </si>
  <si>
    <t>Kidobó, Biztonsági Őr, Blue Box, Gyöngyös, Szűcs Ákos</t>
  </si>
  <si>
    <t>Pásztói Önkormányzat Alpolgármester</t>
  </si>
  <si>
    <t>Rendőrség Rendőr</t>
  </si>
  <si>
    <t>Kidobó, Biztonsági Őr, Biztonságszervező Remix, Zathureczky</t>
  </si>
  <si>
    <t>Kidobó, Biztonsági Őr, Besze Gergő, Budapest UEFA EB Európa Bajnokság</t>
  </si>
  <si>
    <t>M-Guard Biztonsági Őr, Security, Kidobó</t>
  </si>
  <si>
    <t>Kidobó, Biztonsági Őr, Eger, Bowling, Hotel Eger, London Bar, Farkas Dezső</t>
  </si>
  <si>
    <t>Target Security Kidobó, Biztonsági Őr</t>
  </si>
  <si>
    <t>Hatvan, Szilveszter, Vadló Tulajdonos</t>
  </si>
  <si>
    <t>Kidobó, Biztonsági Őr Kazincbarcika, Mentős</t>
  </si>
  <si>
    <t>Gyöngyösi Rendőrkapitányság Rendőr, Nyomozó</t>
  </si>
  <si>
    <t>EKE HÖK Elnök</t>
  </si>
  <si>
    <t>Kidobó, Biztonsági Őr McDonald's, Meki</t>
  </si>
  <si>
    <t>sprinter futárszolgálat, Biztonsági, Kidobó Hentes</t>
  </si>
  <si>
    <t>Kidobó, Biztonsági Őr, Jelölt Valhalla Gym, BFit</t>
  </si>
  <si>
    <t>Bíboros Pultos</t>
  </si>
  <si>
    <t>Kidobó, Biztonsági Őr Cutler Fitness</t>
  </si>
  <si>
    <t>Kidobó, Biztonsági Őr Lóci, Szolnok</t>
  </si>
  <si>
    <t>Kidobó, Biztonsági Őr Bakó József</t>
  </si>
  <si>
    <t>Sacred Garden Tulajdonos, Igazgató Műfasz gyártás, Dildo, Anal Plug, Kristálybroki</t>
  </si>
  <si>
    <t>Rádió 1 Szervező, marketing manager</t>
  </si>
  <si>
    <t>Tinder, Marketing, Web Design,</t>
  </si>
  <si>
    <t>EKE HÖK Gazdasági</t>
  </si>
  <si>
    <t>Hippolit Terasz Pultos</t>
  </si>
  <si>
    <t>Kutya Sétáltatás, Ózd, Hegesztő, Hajléktalan, Szekeres Péter</t>
  </si>
  <si>
    <t>Hotel Flóra Vendég, Tinder</t>
  </si>
  <si>
    <t>Magyarok Világszövetsége Szervező</t>
  </si>
  <si>
    <t>Kidobó, Biztonsági Őr, Betyár, Betyársereg Gyarmi, Heves, Panzió, Király Anna</t>
  </si>
  <si>
    <t>Kidobó, Biztonsági, Betyársereg Betyár</t>
  </si>
  <si>
    <t>Robinson Szigetek, Szécsény Tulaj</t>
  </si>
  <si>
    <t>Betyársereg, Kidobó, Biztonsági Betyár</t>
  </si>
  <si>
    <t>Motor, Cross, Foci, Futball, Labdarúgás</t>
  </si>
  <si>
    <t>Forever Living Products (FLP) Igazgató</t>
  </si>
  <si>
    <t>World Is Mine Salgótarján Vezető</t>
  </si>
  <si>
    <t>Kidobó, Biztonsági Őr Szamó, Békafütty</t>
  </si>
  <si>
    <t>Lights Off Promoter Segítő</t>
  </si>
  <si>
    <t>Márai Központ Road, Pakoló, Színpad</t>
  </si>
  <si>
    <t>Traffi Hatvan Üzletvezető</t>
  </si>
  <si>
    <t>Last Night, Szalagavató After Buli Szervező</t>
  </si>
  <si>
    <t>Bíboros Üzletvezető</t>
  </si>
  <si>
    <t>Bábszínház Színész</t>
  </si>
  <si>
    <t>Mezőkövesd Pubi Klub Club Üzletvezető, Rendezvényszervező, Tulajdonos</t>
  </si>
  <si>
    <t>Dunaharaszti, Tinder, Facebook társkereső, Tetkó, Textil Varrónő, Varroda, Guns N' Roses tetkó</t>
  </si>
  <si>
    <t>Blue Box Biztonsági, Kidobó</t>
  </si>
  <si>
    <t>Szigetszentmiklós, Sziget SC, Magyar Birkózó Szövetség Birkózó</t>
  </si>
  <si>
    <t>Orvos Nőgyógyász</t>
  </si>
  <si>
    <t>Lights Off Szervező, Vezető</t>
  </si>
  <si>
    <t>EU-K, kidobó, biztonsági őr, Kosik Jani, Focimeccs, Kecskés Csaba, vagyonőr</t>
  </si>
  <si>
    <t>Kidobó, Biztonsági Őr Jelölt, Fazekas László</t>
  </si>
  <si>
    <t>Kidobó, Biztonsági Őr Felvidék, Szlovákia, Mag Erik</t>
  </si>
  <si>
    <t>Bolyki Pincészet és Szőlőbirtok Rendezvényszervező</t>
  </si>
  <si>
    <t>Bogács, Zenész, Énekes Kidobó, Biztonsági Őr</t>
  </si>
  <si>
    <t>Mex Security Tulajdonos, Ügyvezető Igazgató</t>
  </si>
  <si>
    <t>Füzesabony Városháza Polgármester</t>
  </si>
  <si>
    <t>Salgótarjáni Sportcsarnok Csarnok Létesítmény Vezető, Üzemeltető Sportrendezvény Üzemeltető</t>
  </si>
  <si>
    <t>Oktat60 Kft. Vezető, Vagyonőr Képzés, Biztonsági Őr, Kidobó</t>
  </si>
  <si>
    <t>Magyar Birkózó szövetség Sports Manager</t>
  </si>
  <si>
    <t>Relax Terasz Masszázs Stúdió Masszőr, Tinder</t>
  </si>
  <si>
    <t>Bíboros Söröző Pultos</t>
  </si>
  <si>
    <t>Kifordult Segglyuk</t>
  </si>
  <si>
    <t>Pszichológus, Magyar Birkózó Szövetség</t>
  </si>
  <si>
    <t>Bükkalja Borozó Bogács Üzletvezető</t>
  </si>
  <si>
    <t>Ego Bar Pultos</t>
  </si>
  <si>
    <t>Kobra Guard Kft., Security, Biztonsági, Kidobó Vezető, Biztonságszervező</t>
  </si>
  <si>
    <t>Miskolc, Nyékládháza, Tetőfedés Kidobó\, Biztonsági Őr</t>
  </si>
  <si>
    <t>Budapesti Műszaki És Gazdaságtudományi Egyetem, Alkalmazott Matematikus MSc, Gazdaságmatematikus Évfolyamtárs</t>
  </si>
  <si>
    <t>Blue Box Pultos</t>
  </si>
  <si>
    <t>Cutler Fitness Vendég</t>
  </si>
  <si>
    <t>Kidobó, Biztonsági Őr, Hangácsi Géza Biztonságszervező</t>
  </si>
  <si>
    <t>World Is Mine Promotervezető</t>
  </si>
  <si>
    <t>Delta Security Kidobó, Biztonsági Őr, Kecskemét, Fodor Károly</t>
  </si>
  <si>
    <t>Kidobó, Biztonsági Őr, Security Biztonságszervező</t>
  </si>
  <si>
    <t>Recsk, Vén Diófa kocsma Üzletvezető</t>
  </si>
  <si>
    <t>Viarent Kft. Casco És Biztosítás Ügyintéző</t>
  </si>
  <si>
    <t>Masterplast Hrvey Vármegyei Területi Képviselő</t>
  </si>
  <si>
    <t>Budapest Műszaki Egyetem Polimertechnológiai Tanszék, Matlab, Tomin Márton</t>
  </si>
  <si>
    <t>Országgyűlés Hivatala, biztonsági őr, Kidobó Biztonságszervező, Biztonság Szervező</t>
  </si>
  <si>
    <t>Hitler SS Segédmunkás</t>
  </si>
  <si>
    <t>Elysium The Club Gyöngyös Tulajdonos</t>
  </si>
  <si>
    <t>Elysium The Club Disco Üzletvezető, Tulajdonos</t>
  </si>
  <si>
    <t>Miskolc Cutler Fitness Személyi Edző</t>
  </si>
  <si>
    <t>Magyar Birkózó szövetség, ESMTK Birkózó</t>
  </si>
  <si>
    <t>Ginez Szórakozóhely Ügyvezető Igazgató, Üzletvezető</t>
  </si>
  <si>
    <t>Trailer, Tréler, Autómentő Autó Mentő Komárom</t>
  </si>
  <si>
    <t>Index Újságíró</t>
  </si>
  <si>
    <t>Artist Kávézó és Kulturbár Pultos</t>
  </si>
  <si>
    <t>Venom Sec Kft., Gyömrő Allure Kidobó, Biztonsági Őr</t>
  </si>
  <si>
    <t>Bolyki Pincészet Üzletvezető</t>
  </si>
  <si>
    <t>Kidobó, Biztonsági Őr Pogesz, Dezső</t>
  </si>
  <si>
    <t>Blue Box Pultos, Karszalagos, Kasszás</t>
  </si>
  <si>
    <t>S-Club Pásztó Pultos</t>
  </si>
  <si>
    <t>Wim, World Is Mine Promoter</t>
  </si>
  <si>
    <t>Pszicholive Pszichológus</t>
  </si>
  <si>
    <t>Tinder, Eger, Személyi Edző,</t>
  </si>
  <si>
    <t>S-group Könyvelő</t>
  </si>
  <si>
    <t>Sanatmetal | Táncos, Salsa Dance, Marczis László</t>
  </si>
  <si>
    <t>Magzatom.hu Orvos, Szülész, Nőgyógyász</t>
  </si>
  <si>
    <t>Blue Box Vendég, Prostituált</t>
  </si>
  <si>
    <t>Magyar Birkózó Szövetség Birkózás</t>
  </si>
  <si>
    <t>Szigetszentmiklós Kutyahotel, Kutyakozmetikus, Kutya, Dorogi Gyuszi, Tinder</t>
  </si>
  <si>
    <t>Target Security Vezető, Biztonságszervező</t>
  </si>
  <si>
    <t>Állvány, Munkamix Kft.</t>
  </si>
  <si>
    <t>Blue Box, Red Ring Vendég</t>
  </si>
  <si>
    <t>Budapesti Műszaki És Gazdaságtudományi Egyetem, BME, Budapest University of Technology and Economics Project Laboratory, Math</t>
  </si>
  <si>
    <t>ZF Hungária Kft. HR - Human Resources Manager</t>
  </si>
  <si>
    <t>Szabó Ivett Húga</t>
  </si>
  <si>
    <t>Gyöngyös Köcsög</t>
  </si>
  <si>
    <t>Uzsoki Utca Kórház Orvos, Kardiológus</t>
  </si>
  <si>
    <t>Csöpi Ház Üzletvezető</t>
  </si>
  <si>
    <t>Hársfa Söröző Üzletvezető</t>
  </si>
  <si>
    <t>Kidobó, Biztonsági Őr, Gyöngyös Vendég</t>
  </si>
  <si>
    <t>Securimaster Területi Vezető Heves Megye</t>
  </si>
  <si>
    <t>Kálló Sec, Road Zenekar Kidobó, Biztonsági Őr,</t>
  </si>
  <si>
    <t>Aegon Életbiztosítási tanácsadó</t>
  </si>
  <si>
    <t>Club Leonardo Eger Kasszás</t>
  </si>
  <si>
    <t>Parádi Kulturális Szervezet Szervező, Rendezvényszervező</t>
  </si>
  <si>
    <t>Macok Bisztró Eger Üzletvezető</t>
  </si>
  <si>
    <t>Márai Központ, Eger Virágárus</t>
  </si>
  <si>
    <t>Rio Ózd Tulajdonos, Üzletvezető</t>
  </si>
  <si>
    <t>Blue Box Ruhatáros</t>
  </si>
  <si>
    <t>B. Braun Medical Kft. Gyöngyös Biztonsági Vezető, Kidobó</t>
  </si>
  <si>
    <t>Miskolc, Tiszaújváros, Ápoló, Győr, Prostituált Társkereső</t>
  </si>
  <si>
    <t>Rio Ózd, Kidobó, Biztonsági Őr</t>
  </si>
  <si>
    <t>Kidobó, Biztonsági Őr Yoko, Jászberény, Fiatalos</t>
  </si>
  <si>
    <t>B Build &amp; Trade Kft. Ügyvezető Igazgató Nagyréde</t>
  </si>
  <si>
    <t>Valton, Security, Juna Sec Biztonsági Vezető</t>
  </si>
  <si>
    <t>Kidobó, Biztonsági Őr, Budapest, Bakó József</t>
  </si>
  <si>
    <t>Nagyecsér, Kertészmérnök, Kertész, Mérnök</t>
  </si>
  <si>
    <t>Flot-Trans Kft Informatikus</t>
  </si>
  <si>
    <t>Masterfoam Kft. Igazgató, CEO</t>
  </si>
  <si>
    <t>East Side Tulajdonos</t>
  </si>
  <si>
    <t>Cortado Bar Eger Tulajdonos</t>
  </si>
  <si>
    <t>Cutler, Eger Masszőr, Kozmetikus</t>
  </si>
  <si>
    <t>Ózd, Kidobó, Biztonsági Őr, Jelölt</t>
  </si>
  <si>
    <t>Egri kórház, Biztonsági, Kidobó Biztonságszervező</t>
  </si>
  <si>
    <t>Insular Tech Kft. | Diószegi Építész Kft. Ügyvezető</t>
  </si>
  <si>
    <t>Kidobó, Biztonsági Őr Mag Erik, Felvidék, Szlovák</t>
  </si>
  <si>
    <t>Blue Box Gyöngyös Fotós, Partyfotós</t>
  </si>
  <si>
    <t>Kidobó, biztonsági őr, Budapest Rusznyák Dominika</t>
  </si>
  <si>
    <t>TT Építő Kft. Építésvezető, Aldi Eger</t>
  </si>
  <si>
    <t>Magyar, Birkózó, Szövetség, United World Wrestling Edző, Fotós, Fényképész</t>
  </si>
  <si>
    <t>Kerekesszékes Eger, Pár, Tolószék, Kertészet</t>
  </si>
  <si>
    <t>Bélapátfalva Rendőrség, Nemzeti Vágta Rendőrkapitány</t>
  </si>
  <si>
    <t>Jobbik Magyarországért Mozgalom Egységben a Városért Egyesület, Önkormányzati Képviselő, Mirkóczki Ádám</t>
  </si>
  <si>
    <t>S-Club Pásztó Fénytechnikus</t>
  </si>
  <si>
    <t>Meteor Kempo Sportegyesület, Küzdősport Kidobó, Biztonsági Őr, Fazekas László</t>
  </si>
  <si>
    <t>Gasthaus Szilvásvárad Tulajdonos</t>
  </si>
  <si>
    <t>Superz Miskolc Üzletvezető</t>
  </si>
  <si>
    <t>Agria Park, Biztonsági Szolgálat Vezető</t>
  </si>
  <si>
    <t>Kidobó, Biztonsági Őr, Szilvásvárad Gyenes Ádám</t>
  </si>
  <si>
    <t>Jobbik Magyarországért Mozgalom Elnök</t>
  </si>
  <si>
    <t>Blue Box Jegyszedő</t>
  </si>
  <si>
    <t>Kidobó, Biztonsági Őr, Gyarmi Egészségügyi Biztosítás</t>
  </si>
  <si>
    <t>Bolyki Pincészet, Kocsisgép Pultos, Könyvelő</t>
  </si>
  <si>
    <t>Bolyki Pincészet, Tinder Pultos, Könyvelő</t>
  </si>
  <si>
    <t>Magyar Országgyűlés (Hivatalos Oldal), Novák Előd asszisztensse Novák Előd asszisztensse</t>
  </si>
  <si>
    <t>Kidobó, Biztonsági Őr, Poroszló Thomas Smith, Patkó Tamás</t>
  </si>
  <si>
    <t>Kidobó, Biztonsági Őr, Ózd, Koleszár Csaba</t>
  </si>
  <si>
    <t>Red Ring Fotós, Fényképész Fotós, fényképész</t>
  </si>
  <si>
    <t>Rosenberger Biztonsági Vezető</t>
  </si>
  <si>
    <t>Kidobó, Biztonsági Őr, Farkas Dezső, Besze Gergő</t>
  </si>
  <si>
    <t>BME Fizikus, Data Scientist</t>
  </si>
  <si>
    <t>Betyársereg Nyíregyháza Betyár</t>
  </si>
  <si>
    <t>Bíboros Biztonsági Őr, Kidobó, Üzletvezető, Security, Biztonságszervező</t>
  </si>
  <si>
    <t>Salgótarjáni BMX Találkozó Szervező</t>
  </si>
  <si>
    <t>Kidobó, Biztonsági Őr Gyöngyös</t>
  </si>
  <si>
    <t>Bolyki Grafikus</t>
  </si>
  <si>
    <t>Kidobó, Biztonsági Őr Yoko, Hatvan, Fortuna</t>
  </si>
  <si>
    <t>Főtér Café Pincér</t>
  </si>
  <si>
    <t>Kidobó, Biztonsági Őr, Mellbimbó Piercing Blue Box\, Gyöngyös\, Vendég</t>
  </si>
  <si>
    <t>föiskola tesi szak</t>
  </si>
  <si>
    <t>Eger Város Önkormányzata, Jegyzői Iroda Aljegyző, Jegyző</t>
  </si>
  <si>
    <t>Ózdi Önkormányzat Tűzvédelmi Szakember, Biztonságszervező, Munkavédelem</t>
  </si>
  <si>
    <t>Uránia Operatőr, videós, cameraman</t>
  </si>
  <si>
    <t>Pásztó S-Club Vendég</t>
  </si>
  <si>
    <t>Wini Security Biztonsági Őr Kidobó</t>
  </si>
  <si>
    <t>XBody Studio Eger Üzletvezető, Tulajdonos</t>
  </si>
  <si>
    <t>Blue Box Kasszás</t>
  </si>
  <si>
    <t>Blue Box, Gyöngyös Vendég</t>
  </si>
  <si>
    <t>Agár SOS, Kutyaiskola, Kiképző</t>
  </si>
  <si>
    <t>Uránia Pultos</t>
  </si>
  <si>
    <t>Kidobó, Biztonsági Őr, Golyó, Fónad, UEFA</t>
  </si>
  <si>
    <t>Blue Box, Tóth Szabó Vendel Anyukája Vendég, Anyuka,</t>
  </si>
  <si>
    <t>Besenyőtelek, Erzsébet Bál Szervező, Rendezvényszervező, Üzletvezető</t>
  </si>
  <si>
    <t>Hit Gyülekezete Szervező, Oláh Gergő koncert</t>
  </si>
  <si>
    <t>Egri Vasas Birkózás Birkózó</t>
  </si>
  <si>
    <t>Eger Judo Edző Kidobó, Biztonsági Őr</t>
  </si>
  <si>
    <t>Karl Media Group Bolyki Hostess</t>
  </si>
  <si>
    <t>Blue Box, Braun Vendég L</t>
  </si>
  <si>
    <t>Zsír On The Feszt Pénzügy</t>
  </si>
  <si>
    <t>Tinder, Eger, Bóta László, Garzon, Demjéni Fürdő Pultos</t>
  </si>
  <si>
    <t>Kidobó, Biztonsági Őr, Swat Security Gyöngyös, Somogyi Ádám, Nagyréde</t>
  </si>
  <si>
    <t>Gyógyszertár Gyógyszerész, Tinder</t>
  </si>
  <si>
    <t>Tata Edzőtábor, Rehabilitáció Krioszaunás</t>
  </si>
  <si>
    <t>Réczi László Nagybátyja Bárány Birkózó</t>
  </si>
  <si>
    <t>Kidobó, Biztonsági Őr Szekeres Peti\\\, Ózd\\\, Rio</t>
  </si>
  <si>
    <t>Asztalos,</t>
  </si>
  <si>
    <t>Jászberény Red Ring Sofőr, Taxi, Mentő</t>
  </si>
  <si>
    <t>Pásztó, Miami, Szabadtéri Rendezvény, Fesztivál Szervező, Tulaj</t>
  </si>
  <si>
    <t>Mathias Corvinus Collegium, MCC Heves Vármegyei Vezető</t>
  </si>
  <si>
    <t>Kidobó, Biztonsági Őr, Vagyonőr Gyöngyös</t>
  </si>
  <si>
    <t>Valton Security, Kidobó Biztonsági Vezető</t>
  </si>
  <si>
    <t>Imbisz Kocsma Eger Tulajdonos, Üzletvezető</t>
  </si>
  <si>
    <t>Kidobó, Biztonsági Őr, Betyársereg Betyár</t>
  </si>
  <si>
    <t>Fülek, Losonc, Diszkó, Mag Erik</t>
  </si>
  <si>
    <t>White Raven Wrestling Birkózás, Szőnyeg,</t>
  </si>
  <si>
    <t>Magyar Birkózó Szövetség Edző</t>
  </si>
  <si>
    <t>Kidobó, Biztonsági Őr, Kecskemét Fodor Károly</t>
  </si>
  <si>
    <t>Biztonsági Őr, Focimeccs, Kidobó Kázsmárk</t>
  </si>
  <si>
    <t>Magyar Birkózók Szövetsége Birkózó</t>
  </si>
  <si>
    <t>Professzor, Orvos, BAZ Megyei Kórház, Miskolc Hematológus</t>
  </si>
  <si>
    <t>Pásztói Polgárőrség, Pásztó Polgárőr, Vagyonőr Polgárőrség</t>
  </si>
  <si>
    <t>Movie Disco Mezőkövesd Üzletvezető, Tulajdonos</t>
  </si>
  <si>
    <t>Heves Megyei Vagyonőr Kamara Vezető, Biztonsági Őr, Vizsga, Vagyonőr, Kidobó</t>
  </si>
  <si>
    <t>Békafütty Pultos, Poharas</t>
  </si>
  <si>
    <t>Kóter Arnold, Erőemelő, Szén Józsi Kidobó, Biztonsági Őr</t>
  </si>
  <si>
    <t>ViaRent Kft. Biztosítás Ügyek, Casco</t>
  </si>
  <si>
    <t>Jam Hatvan Portafőnök Kidobó, Biztonsági Őr</t>
  </si>
  <si>
    <t>Brutal Challenge Szervező</t>
  </si>
  <si>
    <t>Hatvani Vagyonőr Képzés Kidobó, Biztonsági Őr</t>
  </si>
  <si>
    <t>Kidobó, Biztonsági Őr Cutler, Személyi Edző, Karate</t>
  </si>
  <si>
    <t>Jászfelsőszentgyörgy Művelődési Ház Művelődésszervező, Vezető, Szervező</t>
  </si>
  <si>
    <t>Kidobó, Biztonsági Őr Gergyesi Ferenc, Fiatal</t>
  </si>
  <si>
    <t>Magyar Tavasz Mozgalom, Jobbik Magyarországért Mozgalom Magyar Tavasz elnök, Önkormányzati képviselő</t>
  </si>
  <si>
    <t>Felvidék, Szlovákia, Hanva Polgármester Polgármester</t>
  </si>
  <si>
    <t>Kidobó, Biztonsági Őr Szabó Alex</t>
  </si>
  <si>
    <t>Tinder, Társkereső, Jászberény, Victory Gym Személyi Edző</t>
  </si>
  <si>
    <t>Kaló Pincészet Tulajdonos</t>
  </si>
  <si>
    <t>Kidobó Biztonsági Birkózó Jászberény</t>
  </si>
  <si>
    <t>Oktat60 Kft. Vezető, Kommunikációs Vezető, Vagyonőr Képzés, Biztonsági Őr, Kidobó</t>
  </si>
  <si>
    <t>Kidobó, Biztonsági Őr, Kutyás Őr Gyöngyös</t>
  </si>
  <si>
    <t>Siroki Motoros Találkozó, Kunmadarasi Motoros Fesztivál Tulajdonos, Műsorvezető, Ügyvezető</t>
  </si>
  <si>
    <t>Laxter kft Asztalos</t>
  </si>
  <si>
    <t>EBH Invest, Bélapátfalva, Apátság Építésvezető</t>
  </si>
  <si>
    <t>Nusy Bár Eger, Skinhead Koncert Üzletvezető</t>
  </si>
  <si>
    <t>Kidobó, Biztonsági Őr, Kóter Gym Csomor Csaba</t>
  </si>
  <si>
    <t>M-Angels Kft. Vezető, Számlázó, Számla, Gólyabál</t>
  </si>
  <si>
    <t>Kidobó, Biztonsági Őr, Szigetszentmiklós Birkózó</t>
  </si>
  <si>
    <t>Rakacaszend, Martonyi, Nem Adom Fel Alapítvány Roma Kultúra Napja, Cigány Nap Rendezvény Szervező</t>
  </si>
  <si>
    <t>Kidobó, Biztonsági Őr, Pest Viczián Tamás</t>
  </si>
  <si>
    <t>Doggy Hilton Hotel, Kutyahotel, Kutya , Fizioterápia Kutya Fizioterapeuta</t>
  </si>
  <si>
    <t>Shopping Center Network Komárom-Esztergom megye</t>
  </si>
  <si>
    <t>Magyar Birkózó Szövetség alelnök Bíró</t>
  </si>
  <si>
    <t>Blue Box Jegyes, Kasszás, Pultos,</t>
  </si>
  <si>
    <t>Magyar Birkózó Szövetség Bíró, Kidobó</t>
  </si>
  <si>
    <t>Mezőkövesd Önkormányzat Művelődésszervező</t>
  </si>
  <si>
    <t>Mozi Eger Agria Könyvelő</t>
  </si>
  <si>
    <t>Salgótarján Polgárőrség Vezető</t>
  </si>
  <si>
    <t>REMEK Nonprofit Kft., Salgótarján Igazgató</t>
  </si>
  <si>
    <t>Hunguest Hotel Eger Igazgató Bowling Bar Eger</t>
  </si>
  <si>
    <t>Birkózás Gyöngyös</t>
  </si>
  <si>
    <t>Madison Events Kft. Lights Off Szervező</t>
  </si>
  <si>
    <t>Kidobó, Biztonsági Őr Szén Józsi</t>
  </si>
  <si>
    <t>Kidobó, Biztonsági Őr, Box, Eger, Tatár Attila</t>
  </si>
  <si>
    <t>Neufeld Ákos, Zöld Pecsét, Dirty House Rendezvényszező, Szervező, Tulaj</t>
  </si>
  <si>
    <t>Istenmezeje, Pedro Étterem, Rendezvény Tulajdonos</t>
  </si>
  <si>
    <t>Blue Box, Jászberény, Terepmintás Vendég Jászjákóhalma</t>
  </si>
  <si>
    <t>Kartal, Kartali Polgármesteri Hivatal, Polgármester</t>
  </si>
  <si>
    <t>Swat Group Security, Dobondi Andris Kidobó, Biztonsági Őr, Biztonságszervező</t>
  </si>
  <si>
    <t>Kidobó, Biztonsági Őr, Salgótarján Thai Box Edző</t>
  </si>
  <si>
    <t>TRP Hungary, Salgó Rally, Rendezvény Manager, Szervező</t>
  </si>
  <si>
    <t>Kidobó, Biztonsági Őr Szigetszentmiklós</t>
  </si>
  <si>
    <t>Nemzeti Vágta Szervező</t>
  </si>
  <si>
    <t>Bolyki Pincészet Eger Agria Park</t>
  </si>
  <si>
    <t>Balassagyarmat Color Szervező</t>
  </si>
  <si>
    <t>Betyársereg, Sopron Betyár</t>
  </si>
  <si>
    <t>Miskolci Egyetem Docens, Matematika</t>
  </si>
  <si>
    <t>Kidobó, Biztonsági Őr, Tatabánya Vagyonőr</t>
  </si>
  <si>
    <t>Kidobó, Biztonsági Őr Biztonságszervező, Mogyoród</t>
  </si>
  <si>
    <t>Kidobó, Biztonsági Őr Csertán Attila, Kazincbarcika, Barcika, Borsod</t>
  </si>
  <si>
    <t>Box Mezőkövesd</t>
  </si>
  <si>
    <t>Lights Off Országos Promóciós Vezető</t>
  </si>
  <si>
    <t>Bolyki, Swing, Parov Stelar Szervező, Rendezvényszervező</t>
  </si>
  <si>
    <t>Salgótarján Önkormányzat Rendezvényszervező</t>
  </si>
  <si>
    <t>Terrace Apartman Eger Szállás Tulajdonos</t>
  </si>
  <si>
    <t>Facebook Társkereső, Tinder Színésznő</t>
  </si>
  <si>
    <t>Szépasszony-völgy, Tinder, Noszvaj, Pincér</t>
  </si>
  <si>
    <t>MMA, Küzdősport, Kidobó, Biztonsági Őr, Tinder</t>
  </si>
  <si>
    <t>Birkózás Edző</t>
  </si>
  <si>
    <t>Kidobó, Biztonsági Őr Tatár Attila, Szekeres Péter</t>
  </si>
  <si>
    <t>Momentum Mozgalom Országgyűlési képviselő</t>
  </si>
  <si>
    <t>Birkózás Birkózó, MMA</t>
  </si>
  <si>
    <t>Salgótarján Művelődési Központ Üzletvezető</t>
  </si>
  <si>
    <t>Valton 1. Igazgató, Vezető</t>
  </si>
  <si>
    <t>Kidobó, Biztonsági Őr Karate, Kyo, Cutler Fitness</t>
  </si>
  <si>
    <t>Groupama Biztosító Eger Vezető, Igazgató</t>
  </si>
  <si>
    <t>Kidobó, Biztonsági Őr Nagyréde</t>
  </si>
  <si>
    <t>Nemzeti Vágta Sajtófőnök</t>
  </si>
  <si>
    <t>Magyar Birkózó szövetség, Birkózó,</t>
  </si>
  <si>
    <t>Nagyréde Kastély Őrzés, Scharioth Birtok, Kidobó, Biztonsági Őr, Pécs</t>
  </si>
  <si>
    <t>Kidobó, Biztonsági Őr, Betyársereg Dunaújváros, Tapolcai Munka A Fiával</t>
  </si>
  <si>
    <t>Lukoil, Kidobó, Biztonsági Őr Biztonsági Vezető,</t>
  </si>
  <si>
    <t>Pásztó, Miami Disco, Tulaj, Üzletvezető, Rendezvény</t>
  </si>
  <si>
    <t>Lynx Kormos Bt Favágó, Faszszopó Köcsög, Faszkalap</t>
  </si>
  <si>
    <t>Őrmester Nyrt Főnök</t>
  </si>
  <si>
    <t>Kidobó, Biztonsági Őr, HQ4, Erőemelő</t>
  </si>
  <si>
    <t>OneTicket Jegyiroda Tulajdonos</t>
  </si>
  <si>
    <t>Hűtő, Hűtőszekrény, Hűtőláda, Mikró, Mikrohullámú Sütő Szerelő, Javító Használt Hűtő Adás Vétel</t>
  </si>
  <si>
    <t>Szilvásvárad, Csobogó Étterem Tulajdonos</t>
  </si>
  <si>
    <t>Tőserdő Szervező, Főszervező</t>
  </si>
  <si>
    <t>Smilodon Tetoválás Tetováló</t>
  </si>
  <si>
    <t>Magyar Birkózó szövetség Birkózó</t>
  </si>
  <si>
    <t>Magyar Birkózó Szövetség, Kidobó, Biztonsági Őr Bíró</t>
  </si>
  <si>
    <t>Zuzmó Üzletvezető</t>
  </si>
  <si>
    <t>Szigetszentmiklós, Sziget SC, Birkózó, Birkózás Kidobó, Biztonsági Őr, Birkózó</t>
  </si>
  <si>
    <t>FELÚJÍT-LAK 2021 KFT Heves Grund Üzletvezető</t>
  </si>
  <si>
    <t>EKE HÖK Cheerleader Vezető</t>
  </si>
  <si>
    <t>Brdwy Táncos</t>
  </si>
  <si>
    <t>Eszterházy Károly Katolikus Egyetem, Securitas Kidobó, Biztonsági Őr, Lakatos, Éjjeli Őr</t>
  </si>
  <si>
    <t>Kidobó, Biztonsági Őr, Szigetszentmiklós Szigetszentmiklós</t>
  </si>
  <si>
    <t>Miskolci Egyetem Olajmérnök, Informatikus, Mérnök, Mérnökinformatikus, Gazdász</t>
  </si>
  <si>
    <t>Kidobó, Biztonsági Őr, Birkózás Tatabánya SC</t>
  </si>
  <si>
    <t>Nemzeti Vágta Rendezvényszervező</t>
  </si>
  <si>
    <t>Egri Tűzoltóság Redőnyös</t>
  </si>
  <si>
    <t>Inter Ausztria Kft. Üzletvezető, Brdwy</t>
  </si>
  <si>
    <t>Kidobó, Biztonsági Őr BS</t>
  </si>
  <si>
    <t>Kartali Rendőrkapitányság, Rendőrség Parancsnokhelyettes</t>
  </si>
  <si>
    <t>Logosz Cégcsoport Irodavezető, Zugló</t>
  </si>
  <si>
    <t>Kutya Menhely Állatok Kutya menhely</t>
  </si>
  <si>
    <t>Verpeléti Buli Szervező</t>
  </si>
  <si>
    <t>Venom Sec Kft., Kidobó Biztonsági Őr, Doki Ügyvezető</t>
  </si>
  <si>
    <t>Becsky Pincészet Üzletvezető</t>
  </si>
  <si>
    <t>Kidobó, Biztonsági Őr, Jelölt, Mészáros Eszter Testvére, Bíró András Edzőtársa</t>
  </si>
  <si>
    <t>Hintóvölgye Pultos</t>
  </si>
  <si>
    <t>Kidobó, Biztonsági Őr Birkózó</t>
  </si>
  <si>
    <t>Eszterházy Károly Egyetem | EKE Iroda, Leányka Utca</t>
  </si>
  <si>
    <t>EKE HÖK, Eszterházy Károly Egyetem Hallgatói Önkormányzat Szervező, DJ</t>
  </si>
  <si>
    <t>Rendőrség, Kidobó, Biztonsági Őr Rendőr</t>
  </si>
  <si>
    <t>Miskolci Egyetem, Alkalmazott Informatikai Tanszék Tanár</t>
  </si>
  <si>
    <t>Kidobó, Biztonsági Őr Gál Gyula, Gál Patrik, Szécsény, Salgótarján, Robinson</t>
  </si>
  <si>
    <t>Magyar Birkózó Szövetség Bíró, Titkár</t>
  </si>
  <si>
    <t>OVB Hitelspecialista</t>
  </si>
  <si>
    <t>Gyömrő Allűr Kidobó Biztonsági Őr</t>
  </si>
  <si>
    <t>Promotions Media kft. Tulajdonos</t>
  </si>
  <si>
    <t>Elysium Gyöngyös Üzletvezető, Tulajdonos</t>
  </si>
  <si>
    <t>Melody Apartman Tulajdonos, Ügyvezető, Tinder</t>
  </si>
  <si>
    <t>Focimeccs, Biztonsági, Kidobó Vezető</t>
  </si>
  <si>
    <t>Kidobó, Biztonsági Őr Bosch Eger</t>
  </si>
  <si>
    <t>Betyársereg, Betyár, BS Kidobó, Biztonsági Őr</t>
  </si>
  <si>
    <t>Magyarok Világszövetsége Elnök</t>
  </si>
  <si>
    <t>Jobbik, testőr, biztonsági, Vona Gábor, Morrisons liget, kopasz, Kidobó</t>
  </si>
  <si>
    <t>Kidobó, Biztonsági Őr Pomáz</t>
  </si>
  <si>
    <t>Szilvásváradi Lovascsarnok, Nemzeti Vágta Szervező</t>
  </si>
  <si>
    <t>Nagyréde, Scharioth Birtok, Őrzés Villanyszerelő, Villamosmérnök</t>
  </si>
  <si>
    <t>Miskolc Szegény Gyerekek, Félhajléktalan, Szemetes, Pereces, Adomány, Közmunka</t>
  </si>
  <si>
    <t>Eszterházy Károly Egyetem B Épület Gondnok</t>
  </si>
  <si>
    <t>Kidobó, Biztonsági Őr, Nagy Alex</t>
  </si>
  <si>
    <t>ELTE Best Dance Company</t>
  </si>
  <si>
    <t>Szűcs Ákos, Kidobó, Biztonsági Őr, Volt Rendőr, Gyöngyös, 190 cm</t>
  </si>
  <si>
    <t>Artist Bar Eger Tulajdonos, Ügyvezető</t>
  </si>
  <si>
    <t>-.-</t>
  </si>
  <si>
    <t>Getfit River Fitness Személyi Edző</t>
  </si>
  <si>
    <t>Pornós Táncos Heves</t>
  </si>
  <si>
    <t>Kidobó, Biztonsági Őr Gladiator Security</t>
  </si>
  <si>
    <t>Kidobó, Biztonsági Őr, Vitai Dávid Hulladék, De Szórakoztat. Pesti, Focimeccsre, Rendezvényre</t>
  </si>
  <si>
    <t>Kidobó, Biztonsági Őr, Cinema Hall Portafőnök</t>
  </si>
  <si>
    <t>Fitness Plaza Pultos, Recepciós</t>
  </si>
  <si>
    <t>Lukoil Üzletvezető</t>
  </si>
  <si>
    <t>Egri Vár Rendezvény Menedzser</t>
  </si>
  <si>
    <t>Euronics Eger Eladó, Üzletvezető, Tinder</t>
  </si>
  <si>
    <t>Evolution Performance Training Személyi Edző, Tinder, Szolnok, Ápoló,</t>
  </si>
  <si>
    <t>Eszterházy Károly Egyetem Beszerzési Referens</t>
  </si>
  <si>
    <t>Magyar Birkózó Szövetség | ESMTK Birkózó</t>
  </si>
  <si>
    <t>Rendőrség, Salgótarján Rendőr</t>
  </si>
  <si>
    <t>Oktat60 Kft. Vezető, Értékesítési Vezető, Vagyonőr Képzés, Biztonsági Őr, Kidobó</t>
  </si>
  <si>
    <t>Mezőkövesd, Pubi Klub Party Szervező</t>
  </si>
  <si>
    <t>Blue Box Partybusz Sofőr</t>
  </si>
  <si>
    <t>Gyöngyösi Rendőrkapitányság Rendőr</t>
  </si>
  <si>
    <t>Blue Box Szén Józsi</t>
  </si>
  <si>
    <t>Tibi Atya Borkápolna Eger Üzletvezető</t>
  </si>
  <si>
    <t>Kidobó, Biztonsági Őr Kecskemét, Fodor Károly, Végh Kálmi</t>
  </si>
  <si>
    <t>Kidobó, Biztonsági Őr Kutyás Őr, Kutya, Gyöngyös</t>
  </si>
  <si>
    <t>Kidobó, Biztonsági Őr, Nagy Sanyi, Miskolc</t>
  </si>
  <si>
    <t>Fürjes 2002 Épület és Lakáskozmetikai Kft. Festő, Ügyvezető, Tulajdonos</t>
  </si>
  <si>
    <t>Grassi Pincészet Üzletvezető</t>
  </si>
  <si>
    <t>Kidobó, Biztonsági Őr, Betyársereg, Betyár, Tapolca</t>
  </si>
  <si>
    <t>Gulf Lubricants Műszaki Tanácsadó</t>
  </si>
  <si>
    <t>Békafütty, Szamó</t>
  </si>
  <si>
    <t>Movie Club, Mezőkövesd Fotós, Partyfotós</t>
  </si>
  <si>
    <t>East Fest Mezőtúr Szervező</t>
  </si>
  <si>
    <t>Szent István Hotel Konyhafőnök, Pincér, Szakács</t>
  </si>
  <si>
    <t>Eszterházy Károly Egyetem Üzemeltetési Igazgató</t>
  </si>
  <si>
    <t>Kórház Eger SBO Ápoló</t>
  </si>
  <si>
    <t>Cutler Miskolc, Bükk Fitness Személyi Edző</t>
  </si>
  <si>
    <t>Egri Kemény Ferenc Sportcsarnok Üzletvezető</t>
  </si>
  <si>
    <t>Szépasszony Völgy Pince Üzletvezető</t>
  </si>
  <si>
    <t>Lashes by Bekka, Tinder, Moonlight Beauty Salon Szempillás, Pillás</t>
  </si>
  <si>
    <t>Tinder, Salgótarján, Nógrád Megye,</t>
  </si>
  <si>
    <t>Pásztorvölgyi Gimnázium Francia és matematika tanár</t>
  </si>
  <si>
    <t>Cutler Fitness by Allure Személyi Edző</t>
  </si>
  <si>
    <t>R-Books Könyvelő</t>
  </si>
  <si>
    <t>Bogács Borozó Pultos</t>
  </si>
  <si>
    <t>Hajkamra Fodrász Tulajdonos</t>
  </si>
  <si>
    <t>Markhot Ferenc Kórház Ápoló</t>
  </si>
  <si>
    <t>Heves, Panzió Tulajdonos</t>
  </si>
  <si>
    <t>Szurkolók Az Állatokért Alapítvány Vezető</t>
  </si>
  <si>
    <t>Beauty Bar Eger Fodrász</t>
  </si>
  <si>
    <t>Magyar Birkózó Szövetség Birkózó, Birkózás</t>
  </si>
  <si>
    <t>Kidobó, Biztonsági Őr, Dorkó László</t>
  </si>
  <si>
    <t>Kidobó, Biztonsági Őr Yoko, Hatvan, Boxoló</t>
  </si>
  <si>
    <t>Kidobó, Biztonsági Őr, Több Embert Tud Budapest, Vagyonőr</t>
  </si>
  <si>
    <t>Betűz Kocsma Tulajdonos</t>
  </si>
  <si>
    <t>Kidobó, Biztonsági Őr, Yoko, Jászberény, Kopasz</t>
  </si>
  <si>
    <t>Juna-Sec, Valton Kidobó, Biztonsági Őr</t>
  </si>
  <si>
    <t>Berekfürdői Strand Rendezvény Szervező</t>
  </si>
  <si>
    <t>Red Ring Fénytechnikus</t>
  </si>
  <si>
    <t>Focimeccs, Biztonsági, Kidobó Biztonságszervező</t>
  </si>
  <si>
    <t>Apu Azért Iszik, Mert Te Sírsz, Sznobjektív, Önkényes Mérvadó Műsorvezető, Publicista</t>
  </si>
  <si>
    <t>Kidobó, Biztonsági Őr, Szeged Vagyon Teremtő Konferencia, Lurdy, Nagyon Magas</t>
  </si>
  <si>
    <t>Hot Dog, Hamburger, Fesztivál Bolyki Pincészet</t>
  </si>
  <si>
    <t>Yoko Jászberény</t>
  </si>
  <si>
    <t>Blue Box Gyöngyös Fény Technika Színpad</t>
  </si>
  <si>
    <t>Kidobó, Biztonsági Őr, Gladiator Security</t>
  </si>
  <si>
    <t>Gyöngyösi Rendőrkapitányság Nyomozó</t>
  </si>
  <si>
    <t>Halmajugra Önkormányzat Polgármester</t>
  </si>
  <si>
    <t>Mátraderecske Önkormányzat Vezető, Szervező</t>
  </si>
  <si>
    <t>Kidobó, Biztonsági Őr Felvidék, Mag Erik</t>
  </si>
  <si>
    <t>Jobbik, Betyár, Kidobó, Biztonsági Őr</t>
  </si>
  <si>
    <t>Betyársereg, Kidobó, Biztonsági Őr Betyár</t>
  </si>
  <si>
    <t>Swat Security Gyöngyös, DJ, Kidobó, Biztonsági Őr, Biztonságszervező</t>
  </si>
  <si>
    <t>Eleven Events Promoter Vezető</t>
  </si>
  <si>
    <t>Fiatal Vállalkozói Program Eger, Önkormányzat Business Mentor</t>
  </si>
  <si>
    <t>Insular Tech Kft. Vezető, Szekeres Péter</t>
  </si>
  <si>
    <t>DSP Security Kidobó, Biztonsági Őr, Benes</t>
  </si>
  <si>
    <t>Szent István Hotel Pultos</t>
  </si>
  <si>
    <t>Kidobó, Biztonsági Őr, Szöllősy Richárd Boxoló, Ökölvívó</t>
  </si>
  <si>
    <t>Aegis Legal Jogász</t>
  </si>
  <si>
    <t>Hejőkürt Önkormányzat Polgármester</t>
  </si>
  <si>
    <t>Artist Tulajdonos</t>
  </si>
  <si>
    <t>Dikh TV Műsorvezető</t>
  </si>
  <si>
    <t>Broadway, BRDWY, Liget Pultos</t>
  </si>
  <si>
    <t>Touche Event Kft. Rendezvényszervező</t>
  </si>
  <si>
    <t>Kartali Rendőrkapitányság Rendőr</t>
  </si>
  <si>
    <t>Gyógytornász, Masszőr Tomin Márton</t>
  </si>
  <si>
    <t>Kidobó, Biztonsági Őr, Jászberény, Bálint Ákos, Hegesztő, Biztosítás, Jászberény</t>
  </si>
  <si>
    <t>Hori-Zone Cegcsoport Szakmai igazgató</t>
  </si>
  <si>
    <t>Lights Off Promóter Vezető</t>
  </si>
  <si>
    <t>Kidobó, Biztonsági Őr, Csomor Csaba</t>
  </si>
  <si>
    <t>Eszterházy Károly Egyetem | EKE Biztonsági Őr M-Guard, Kidobó</t>
  </si>
  <si>
    <t>Békafütty, Hippolit Vendég</t>
  </si>
  <si>
    <t>SZ Event Rendezvényszervező</t>
  </si>
  <si>
    <t>Bíboros Irodista, Ügyintéző</t>
  </si>
  <si>
    <t>Rendőrség, Magyar Birkózó Szövetség Bíró Titkár</t>
  </si>
  <si>
    <t>I❤️Gym</t>
  </si>
  <si>
    <t>Brdwy, Ráki Csaba Rendezvényszervező</t>
  </si>
  <si>
    <t>Behajtási Kérelem Borgye Zoltán</t>
  </si>
  <si>
    <t>Kidobó, Biztonsági Őr, Egyetemista, Ricsi</t>
  </si>
  <si>
    <t>Kazincbarcika Rendőrkapitányság, Laczlan János Kidobó, Biztonsági Őr, Rendőr,</t>
  </si>
  <si>
    <t>HC Gaming Kft, ITSOL Support Kft. Játékszoba, VR Szoba Eger Operatív Manager, Üzletvezető, Tulajdonos, Ügyvezető</t>
  </si>
  <si>
    <t>Dobó István Vármúzeum Vár Lagzi</t>
  </si>
  <si>
    <t>Kidobó, Biztonsági Őr, Pogonyi Gábor, Rendőr Eger, Rendőrkapitányság</t>
  </si>
  <si>
    <t>Ego Bar Üzletvezető</t>
  </si>
  <si>
    <t>Orlen Corporate Security Manager Helyettes</t>
  </si>
  <si>
    <t>In-Kal Security Csoportvezető, Kidobó</t>
  </si>
  <si>
    <t>Zsír On The Feszt Főszervező</t>
  </si>
  <si>
    <t>Dr. Kónya Ügyvédi Iroda Ügyvéd, Felelős Akkreditált Közbeszerzési Tanácsadó És Szakjogász</t>
  </si>
  <si>
    <t>DVTK Grafikus</t>
  </si>
  <si>
    <t>Magyar Birkózó szövetség, Birkózó</t>
  </si>
  <si>
    <t>Kidobó, Biztonsági Őr Dsp</t>
  </si>
  <si>
    <t>Kidobó, Biztonsági Őr Horizone, Tóth Csaba</t>
  </si>
  <si>
    <t>Kidobó Biztonsági Őr, Target Security Biztonságszervező</t>
  </si>
  <si>
    <t>Kidobó, Biztonsági Őr Gál Gyula, Salgótarján, Színpad őrzés, Gál Patrik</t>
  </si>
  <si>
    <t>Birkózás, Magyar Birkózó Szövetség Kecskemét, KTE</t>
  </si>
  <si>
    <t>Hranek Box Club, Bátonyterenye, Nógrád, Pásztó Üzletvezető, Szélkakas Fogadó</t>
  </si>
  <si>
    <t>Kidobó, Biztonsági Őr Csertán, Kazincbarcika</t>
  </si>
  <si>
    <t>Széchenyi István Katolikus Általános Iskola, Füzesabony Gyógypedagógus, Logopédus, Autizmus, Autista, Kutya Labrador Golden</t>
  </si>
  <si>
    <t>Kidobó, Biztonsági Őr Blue Box, Régi Kidobó, Gyöngyös</t>
  </si>
  <si>
    <t>Kidobó, Biztonsági Őr, Kecskemét Lajosmizse, MMA Edző</t>
  </si>
  <si>
    <t>Buják, Szirák, Dudás Bence, Blue Box, Kidobó Biztonsági Őr</t>
  </si>
  <si>
    <t>Pásztói Rendőrkapitányság, Pásztó Rendőr</t>
  </si>
  <si>
    <t>Hype Session, Jászberény, Rendezvényszervező</t>
  </si>
  <si>
    <t>Rockwell, Rocky Üzletvezető</t>
  </si>
  <si>
    <t>Birkózás, Magyar Birkózó Szövetség Bíró</t>
  </si>
  <si>
    <t>Betyársereg, Mi Hazánk, Mór, BJJ Betyár</t>
  </si>
  <si>
    <t>Lecz Ircsi Fodrász, Kidobó, Biztonsági Őr</t>
  </si>
  <si>
    <t>Miskolci Egyetem Egyetemi professzor</t>
  </si>
  <si>
    <t>Napsugár Vendégház Egerszalókon Választás, Jegyzőkönyvvezető</t>
  </si>
  <si>
    <t>S-Club Pásztó H-Trade Global Invest Kft.</t>
  </si>
  <si>
    <t>Demjéni Termálfürdő Igazgató</t>
  </si>
  <si>
    <t>Blue Box, Red Ring Pultos</t>
  </si>
  <si>
    <t>Tibi Atya Borkápolna Üzletvezető</t>
  </si>
  <si>
    <t>Eleven Events Jegyszedő</t>
  </si>
  <si>
    <t>Be-Roll Hostess Hostess</t>
  </si>
  <si>
    <t>Vlog Influence Kft, 21 Vona Gábor Asszisztens</t>
  </si>
  <si>
    <t>iskola Heves</t>
  </si>
  <si>
    <t>Nyomozó Egri Rendőrkapitányság</t>
  </si>
  <si>
    <t>Kidobó, Biztonsági Őr, Szása Kamionos, Sofőr</t>
  </si>
  <si>
    <t>Kidobó, Biztonsági Őr, Berényi Zsolt</t>
  </si>
  <si>
    <t>Pásztó Strand Üzemeltető, Ügyvezető</t>
  </si>
  <si>
    <t>Kidobó, Biztonsági Őr, Farkas Dezső Mentős</t>
  </si>
  <si>
    <t>Pamacs Kutya Mentés Állatvédő Állatmentő Kutya Menhely</t>
  </si>
  <si>
    <t>Kidobó, Biztonsági Őr, Bakó József Bosch Eger</t>
  </si>
  <si>
    <t>Salgótarján, EKE, Eszterházy Károly Egyetem Logopédus</t>
  </si>
  <si>
    <t>Karl Media Group Marketinges, Social Media Manager, Közösségi Média</t>
  </si>
  <si>
    <t>Cross Team Eger, Tinder Személyi Edző, Személyiedző, Crossfit</t>
  </si>
  <si>
    <t>Blue Box Pultos, Jegyszedő, Karszalagos</t>
  </si>
  <si>
    <t>Grafikus, Logó, Fotós Pest, Eső, Széll Kálmán Tér</t>
  </si>
  <si>
    <t>Blue Box Gyöngyös Pultos</t>
  </si>
  <si>
    <t>Karl, Lights Off Ügyintéző</t>
  </si>
  <si>
    <t>Event Rental Vezető, Ügyvezető</t>
  </si>
  <si>
    <t>Tiszaújváros, MOL Építkezés, Építés Vezető</t>
  </si>
  <si>
    <t>Szent István Hotel Üzletvezető</t>
  </si>
  <si>
    <t>Egerért Most Egyesület, Zeneger.hu Rendezvényszervező</t>
  </si>
  <si>
    <t>Braun Medical Kft. Gyöngyös Nagyréde, Scharioth Szomszéd, Beszerzési Igazgató, Áram</t>
  </si>
  <si>
    <t>Betyársereg, Kidobó, Biztonsági Őr Vezető</t>
  </si>
  <si>
    <t>Crow Security, East Fest Vezető</t>
  </si>
  <si>
    <t>S-Club Pásztó Üzletvezető</t>
  </si>
  <si>
    <t>Kidobó, Biztonsági Őr, Szeged Judo</t>
  </si>
  <si>
    <t>Gironde Ltd., Pet-Form Kft. CEO, Vezető, Tulajdonos, Igazgató</t>
  </si>
  <si>
    <t>Wini Security Vezető</t>
  </si>
  <si>
    <t>Mex Bistro Gyöngyös Autóversenyző</t>
  </si>
  <si>
    <t>S-group Biztonsági Kidobó Vezető</t>
  </si>
  <si>
    <t>Bélapátfalva, Apátság, Építkezés Építésvezető</t>
  </si>
  <si>
    <t>Kidobó, Biztonsági Őr Valentin Georgina Nina</t>
  </si>
  <si>
    <t>Jobbik Magyarországért Mozgalom Pest megyei alelnök</t>
  </si>
  <si>
    <t>DJ, Speaker, Grafikus Blue Box</t>
  </si>
  <si>
    <t>Jobbik Magyaroeszágért Mozgalom Gyömrő</t>
  </si>
  <si>
    <t>Red Ring Jászberény Üzletvezető</t>
  </si>
  <si>
    <t>Magyar Birkózó szövetség Gyúró, Masszőr</t>
  </si>
  <si>
    <t>EKF Apartman Ekf apartman</t>
  </si>
  <si>
    <t>Úszó, Tinder, Paraúszó, Olimpia, Paralimpia, Rio, Tokio</t>
  </si>
  <si>
    <t>Kleopátra Szalon, Tinder Műkörmös</t>
  </si>
  <si>
    <t>Tűzvédelmi Szakember, Biztonságszervező, Munkavédelem Biztonsági Terv, Kiürítésszámítás</t>
  </si>
  <si>
    <t>Kidobó, Biztonsági Őr Hatvan, Jam</t>
  </si>
  <si>
    <t>Biztonsági Őr, Szeku, Véd Spedition, Kidobó,</t>
  </si>
  <si>
    <t>Kidobó, Biztonsági Őr Fodor Károly, Kecskemét</t>
  </si>
  <si>
    <t>M-Guard Kft, Kidobó, Biztonsági Őr Ügyvezető,</t>
  </si>
  <si>
    <t>Dragon Security Kidobó, Biztonsági Őr</t>
  </si>
  <si>
    <t>M Guard, Eszterházy Károly Egyetem Biztonsági Őr, Porta, Kidobó</t>
  </si>
  <si>
    <t>Eszterházy Károly Egyetem | EKE Biztonsági Őr M-Guard Kidobó</t>
  </si>
  <si>
    <t>Valton Security Igazgató</t>
  </si>
  <si>
    <t>Miskolci Egyetem Gazdaságtudományi Kar, Vezetéstudományi Intézet, Innováció Menedzsment</t>
  </si>
  <si>
    <t>Kidobó, Biztonsági Őr, Suszter Dániel Boxoló, Szása, Erőemelő</t>
  </si>
  <si>
    <t>Kidobó, Biztonsági Őr Titusz Kutya Labrador Malomárok</t>
  </si>
  <si>
    <t>Utassy Vasker Aggregátor</t>
  </si>
  <si>
    <t>S-Club Pásztó Kidobó, Biztonsági Őr</t>
  </si>
  <si>
    <t>Kidobó, Biztonsági Őr, Szigetszentmiklós Vagyonőr</t>
  </si>
  <si>
    <t>In-Kal Security Felvételiztető, Vezető</t>
  </si>
  <si>
    <t>Tinder, Társkereső, Facebook Társkereső, Orosz</t>
  </si>
  <si>
    <t>Enikő .</t>
  </si>
  <si>
    <t>Csoda A</t>
  </si>
  <si>
    <t>Kiss Ábel</t>
  </si>
  <si>
    <t>Abelvagyok</t>
  </si>
  <si>
    <t>Ádám Bence</t>
  </si>
  <si>
    <t>Bagdi Ádám</t>
  </si>
  <si>
    <t>Bányai Ádám</t>
  </si>
  <si>
    <t>Bartók Ádám</t>
  </si>
  <si>
    <t>Bartus Ádám</t>
  </si>
  <si>
    <t>Benke Ádám</t>
  </si>
  <si>
    <t>Benke Ádám Benks Benks</t>
  </si>
  <si>
    <t>Ádám István</t>
  </si>
  <si>
    <t>Borics Ádám</t>
  </si>
  <si>
    <t>Borics MMA Ádám</t>
  </si>
  <si>
    <t>Agócs Zoltán Agisz</t>
  </si>
  <si>
    <t>Csík Ádám</t>
  </si>
  <si>
    <t>Szűcs Ádám Dávid Szamó</t>
  </si>
  <si>
    <t>Alaxay Viktor</t>
  </si>
  <si>
    <t>Domonkos Ádám</t>
  </si>
  <si>
    <t>Edőcs Ádám</t>
  </si>
  <si>
    <t>Albán Alex</t>
  </si>
  <si>
    <t>Alex Szabó</t>
  </si>
  <si>
    <t>Hágen Ádám</t>
  </si>
  <si>
    <t>Almási Ferenc</t>
  </si>
  <si>
    <t>Horváth Ádám</t>
  </si>
  <si>
    <t>Hegedűs Ádám Imre</t>
  </si>
  <si>
    <t>Juhasz Adam</t>
  </si>
  <si>
    <t>Borász Ádám Juhász</t>
  </si>
  <si>
    <t>katona ádám</t>
  </si>
  <si>
    <t>Alter Máté</t>
  </si>
  <si>
    <t>Kovács Adám Kokó</t>
  </si>
  <si>
    <t>Kiss Ádám László</t>
  </si>
  <si>
    <t>Melher Adam</t>
  </si>
  <si>
    <t>Ambruzs Gergő</t>
  </si>
  <si>
    <t>Mirkóczki Ádám</t>
  </si>
  <si>
    <t>Molnár Ádám</t>
  </si>
  <si>
    <t>N Adam</t>
  </si>
  <si>
    <t>Nagy Ádám N&amp;N</t>
  </si>
  <si>
    <t>Andrási József</t>
  </si>
  <si>
    <t>Orosz Ádám</t>
  </si>
  <si>
    <t>Antal István</t>
  </si>
  <si>
    <t>Antal László</t>
  </si>
  <si>
    <t>Salpauer Ádám</t>
  </si>
  <si>
    <t>Sánta Ádám</t>
  </si>
  <si>
    <t>Apostol Erik</t>
  </si>
  <si>
    <t>Arányi Attila</t>
  </si>
  <si>
    <t>Sinka Ádám</t>
  </si>
  <si>
    <t>Aubéli Ottó</t>
  </si>
  <si>
    <t>Badó László</t>
  </si>
  <si>
    <t>Varga Ádám</t>
  </si>
  <si>
    <t>Balog Adél</t>
  </si>
  <si>
    <t>Bazsó Adolf</t>
  </si>
  <si>
    <t>Kovács Adonisz</t>
  </si>
  <si>
    <t>Kis Adrián</t>
  </si>
  <si>
    <t>Magvasi Adrián</t>
  </si>
  <si>
    <t>Bocsi Adrienn</t>
  </si>
  <si>
    <t>Bonnyai Adrienn</t>
  </si>
  <si>
    <t>Cziczer Adrienn</t>
  </si>
  <si>
    <t>Eldár Adrienn</t>
  </si>
  <si>
    <t>Gólya Adrienn</t>
  </si>
  <si>
    <t>Major Adrienn</t>
  </si>
  <si>
    <t>Molnár Adrienn</t>
  </si>
  <si>
    <t>Rus Adrienn</t>
  </si>
  <si>
    <t>Schmiedmeiszter Adrienn</t>
  </si>
  <si>
    <t>Smiró Adrienn</t>
  </si>
  <si>
    <t>Szaniszló Adrienn</t>
  </si>
  <si>
    <t>Urbán Adrienn</t>
  </si>
  <si>
    <t>Jakab Ági</t>
  </si>
  <si>
    <t>Kovács Ági</t>
  </si>
  <si>
    <t>Majoros Ági</t>
  </si>
  <si>
    <t>Szerdi Ágika</t>
  </si>
  <si>
    <t>Füge Ágnes</t>
  </si>
  <si>
    <t>Dr. Gerhard-Kotroczó Ágnes</t>
  </si>
  <si>
    <t>Juhász Ágnes</t>
  </si>
  <si>
    <t>Kaizinger Ágnes</t>
  </si>
  <si>
    <t>Lefkánits Ágnes</t>
  </si>
  <si>
    <t>Luterán Ágnes</t>
  </si>
  <si>
    <t>Ónodi Ágnes</t>
  </si>
  <si>
    <t>Róna Ágnes</t>
  </si>
  <si>
    <t>Sipos Ágnes</t>
  </si>
  <si>
    <t>Tóth Ágnes</t>
  </si>
  <si>
    <t>Alagha Ahmad</t>
  </si>
  <si>
    <t>Bariscil Ahmet</t>
  </si>
  <si>
    <t>Balázs Ákos Kuvasz, Kurva</t>
  </si>
  <si>
    <t>Bálint Ákos</t>
  </si>
  <si>
    <t>Bihary Ákos</t>
  </si>
  <si>
    <t>Bagi Zoli</t>
  </si>
  <si>
    <t>Csehi Ákos</t>
  </si>
  <si>
    <t>Csiki Ákos</t>
  </si>
  <si>
    <t>Bagi Zsolt</t>
  </si>
  <si>
    <t>Kamenyiczki Ákos Kameny</t>
  </si>
  <si>
    <t>Bahlou Tamás</t>
  </si>
  <si>
    <t>Kriza Ákos</t>
  </si>
  <si>
    <t>Neufeld Ákos</t>
  </si>
  <si>
    <t>Oláh Ákos</t>
  </si>
  <si>
    <t>Pallagi Ákos</t>
  </si>
  <si>
    <t>Goa Ákos Pallagi</t>
  </si>
  <si>
    <t>Pápai Ákos</t>
  </si>
  <si>
    <t>Sándor Ákos</t>
  </si>
  <si>
    <t>Simon Ákos</t>
  </si>
  <si>
    <t>Bajnok Krisztián</t>
  </si>
  <si>
    <t>Bajzát Tamás</t>
  </si>
  <si>
    <t>Bari Aladár</t>
  </si>
  <si>
    <t>Szanyi Albert</t>
  </si>
  <si>
    <t>Bakó József Dumbó</t>
  </si>
  <si>
    <t>Bacsó Alex</t>
  </si>
  <si>
    <t>Csernográcz Alex</t>
  </si>
  <si>
    <t>Csík Alex</t>
  </si>
  <si>
    <t>Balázs Kolos</t>
  </si>
  <si>
    <t>Kiss Alex</t>
  </si>
  <si>
    <t>Balla Tamás</t>
  </si>
  <si>
    <t>Balogh Bandi</t>
  </si>
  <si>
    <t>Szőke Alex</t>
  </si>
  <si>
    <t>Csikos Alexa</t>
  </si>
  <si>
    <t>Fazekas Alexa</t>
  </si>
  <si>
    <t>Tóth Alexa</t>
  </si>
  <si>
    <t>Balázs Alexandra</t>
  </si>
  <si>
    <t>Bardóczi Alexandra</t>
  </si>
  <si>
    <t>Béni Alexandra</t>
  </si>
  <si>
    <t>Berki Alexandra</t>
  </si>
  <si>
    <t>Berta Alexandra</t>
  </si>
  <si>
    <t>Bobál Alexandra</t>
  </si>
  <si>
    <t>Elbert Alexandra</t>
  </si>
  <si>
    <t>Ferenczi Alexandra</t>
  </si>
  <si>
    <t>Gomány Alexandra</t>
  </si>
  <si>
    <t>Jékli Alexandra</t>
  </si>
  <si>
    <t>Kilián Alexandra</t>
  </si>
  <si>
    <t>Kövér Alexandra</t>
  </si>
  <si>
    <t>Major-Brunner Alexandra</t>
  </si>
  <si>
    <t>Mezőhegyi Alexandra</t>
  </si>
  <si>
    <t>Polai Alexandra</t>
  </si>
  <si>
    <t>Rakittyán Alexandra</t>
  </si>
  <si>
    <t>Sály Alexandra</t>
  </si>
  <si>
    <t>Sztahó Alexandra</t>
  </si>
  <si>
    <t>Török Alexandra</t>
  </si>
  <si>
    <t>Tóth Alexandra</t>
  </si>
  <si>
    <t>Veres Alexandra</t>
  </si>
  <si>
    <t>Balogh Alicia</t>
  </si>
  <si>
    <t>Balogh Alíz</t>
  </si>
  <si>
    <t>Horváth Alma</t>
  </si>
  <si>
    <t>Kato Alpar</t>
  </si>
  <si>
    <t>Polonkai Amanda</t>
  </si>
  <si>
    <t>Abbioui Amina</t>
  </si>
  <si>
    <t>Stankovic Ana</t>
  </si>
  <si>
    <t>Hangácsi Andi</t>
  </si>
  <si>
    <t>Vizesi Andi</t>
  </si>
  <si>
    <t>Kertész András Angyal</t>
  </si>
  <si>
    <t>Benedek András</t>
  </si>
  <si>
    <t>Balogh Dániel</t>
  </si>
  <si>
    <t>Bóna András</t>
  </si>
  <si>
    <t>Borbély András</t>
  </si>
  <si>
    <t>Cservenyi András</t>
  </si>
  <si>
    <t>Bán Dávid</t>
  </si>
  <si>
    <t>Ferencz András</t>
  </si>
  <si>
    <t>Bán Péter</t>
  </si>
  <si>
    <t>Gaál András</t>
  </si>
  <si>
    <t>Garamhegyi Andras</t>
  </si>
  <si>
    <t>Jáborcsik András</t>
  </si>
  <si>
    <t>Jerse András</t>
  </si>
  <si>
    <t>Bánki Zsolt</t>
  </si>
  <si>
    <t>Baráth Zsolt</t>
  </si>
  <si>
    <t>Kovács András</t>
  </si>
  <si>
    <t>Lakatos András</t>
  </si>
  <si>
    <t>Major András</t>
  </si>
  <si>
    <t>Makula András</t>
  </si>
  <si>
    <t>Bardóczy Tamás</t>
  </si>
  <si>
    <t>Rázsi András</t>
  </si>
  <si>
    <t>Bárdos Róbert</t>
  </si>
  <si>
    <t>Bárdos Sándor</t>
  </si>
  <si>
    <t>Szűcs András</t>
  </si>
  <si>
    <t>Barkó Péter</t>
  </si>
  <si>
    <t>Veres András</t>
  </si>
  <si>
    <t>Bíró András Zsolt</t>
  </si>
  <si>
    <t>Árvai Andrásné</t>
  </si>
  <si>
    <t>Balaska Papp Andrea</t>
  </si>
  <si>
    <t>Dusza Andrea</t>
  </si>
  <si>
    <t>Hornyák Andrea</t>
  </si>
  <si>
    <t>Kovács Andrea</t>
  </si>
  <si>
    <t>Kriston Andrea</t>
  </si>
  <si>
    <t>Lefkánits Andrea</t>
  </si>
  <si>
    <t>Nyeste Andrea</t>
  </si>
  <si>
    <t>Szatmári Andrea</t>
  </si>
  <si>
    <t>Szendrei Andrea Andi</t>
  </si>
  <si>
    <t>Demeter Andris</t>
  </si>
  <si>
    <t>Ádám Anett</t>
  </si>
  <si>
    <t>Hegedűs Anett</t>
  </si>
  <si>
    <t>Kolmonth Anett</t>
  </si>
  <si>
    <t>Kovács Anett</t>
  </si>
  <si>
    <t>Szakács Anett Grumpy Cat</t>
  </si>
  <si>
    <t>Szuromi Anett</t>
  </si>
  <si>
    <t>Tóth Anetta</t>
  </si>
  <si>
    <t>Béres Angéla</t>
  </si>
  <si>
    <t>Pasternak Aniela</t>
  </si>
  <si>
    <t>Bartusné Anikó</t>
  </si>
  <si>
    <t>Dormán Anikó</t>
  </si>
  <si>
    <t>Farkas Anikó</t>
  </si>
  <si>
    <t>Gurisatti Anikó</t>
  </si>
  <si>
    <t>Hajdú Anikó</t>
  </si>
  <si>
    <t>Kágerer Anikó</t>
  </si>
  <si>
    <t>Kudor Anikó Qdor</t>
  </si>
  <si>
    <t>Melnik Anikó</t>
  </si>
  <si>
    <t>Miklósi Anikó</t>
  </si>
  <si>
    <t>Sarkadi Anikó</t>
  </si>
  <si>
    <t>Szabó Anikó</t>
  </si>
  <si>
    <t>Szakállas Anikó</t>
  </si>
  <si>
    <t>Takács Anikó</t>
  </si>
  <si>
    <t>Tóth Anikó</t>
  </si>
  <si>
    <t>Bársony Dénes András</t>
  </si>
  <si>
    <t>Vörös Anikó</t>
  </si>
  <si>
    <t>Bari Anita</t>
  </si>
  <si>
    <t>Demeter Anita</t>
  </si>
  <si>
    <t>Dorkó Anita</t>
  </si>
  <si>
    <t>Farkas Anita</t>
  </si>
  <si>
    <t>Fodor Anita</t>
  </si>
  <si>
    <t>Horváth Anita</t>
  </si>
  <si>
    <t>Juhász Anita</t>
  </si>
  <si>
    <t>Kerékgyártó Anita</t>
  </si>
  <si>
    <t>Kiss Anita</t>
  </si>
  <si>
    <t>Soltész Anita</t>
  </si>
  <si>
    <t>Stumpf Anita Hegedűs Kriszti barátnő</t>
  </si>
  <si>
    <t>Török Anita</t>
  </si>
  <si>
    <t>Tóth Anita</t>
  </si>
  <si>
    <t>Varga Anita</t>
  </si>
  <si>
    <t>Besze Anna</t>
  </si>
  <si>
    <t>Lehotainé Tóth Anna Borbála</t>
  </si>
  <si>
    <t>Erdei Anna Julianna</t>
  </si>
  <si>
    <t>Kozma Anna Panni</t>
  </si>
  <si>
    <t>Magyari Anna</t>
  </si>
  <si>
    <t>Motolai Anna</t>
  </si>
  <si>
    <t>Nádudvari Anna</t>
  </si>
  <si>
    <t>Buna Anna Sára</t>
  </si>
  <si>
    <t>Székely Anna</t>
  </si>
  <si>
    <t>Szél Anna</t>
  </si>
  <si>
    <t>Török Anna</t>
  </si>
  <si>
    <t>Tóth Anna</t>
  </si>
  <si>
    <t>Vinczéné Lángos Anna</t>
  </si>
  <si>
    <t>Szabó Anna Zsófia</t>
  </si>
  <si>
    <t>Csík Annamária</t>
  </si>
  <si>
    <t>Erős Annamária Anri</t>
  </si>
  <si>
    <t>Dr. Győrbíró Annamária</t>
  </si>
  <si>
    <t>Kakuk Annamária</t>
  </si>
  <si>
    <t>Pásztor Annamária</t>
  </si>
  <si>
    <t>Szücs Annamária</t>
  </si>
  <si>
    <t>Tar Antónia</t>
  </si>
  <si>
    <t>Kórházi Apa</t>
  </si>
  <si>
    <t>Bársony Károly</t>
  </si>
  <si>
    <t>Csaj Arab</t>
  </si>
  <si>
    <t>Kormos Ariel</t>
  </si>
  <si>
    <t>Rázsi Armand</t>
  </si>
  <si>
    <t>Barta Kálmán</t>
  </si>
  <si>
    <t>Halász Arnold</t>
  </si>
  <si>
    <t>Barta Péter</t>
  </si>
  <si>
    <t>Pap Arnold</t>
  </si>
  <si>
    <t>Kerékgyártó Áron Harun</t>
  </si>
  <si>
    <t>Kovács Áron</t>
  </si>
  <si>
    <t>Szigeti Áron</t>
  </si>
  <si>
    <t>Barta Zsolt</t>
  </si>
  <si>
    <t>Szternák Áron</t>
  </si>
  <si>
    <t>Tajthy Áron</t>
  </si>
  <si>
    <t>Tóth Áron</t>
  </si>
  <si>
    <t>Világi Áron</t>
  </si>
  <si>
    <t>Bognár Árpád</t>
  </si>
  <si>
    <t>Kabók Árpád</t>
  </si>
  <si>
    <t>Ritter Árpád</t>
  </si>
  <si>
    <t>Tóth Árpád</t>
  </si>
  <si>
    <t>Bús Árpád Zsolt</t>
  </si>
  <si>
    <t>Bartha Roland</t>
  </si>
  <si>
    <t>Ádám Attila</t>
  </si>
  <si>
    <t>Szajkó Attila Alex</t>
  </si>
  <si>
    <t>Bartos Csaba</t>
  </si>
  <si>
    <t>Barkanyi Attila</t>
  </si>
  <si>
    <t>Bodó Attila</t>
  </si>
  <si>
    <t>Bordás Attila</t>
  </si>
  <si>
    <t>Bartus Tibi</t>
  </si>
  <si>
    <t>Bujdos Attila</t>
  </si>
  <si>
    <t>Barza Gergely</t>
  </si>
  <si>
    <t>Belényesi Karcsi</t>
  </si>
  <si>
    <t>Benes Gergő</t>
  </si>
  <si>
    <t>Beney Szabolcs</t>
  </si>
  <si>
    <t>Faragó Attila</t>
  </si>
  <si>
    <t>Farkas Attila</t>
  </si>
  <si>
    <t>Fazekas Attila</t>
  </si>
  <si>
    <t>Forray Attila</t>
  </si>
  <si>
    <t>Galambosi Attila</t>
  </si>
  <si>
    <t>Gombos Attila</t>
  </si>
  <si>
    <t>Gyöngy Attila</t>
  </si>
  <si>
    <t>Hütter Attila</t>
  </si>
  <si>
    <t>Dr. Ivancsó Attila</t>
  </si>
  <si>
    <t>Jacsmanik Attila</t>
  </si>
  <si>
    <t>Berki János</t>
  </si>
  <si>
    <t>Kelemen Attila</t>
  </si>
  <si>
    <t>Berki Róbert</t>
  </si>
  <si>
    <t>Kovács Attila</t>
  </si>
  <si>
    <t>Majoros Attila</t>
  </si>
  <si>
    <t>Mayer Attila</t>
  </si>
  <si>
    <t>Mile Attila</t>
  </si>
  <si>
    <t>Berzéki Tamás</t>
  </si>
  <si>
    <t>Berzeviczi Csaba</t>
  </si>
  <si>
    <t>Perecsenyi Attila</t>
  </si>
  <si>
    <t>Besenyei Tamás</t>
  </si>
  <si>
    <t>Pintér Attila Pinyő</t>
  </si>
  <si>
    <t>Ragó Attila</t>
  </si>
  <si>
    <t>Repka Attila</t>
  </si>
  <si>
    <t>Rézműves Attila</t>
  </si>
  <si>
    <t>Besze Gergő</t>
  </si>
  <si>
    <t>Besztercei Rajmund</t>
  </si>
  <si>
    <t>Beszteri Ferenc</t>
  </si>
  <si>
    <t>Szél Attila</t>
  </si>
  <si>
    <t>Bikali Zsolt</t>
  </si>
  <si>
    <t>Szinay Attila</t>
  </si>
  <si>
    <t>Bikkes Ottó</t>
  </si>
  <si>
    <t>Bilik László</t>
  </si>
  <si>
    <t>Tomaschik Attila FekAti</t>
  </si>
  <si>
    <t>Biricz Péter</t>
  </si>
  <si>
    <t>Tösmagi Attila Tösi</t>
  </si>
  <si>
    <t>Bíró András</t>
  </si>
  <si>
    <t>Tóvaj Attila</t>
  </si>
  <si>
    <t>Bíró Bence</t>
  </si>
  <si>
    <t>Varró Attila</t>
  </si>
  <si>
    <t>Bíró István Sityu</t>
  </si>
  <si>
    <t>Veres Attila</t>
  </si>
  <si>
    <t>Zachar Attila</t>
  </si>
  <si>
    <t>Szilágyi B</t>
  </si>
  <si>
    <t>Alex Bacso</t>
  </si>
  <si>
    <t>Bence Bacsó</t>
  </si>
  <si>
    <t>Árvai Balázs</t>
  </si>
  <si>
    <t>Dr Banu Balázs</t>
  </si>
  <si>
    <t>Bíró Balázs</t>
  </si>
  <si>
    <t>Fekete Balázs</t>
  </si>
  <si>
    <t>Fukszberger Balázs</t>
  </si>
  <si>
    <t>Gémes Balázs</t>
  </si>
  <si>
    <t>Bíró Sándor</t>
  </si>
  <si>
    <t>Dr. Ivancsó Balázs</t>
  </si>
  <si>
    <t>Bocsó Jani</t>
  </si>
  <si>
    <t>Bodnár Benjámin</t>
  </si>
  <si>
    <t>Kiss Balázs</t>
  </si>
  <si>
    <t>Kisvarga Balázs</t>
  </si>
  <si>
    <t>Laczkó Balázs</t>
  </si>
  <si>
    <t>Bodnár Sándor</t>
  </si>
  <si>
    <t>Leskó Balázs</t>
  </si>
  <si>
    <t>Bodó István</t>
  </si>
  <si>
    <t>Nagy Balázs</t>
  </si>
  <si>
    <t>Négyesi Balázs</t>
  </si>
  <si>
    <t>Ördög Balázs</t>
  </si>
  <si>
    <t>Őszi Balázs</t>
  </si>
  <si>
    <t>Bodon Ákos</t>
  </si>
  <si>
    <t>Patoh Balázs</t>
  </si>
  <si>
    <t>Smuczer Balázs</t>
  </si>
  <si>
    <t>Bodonyi Ádám</t>
  </si>
  <si>
    <t>Bodor Benjámin</t>
  </si>
  <si>
    <t>Bora György</t>
  </si>
  <si>
    <t>Bordás Tamás</t>
  </si>
  <si>
    <t>Dr. Vörös Balázs</t>
  </si>
  <si>
    <t>Zsákai Balázs</t>
  </si>
  <si>
    <t>Asztalos Bálint</t>
  </si>
  <si>
    <t>Borsi Bálint Borsos</t>
  </si>
  <si>
    <t>Farkas Bálint</t>
  </si>
  <si>
    <t>Korpási Bálint</t>
  </si>
  <si>
    <t>Bóta László</t>
  </si>
  <si>
    <t>Lám Bálint</t>
  </si>
  <si>
    <t>Bóta Miklós</t>
  </si>
  <si>
    <t>Botos István János</t>
  </si>
  <si>
    <t>Botos Zsolt</t>
  </si>
  <si>
    <t>Zoltan Bandorak</t>
  </si>
  <si>
    <t>Bódvai Barbara</t>
  </si>
  <si>
    <t>Botos Barbara</t>
  </si>
  <si>
    <t>Hegyi Barbara</t>
  </si>
  <si>
    <t>Horváth Barbara</t>
  </si>
  <si>
    <t>Johány Barbara</t>
  </si>
  <si>
    <t>Kácsándi Barbara</t>
  </si>
  <si>
    <t>Kiss Barbara</t>
  </si>
  <si>
    <t>Kollár Barbara</t>
  </si>
  <si>
    <t>Nagy Barbara</t>
  </si>
  <si>
    <t>Oláh Barbara</t>
  </si>
  <si>
    <t>Papp Barbara</t>
  </si>
  <si>
    <t>Sinkó Barbara</t>
  </si>
  <si>
    <t>Szopkó Barbara</t>
  </si>
  <si>
    <t>Tilly Barbara</t>
  </si>
  <si>
    <t>Török Barbara</t>
  </si>
  <si>
    <t>Zaja Barbara</t>
  </si>
  <si>
    <t>Balogi Barbi</t>
  </si>
  <si>
    <t>Vivien Barczi</t>
  </si>
  <si>
    <t>Kinga Bári</t>
  </si>
  <si>
    <t>Bozoki Zsolt</t>
  </si>
  <si>
    <t>Bak Barnabás</t>
  </si>
  <si>
    <t>Barna Barnabás</t>
  </si>
  <si>
    <t>Döbröndi Barnabás</t>
  </si>
  <si>
    <t>Horváth Barnabás</t>
  </si>
  <si>
    <t>Seres Barnabás</t>
  </si>
  <si>
    <t>Bozsik Attila</t>
  </si>
  <si>
    <t>Kondi Baszos Andrea</t>
  </si>
  <si>
    <t>Dávid Báthory</t>
  </si>
  <si>
    <t>Partybusz BB RR</t>
  </si>
  <si>
    <t>Gulyás Bea</t>
  </si>
  <si>
    <t>Gáspár Beáta</t>
  </si>
  <si>
    <t>Győriné Sasvári Beáta</t>
  </si>
  <si>
    <t>Kemény Beáta</t>
  </si>
  <si>
    <t>Csiszer Beatrix</t>
  </si>
  <si>
    <t>Csoma Beatrix</t>
  </si>
  <si>
    <t>Kovács Beatrix</t>
  </si>
  <si>
    <t>Nagy Beatrix</t>
  </si>
  <si>
    <t>Pothurszky Beatrix</t>
  </si>
  <si>
    <t>Sike Beatrix Róka</t>
  </si>
  <si>
    <t>Solymosi Beatrix Bartus Bebi</t>
  </si>
  <si>
    <t>Vass Beatrix</t>
  </si>
  <si>
    <t>Pult Béka</t>
  </si>
  <si>
    <t>BS András Köntzöl</t>
  </si>
  <si>
    <t>Boros Béla Gábor</t>
  </si>
  <si>
    <t>Kathi Béla</t>
  </si>
  <si>
    <t>BS Attila Kiszel</t>
  </si>
  <si>
    <t>Mellik Béla</t>
  </si>
  <si>
    <t>BS Bandi Nagy</t>
  </si>
  <si>
    <t>BS Erik Mag</t>
  </si>
  <si>
    <t>Sas Béla</t>
  </si>
  <si>
    <t>BS György Matisz</t>
  </si>
  <si>
    <t>Varga Béla</t>
  </si>
  <si>
    <t>Balázs Béli</t>
  </si>
  <si>
    <t>Besenyei Belly</t>
  </si>
  <si>
    <t>Balatoni Bence</t>
  </si>
  <si>
    <t>Balla Bence</t>
  </si>
  <si>
    <t>Budai Igor</t>
  </si>
  <si>
    <t>Budai Zsolt</t>
  </si>
  <si>
    <t>Burkus János</t>
  </si>
  <si>
    <t>Fürjes Bence</t>
  </si>
  <si>
    <t>Gyöngy Bence</t>
  </si>
  <si>
    <t>Győri Bence</t>
  </si>
  <si>
    <t>Szabó Bence Gyula</t>
  </si>
  <si>
    <t>Hadnagy Bence</t>
  </si>
  <si>
    <t>Hajdú Bence</t>
  </si>
  <si>
    <t>Halmi Bence</t>
  </si>
  <si>
    <t>Horváth Bence</t>
  </si>
  <si>
    <t>Kovács Bence Koko</t>
  </si>
  <si>
    <t>Burom Zsolt</t>
  </si>
  <si>
    <t>Csathó Márk</t>
  </si>
  <si>
    <t>Kőrfy Bence</t>
  </si>
  <si>
    <t>Kovács Bence</t>
  </si>
  <si>
    <t>Medved Bence</t>
  </si>
  <si>
    <t>Mizák Bence</t>
  </si>
  <si>
    <t>Pálos Bence</t>
  </si>
  <si>
    <t>Cseh Feri Jeti</t>
  </si>
  <si>
    <t>Cseh Pisti</t>
  </si>
  <si>
    <t>Sík Bence</t>
  </si>
  <si>
    <t>Csépe István</t>
  </si>
  <si>
    <t>Szuromi Bence</t>
  </si>
  <si>
    <t>Cserhalmi Ádám</t>
  </si>
  <si>
    <t>Telek Bence</t>
  </si>
  <si>
    <t>Tóth Bence</t>
  </si>
  <si>
    <t>Csertán Attila</t>
  </si>
  <si>
    <t>Vidra Bence</t>
  </si>
  <si>
    <t>Lagzi-Kovács Bendegúz</t>
  </si>
  <si>
    <t>Szandra Bene</t>
  </si>
  <si>
    <t>Juhász Beni</t>
  </si>
  <si>
    <t>Csiba Gabi</t>
  </si>
  <si>
    <t>Csikós Zoltán Csiki</t>
  </si>
  <si>
    <t>Torda Benjámin</t>
  </si>
  <si>
    <t>Balogh Bernadett</t>
  </si>
  <si>
    <t>Dr-Bézsenyi Bernadett</t>
  </si>
  <si>
    <t>Nagy-Juhász Bernadett</t>
  </si>
  <si>
    <t>Németh Bernadett</t>
  </si>
  <si>
    <t>Péczka Bernadett Berni</t>
  </si>
  <si>
    <t>Szikszai Bernadett</t>
  </si>
  <si>
    <t>Szkok Bernadett</t>
  </si>
  <si>
    <t>Tóth Bernadett</t>
  </si>
  <si>
    <t>Váczi Bernadett</t>
  </si>
  <si>
    <t>Bánka Bertold Berti</t>
  </si>
  <si>
    <t>Adél Berzi</t>
  </si>
  <si>
    <t>Nikoletta Besenyei</t>
  </si>
  <si>
    <t>Sütő Betti</t>
  </si>
  <si>
    <t>Vincze Betti</t>
  </si>
  <si>
    <t>Vincze Bettina Erzsébet</t>
  </si>
  <si>
    <t>Nagy Bettina</t>
  </si>
  <si>
    <t>Pap Bettina</t>
  </si>
  <si>
    <t>Poloviczer Bettina</t>
  </si>
  <si>
    <t>Szabó Bettina Manóka Minike</t>
  </si>
  <si>
    <t>Szűcs Bettina</t>
  </si>
  <si>
    <t>Kicsi Betty</t>
  </si>
  <si>
    <t>Boros Beus</t>
  </si>
  <si>
    <t>Balák Bianka</t>
  </si>
  <si>
    <t>Pilinyi Bianka</t>
  </si>
  <si>
    <t>Gi Bo</t>
  </si>
  <si>
    <t>Szabados Böbe</t>
  </si>
  <si>
    <t>Kassay Bogi</t>
  </si>
  <si>
    <t>Tar Bogi</t>
  </si>
  <si>
    <t>Vilmányi Bogi</t>
  </si>
  <si>
    <t>Bé Bogika</t>
  </si>
  <si>
    <t>Baka Boglárka</t>
  </si>
  <si>
    <t>Gulya Boglárka</t>
  </si>
  <si>
    <t>Hartmanné Boglárka</t>
  </si>
  <si>
    <t>Kecskés Boglárka</t>
  </si>
  <si>
    <t>Molnár Boglárka</t>
  </si>
  <si>
    <t>Nagy Boglárka</t>
  </si>
  <si>
    <t>Ürmösi Boglárka</t>
  </si>
  <si>
    <t>Józsefné Zsóka Néni Boldizsár</t>
  </si>
  <si>
    <t>Pólik Boldizsár</t>
  </si>
  <si>
    <t>Pult Bolyki</t>
  </si>
  <si>
    <t>Szabolcs Bolyki</t>
  </si>
  <si>
    <t>Horváth Borbála</t>
  </si>
  <si>
    <t>Sebestyén Borbála</t>
  </si>
  <si>
    <t>Pista Borsos</t>
  </si>
  <si>
    <t>Csaba Bóta</t>
  </si>
  <si>
    <t>Gulyás Botond</t>
  </si>
  <si>
    <t>Lukács Botond</t>
  </si>
  <si>
    <t>Rázsi Botond</t>
  </si>
  <si>
    <t>Eztúgyselátják Botosjeti</t>
  </si>
  <si>
    <t>Laci Brdwy</t>
  </si>
  <si>
    <t>Barta Brigi</t>
  </si>
  <si>
    <t>Condea Brigitta</t>
  </si>
  <si>
    <t>Csobod Brigitta</t>
  </si>
  <si>
    <t>Farkas Brigitta</t>
  </si>
  <si>
    <t>Haklár Brigitta</t>
  </si>
  <si>
    <t>Szabó Brigitta Kitti Sastre Brígida</t>
  </si>
  <si>
    <t>Kovács Brigitta</t>
  </si>
  <si>
    <t>Krégl Brigitta</t>
  </si>
  <si>
    <t>Csonka János</t>
  </si>
  <si>
    <t>Mészáros Brigitta</t>
  </si>
  <si>
    <t>Pető Brigitta</t>
  </si>
  <si>
    <t>Rádi Brigitta</t>
  </si>
  <si>
    <t>Rása Brigitta</t>
  </si>
  <si>
    <t>Dr. Tamasi Brigitta</t>
  </si>
  <si>
    <t>Vanyóczky Brigitta</t>
  </si>
  <si>
    <t>Csillagda Bükki</t>
  </si>
  <si>
    <t>Renáta Butykó</t>
  </si>
  <si>
    <t>Jázminka Caroline</t>
  </si>
  <si>
    <t>Harris Chad</t>
  </si>
  <si>
    <t>Bresztyenszky Christopher Krisz</t>
  </si>
  <si>
    <t>Buchert Cintia</t>
  </si>
  <si>
    <t>Gulácsi Cintia</t>
  </si>
  <si>
    <t>Bor Cintia Judit</t>
  </si>
  <si>
    <t>Orbán Cintia</t>
  </si>
  <si>
    <t>Oros Cintia</t>
  </si>
  <si>
    <t>Condea Claudia</t>
  </si>
  <si>
    <t>Remias Claudia</t>
  </si>
  <si>
    <t>Dikó Codi</t>
  </si>
  <si>
    <t>Eger Corner</t>
  </si>
  <si>
    <t>Csontó Gergő Gergely</t>
  </si>
  <si>
    <t>Csupor Gábor</t>
  </si>
  <si>
    <t>Cserged Csaba</t>
  </si>
  <si>
    <t>Csupori Zsolt</t>
  </si>
  <si>
    <t>Csóré Csaba</t>
  </si>
  <si>
    <t>Dienes Csaba</t>
  </si>
  <si>
    <t>Csutár Mihály</t>
  </si>
  <si>
    <t>Faragó Csaba</t>
  </si>
  <si>
    <t>Frenyó Csaba</t>
  </si>
  <si>
    <t>Cukros Misi</t>
  </si>
  <si>
    <t>Horváth Csaba</t>
  </si>
  <si>
    <t>Kecskés Csaba</t>
  </si>
  <si>
    <t>Koleszár Csaba</t>
  </si>
  <si>
    <t>Kolozsvári Csaba</t>
  </si>
  <si>
    <t>Kovács Csaba Csunér</t>
  </si>
  <si>
    <t>Lehoczki Csaba</t>
  </si>
  <si>
    <t>Lövei Csaba</t>
  </si>
  <si>
    <t>Czikó Gergő</t>
  </si>
  <si>
    <t>Markót Csaba</t>
  </si>
  <si>
    <t>Molnár Csaba</t>
  </si>
  <si>
    <t>Nagy Csaba</t>
  </si>
  <si>
    <t>Németh Csaba</t>
  </si>
  <si>
    <t>Rajos Csaba</t>
  </si>
  <si>
    <t>Ráki Csaba</t>
  </si>
  <si>
    <t>Sarkadi-Illyés Csaba</t>
  </si>
  <si>
    <t>Simo Csaba</t>
  </si>
  <si>
    <t>Novák Csaba Taxi 7-es Taxi 7-es</t>
  </si>
  <si>
    <t>Tombor Csaba</t>
  </si>
  <si>
    <t>Tóth Csaba</t>
  </si>
  <si>
    <t>Czövek Ildikó</t>
  </si>
  <si>
    <t>Tóth Csabi</t>
  </si>
  <si>
    <t>Acsai Csenge</t>
  </si>
  <si>
    <t>Zrupkó Csenge</t>
  </si>
  <si>
    <t>Ali Csilla</t>
  </si>
  <si>
    <t>Árvai Csilla</t>
  </si>
  <si>
    <t>Reichert Csilla</t>
  </si>
  <si>
    <t>Rófusz Csilla</t>
  </si>
  <si>
    <t>Karczag Csongor</t>
  </si>
  <si>
    <t>Uj-Nagy Csongor</t>
  </si>
  <si>
    <t>Bander Dalma</t>
  </si>
  <si>
    <t>Bodolai Dalma</t>
  </si>
  <si>
    <t>Hegyesi Dalma Dorottya</t>
  </si>
  <si>
    <t>Gödri Dalma</t>
  </si>
  <si>
    <t>Papp Dalma</t>
  </si>
  <si>
    <t>Zilahy Dalma</t>
  </si>
  <si>
    <t>Fenyves Dana</t>
  </si>
  <si>
    <t>Ardai Dani</t>
  </si>
  <si>
    <t>Eged Dani</t>
  </si>
  <si>
    <t>Kakuk Dani</t>
  </si>
  <si>
    <t>Sopronyi Dani</t>
  </si>
  <si>
    <t>Dávid Zsolti</t>
  </si>
  <si>
    <t>Deák János</t>
  </si>
  <si>
    <t>Csőre Dániel</t>
  </si>
  <si>
    <t>Csuja Dániel</t>
  </si>
  <si>
    <t>Czimre Dániel</t>
  </si>
  <si>
    <t>Dédé Dániel Darók</t>
  </si>
  <si>
    <t>Dienes Dániel</t>
  </si>
  <si>
    <t>Domán Dániel</t>
  </si>
  <si>
    <t>Domokos Dániel</t>
  </si>
  <si>
    <t>Farkas Dániel</t>
  </si>
  <si>
    <t>Gál Dániel</t>
  </si>
  <si>
    <t>Tóth Dániel György Pixa</t>
  </si>
  <si>
    <t>Hlavati Dániel</t>
  </si>
  <si>
    <t>Kondrát Dániel</t>
  </si>
  <si>
    <t>Kszell Dániel</t>
  </si>
  <si>
    <t>Ligeti Dániel</t>
  </si>
  <si>
    <t>Mestyán Dániel</t>
  </si>
  <si>
    <t>Deli Tamás</t>
  </si>
  <si>
    <t>Demeter András Gazebo</t>
  </si>
  <si>
    <t>Sándor Dániel</t>
  </si>
  <si>
    <t>Stétz Dániel</t>
  </si>
  <si>
    <t>Demeter Zoltán</t>
  </si>
  <si>
    <t>Szalczinger Dániel</t>
  </si>
  <si>
    <t>Szászi Dániel</t>
  </si>
  <si>
    <t>Tancsa Dániel</t>
  </si>
  <si>
    <t>Tánczos Dániel</t>
  </si>
  <si>
    <t>Török Dániel</t>
  </si>
  <si>
    <t>Tóth Dániel</t>
  </si>
  <si>
    <t>Turcsányi Dániel</t>
  </si>
  <si>
    <t>Dér Alex</t>
  </si>
  <si>
    <t>Veszelszki Dániel</t>
  </si>
  <si>
    <t>Zsiga-Kárpát Dániel</t>
  </si>
  <si>
    <t>Illés Daniella Cherry</t>
  </si>
  <si>
    <t>Kántor Daniella</t>
  </si>
  <si>
    <t>Anyuka Danyi Dorka</t>
  </si>
  <si>
    <t>Vitek Dáriusz</t>
  </si>
  <si>
    <t>Borbély Datrash Mihály</t>
  </si>
  <si>
    <t>Kiss Dávid Áron</t>
  </si>
  <si>
    <t>Dienes László Dinnye</t>
  </si>
  <si>
    <t>Barkóczy Dávid</t>
  </si>
  <si>
    <t>Bojtos Dávid</t>
  </si>
  <si>
    <t>Drávucz Dávid</t>
  </si>
  <si>
    <t>Dienes Tamás</t>
  </si>
  <si>
    <t>Garai Dávid</t>
  </si>
  <si>
    <t>Gégény Dávid</t>
  </si>
  <si>
    <t>Dobos Ádám</t>
  </si>
  <si>
    <t>Horváth Dávid</t>
  </si>
  <si>
    <t>Janiczak Dávid</t>
  </si>
  <si>
    <t>Kása Dávid</t>
  </si>
  <si>
    <t>Kerékgyártó Dávid</t>
  </si>
  <si>
    <t>Király Dávid</t>
  </si>
  <si>
    <t>Kiss Dávid</t>
  </si>
  <si>
    <t>Kreiter Dávid</t>
  </si>
  <si>
    <t>Dobos András</t>
  </si>
  <si>
    <t>Losonczi Dávid</t>
  </si>
  <si>
    <t>Majoros Dávid</t>
  </si>
  <si>
    <t>Dobos Gábor</t>
  </si>
  <si>
    <t>Molnár Dávid</t>
  </si>
  <si>
    <t>Nagy Dávid</t>
  </si>
  <si>
    <t>NDave Dávid Nagy</t>
  </si>
  <si>
    <t>Németh Dávid</t>
  </si>
  <si>
    <t>Pathó Dávid</t>
  </si>
  <si>
    <t>Sajó Dávid</t>
  </si>
  <si>
    <t>Dobos Sándor</t>
  </si>
  <si>
    <t>Sohajda Dávid</t>
  </si>
  <si>
    <t>Dóczi Marci</t>
  </si>
  <si>
    <t>Szél Dávid</t>
  </si>
  <si>
    <t>Papp Dávid Tivadar</t>
  </si>
  <si>
    <t>Ujhelyi Dávid</t>
  </si>
  <si>
    <t>Vincze Dávid</t>
  </si>
  <si>
    <t>Doki István Szabó</t>
  </si>
  <si>
    <t>Óóó de Tomi</t>
  </si>
  <si>
    <t>Tamás Debóra</t>
  </si>
  <si>
    <t>Anett Demencze</t>
  </si>
  <si>
    <t>Varga Dendra</t>
  </si>
  <si>
    <t>Domboróczki Attila Gyuro</t>
  </si>
  <si>
    <t>Kovács-Hagyó Dénes Rudolf</t>
  </si>
  <si>
    <t>Pádár Dénes</t>
  </si>
  <si>
    <t>Szarka Dénes</t>
  </si>
  <si>
    <t>Sütő Dézi</t>
  </si>
  <si>
    <t>Lajos Dézsi</t>
  </si>
  <si>
    <t>Dörgő Tamás</t>
  </si>
  <si>
    <t>Dorkó Attila</t>
  </si>
  <si>
    <t>Csicsek Diána</t>
  </si>
  <si>
    <t>Dósa Diána</t>
  </si>
  <si>
    <t>Hócza Diána</t>
  </si>
  <si>
    <t>Társy Diána</t>
  </si>
  <si>
    <t>Tóth Diána</t>
  </si>
  <si>
    <t>Cooper Diante</t>
  </si>
  <si>
    <t>Gotchall Dita</t>
  </si>
  <si>
    <t>Ürmös Dius</t>
  </si>
  <si>
    <t>Tégla DJ</t>
  </si>
  <si>
    <t>Attila Dobos</t>
  </si>
  <si>
    <t>Botos Dominik</t>
  </si>
  <si>
    <t>Mezei Dominik Doma</t>
  </si>
  <si>
    <t>Sulya Dominik</t>
  </si>
  <si>
    <t>Bodnár Dominika</t>
  </si>
  <si>
    <t>Hajnal Dominika Inez</t>
  </si>
  <si>
    <t>Juhász Dominika</t>
  </si>
  <si>
    <t>Kiss Dominika</t>
  </si>
  <si>
    <t>Tamás Dominika</t>
  </si>
  <si>
    <t>Miskolc Meszaros Döner</t>
  </si>
  <si>
    <t>Dragomir Dóra</t>
  </si>
  <si>
    <t>Dúró Dóra</t>
  </si>
  <si>
    <t>Jónás Dóra</t>
  </si>
  <si>
    <t>Juhász Dóra</t>
  </si>
  <si>
    <t>Kramer Dóra</t>
  </si>
  <si>
    <t>Nagypál Dóra</t>
  </si>
  <si>
    <t>Ozsvár Dóra</t>
  </si>
  <si>
    <t>Tóth Dóra</t>
  </si>
  <si>
    <t>Csala Dorián</t>
  </si>
  <si>
    <t>Juhos Dorika</t>
  </si>
  <si>
    <t>Antal Dorina</t>
  </si>
  <si>
    <t>Baranyi Dorina Dorka</t>
  </si>
  <si>
    <t>Farkas Dorina</t>
  </si>
  <si>
    <t>Hackenberger Dorina</t>
  </si>
  <si>
    <t>Berényi Dorka</t>
  </si>
  <si>
    <t>Csík Dorka</t>
  </si>
  <si>
    <t>Danyi Dorka</t>
  </si>
  <si>
    <t>Ozsvár Dorka</t>
  </si>
  <si>
    <t>Bander Dorottya</t>
  </si>
  <si>
    <t>Borsós Dorottya</t>
  </si>
  <si>
    <t>Fenes Dorottya</t>
  </si>
  <si>
    <t>Dorkó Csaba</t>
  </si>
  <si>
    <t>Keszthelyi Dorottya</t>
  </si>
  <si>
    <t>Szűcs Dorottya</t>
  </si>
  <si>
    <t>Fülöp Dr. Viktor</t>
  </si>
  <si>
    <t>Kurva Dubai</t>
  </si>
  <si>
    <t>Róbert Dudás</t>
  </si>
  <si>
    <t>Gyula Durda</t>
  </si>
  <si>
    <t>Dee Dyna</t>
  </si>
  <si>
    <t>Farkas Dzsenifer</t>
  </si>
  <si>
    <t>Gyurics Dzsenifer Maya</t>
  </si>
  <si>
    <t>Medve Dzsenifer</t>
  </si>
  <si>
    <t>Komáromi Ede</t>
  </si>
  <si>
    <t>Almási Feri Édesanyja</t>
  </si>
  <si>
    <t>Bocsányi Edina</t>
  </si>
  <si>
    <t>Farkas Edina</t>
  </si>
  <si>
    <t>Fitori Edina</t>
  </si>
  <si>
    <t>Lakatos Edina</t>
  </si>
  <si>
    <t>Mátyás Edina</t>
  </si>
  <si>
    <t>Ormándi Edina</t>
  </si>
  <si>
    <t>Pálkovács Edina</t>
  </si>
  <si>
    <t>Pászthy Edina</t>
  </si>
  <si>
    <t>Dorkó László</t>
  </si>
  <si>
    <t>Vetró Edina</t>
  </si>
  <si>
    <t>Vörös Edina</t>
  </si>
  <si>
    <t>Balogh Edit</t>
  </si>
  <si>
    <t>Tukora Edit Ditti</t>
  </si>
  <si>
    <t>Ing szabász Edit néni</t>
  </si>
  <si>
    <t>néni;Mné/1 Edit</t>
  </si>
  <si>
    <t>Meza Medina Eduardo</t>
  </si>
  <si>
    <t>Kormosné Kovács Eleonóra</t>
  </si>
  <si>
    <t>Garns Elicia</t>
  </si>
  <si>
    <t>Farkas Elizabet</t>
  </si>
  <si>
    <t>Novák Előd</t>
  </si>
  <si>
    <t>Barka Emese</t>
  </si>
  <si>
    <t>Fülep Emese</t>
  </si>
  <si>
    <t>Hidegh Emese</t>
  </si>
  <si>
    <t>Pummer Emese</t>
  </si>
  <si>
    <t>Szabó Emese</t>
  </si>
  <si>
    <t>Sztahó Emese</t>
  </si>
  <si>
    <t>Juhász Emi Laci Gyöngyös</t>
  </si>
  <si>
    <t>Miklós Emília</t>
  </si>
  <si>
    <t>Gacem Emina</t>
  </si>
  <si>
    <t>Phillips Emma</t>
  </si>
  <si>
    <t>János Emôdi Julianna</t>
  </si>
  <si>
    <t>Zoltánné Emőke Agócs</t>
  </si>
  <si>
    <t>Horváth Enci</t>
  </si>
  <si>
    <t>Babák Encike</t>
  </si>
  <si>
    <t>Garamvölgyi Endre Cathy Heaven</t>
  </si>
  <si>
    <t>Lauter Endre</t>
  </si>
  <si>
    <t>Pintér Endre</t>
  </si>
  <si>
    <t>Dorkó Péter</t>
  </si>
  <si>
    <t>Dr. Zsámboki Endre</t>
  </si>
  <si>
    <t>Endrődi Endru Balázs</t>
  </si>
  <si>
    <t>Behinya Enikő</t>
  </si>
  <si>
    <t>Farkas Enikő</t>
  </si>
  <si>
    <t>Recsk Enikő Farkas</t>
  </si>
  <si>
    <t>Hegedűsné Enikő</t>
  </si>
  <si>
    <t>Jju Enikő</t>
  </si>
  <si>
    <t>Molnár Enikő</t>
  </si>
  <si>
    <t>Pók Enikő</t>
  </si>
  <si>
    <t>Török Enikő</t>
  </si>
  <si>
    <t>Tóth Enikő</t>
  </si>
  <si>
    <t>Viszokai Enikő</t>
  </si>
  <si>
    <t>Imre Eötvös</t>
  </si>
  <si>
    <t>Vargáné Era Hársfa</t>
  </si>
  <si>
    <t>Dorogi Gyuszi</t>
  </si>
  <si>
    <t>Dr. Lovas Kázmér</t>
  </si>
  <si>
    <t>Dudás Bence</t>
  </si>
  <si>
    <t>Szilvássy Erik</t>
  </si>
  <si>
    <t>Tasi Erik</t>
  </si>
  <si>
    <t>Torba Erik</t>
  </si>
  <si>
    <t>Berki Erika</t>
  </si>
  <si>
    <t>Juhász Erika</t>
  </si>
  <si>
    <t>Kissné Bóta Erika Martin muter</t>
  </si>
  <si>
    <t>Kovács Erika</t>
  </si>
  <si>
    <t>Palkó Erika</t>
  </si>
  <si>
    <t>Rajszi Pszichológus Erika</t>
  </si>
  <si>
    <t>Sarkadi Erika</t>
  </si>
  <si>
    <t>Szepesi Erika</t>
  </si>
  <si>
    <t>Szűcs Erika</t>
  </si>
  <si>
    <t>Tamásné Pap Erika</t>
  </si>
  <si>
    <t>Virágh Erika</t>
  </si>
  <si>
    <t>Erik Ernő</t>
  </si>
  <si>
    <t>Mezner Ernő</t>
  </si>
  <si>
    <t>Dudás Miklós</t>
  </si>
  <si>
    <t>Császár Erzsébet</t>
  </si>
  <si>
    <t>Pászthyné Szabó Erzsébet</t>
  </si>
  <si>
    <t>Percze Erzsébet Böbe</t>
  </si>
  <si>
    <t>Dudo Péter Balázs</t>
  </si>
  <si>
    <t>Szabó Erzsébet</t>
  </si>
  <si>
    <t>Hódos Erzsébet Szilvia Edó</t>
  </si>
  <si>
    <t>Magyari Erzsébet Zsóka Zs Tubica</t>
  </si>
  <si>
    <t>Bánkuti Eszter</t>
  </si>
  <si>
    <t>Baranyi Eszter</t>
  </si>
  <si>
    <t>Czuczor Eszter</t>
  </si>
  <si>
    <t>Dobos Eszter</t>
  </si>
  <si>
    <t>Hegedüs Eszter</t>
  </si>
  <si>
    <t>Juhász Eszter</t>
  </si>
  <si>
    <t>Káli Eszter</t>
  </si>
  <si>
    <t>Kovács Eszter</t>
  </si>
  <si>
    <t>Lehoczki Eszter</t>
  </si>
  <si>
    <t>Majorosné Juhász Eszter</t>
  </si>
  <si>
    <t>Mészáros Eszter</t>
  </si>
  <si>
    <t>Nyilas Eszter</t>
  </si>
  <si>
    <t>Pirka Eszter</t>
  </si>
  <si>
    <t>Sinkó Eszter</t>
  </si>
  <si>
    <t>Szabó Eszter</t>
  </si>
  <si>
    <t>Szucsik Eszter</t>
  </si>
  <si>
    <t>Trombitás Eszter</t>
  </si>
  <si>
    <t>Zaja Eszter</t>
  </si>
  <si>
    <t>Lakatos Eszti</t>
  </si>
  <si>
    <t>Sipőcz Etelka Etu</t>
  </si>
  <si>
    <t>Szendefi Etelka</t>
  </si>
  <si>
    <t>Urben Ethelyn</t>
  </si>
  <si>
    <t>Pető Eudoxia Doxi</t>
  </si>
  <si>
    <t>Csorba Éva</t>
  </si>
  <si>
    <t>Csuri Éva</t>
  </si>
  <si>
    <t>Emődi Éva</t>
  </si>
  <si>
    <t>Fekete Eva</t>
  </si>
  <si>
    <t>Mikó Éva Ibolya</t>
  </si>
  <si>
    <t>Ipacs Éva</t>
  </si>
  <si>
    <t>Korsós Éva</t>
  </si>
  <si>
    <t>Kovács Éva</t>
  </si>
  <si>
    <t>Dr. Kovács Éva</t>
  </si>
  <si>
    <t>Mihályi Éva</t>
  </si>
  <si>
    <t>Polgár Éva</t>
  </si>
  <si>
    <t>Remenyiczki Éva</t>
  </si>
  <si>
    <t>Sarga Eva</t>
  </si>
  <si>
    <t>Stijacic Éva</t>
  </si>
  <si>
    <t>Temesvári Éva</t>
  </si>
  <si>
    <t>Terényi Éva</t>
  </si>
  <si>
    <t>Zrt Eger Evat</t>
  </si>
  <si>
    <t>Evelin eve15lin</t>
  </si>
  <si>
    <t>Dósa Evelin</t>
  </si>
  <si>
    <t>Farkas Evelin</t>
  </si>
  <si>
    <t>Farkasvári Evelin Pásztor</t>
  </si>
  <si>
    <t>Dudok Attila</t>
  </si>
  <si>
    <t>Kerékgyártó Evelin</t>
  </si>
  <si>
    <t>Koncz Evelin</t>
  </si>
  <si>
    <t>Madarász Evelin</t>
  </si>
  <si>
    <t>Rácz Evelin</t>
  </si>
  <si>
    <t>Slisz Evelin</t>
  </si>
  <si>
    <t>Szeredi Evelin</t>
  </si>
  <si>
    <t>Urbán Evelin</t>
  </si>
  <si>
    <t>Ferenczi Évi</t>
  </si>
  <si>
    <t>Köteles Évi</t>
  </si>
  <si>
    <t>Kovács Évi</t>
  </si>
  <si>
    <t>Szabó Fanchii</t>
  </si>
  <si>
    <t>Farkas Fanni</t>
  </si>
  <si>
    <t>Kalácska Fanni</t>
  </si>
  <si>
    <t>Kálmán Fanni</t>
  </si>
  <si>
    <t>Ludman Fanni</t>
  </si>
  <si>
    <t>Vadász Fanni</t>
  </si>
  <si>
    <t>Zobolyák Fanni</t>
  </si>
  <si>
    <t>Nánási Fatime</t>
  </si>
  <si>
    <t>Hilda Fejes</t>
  </si>
  <si>
    <t>Agócs Felícia</t>
  </si>
  <si>
    <t>Ricsi Fenstherm</t>
  </si>
  <si>
    <t>Duso Julius</t>
  </si>
  <si>
    <t>Béresy Ferenc</t>
  </si>
  <si>
    <t>Eged László</t>
  </si>
  <si>
    <t>Egri Jocó Kiss Gergely</t>
  </si>
  <si>
    <t>Éliás Gergő</t>
  </si>
  <si>
    <t>Jácint Nagy Ferenc</t>
  </si>
  <si>
    <t>Éliás Róbert</t>
  </si>
  <si>
    <t>Dr. Jakab Ferenc</t>
  </si>
  <si>
    <t>Mázló Ferenc</t>
  </si>
  <si>
    <t>Nagy Ferenc</t>
  </si>
  <si>
    <t>Négyessy Ferenc</t>
  </si>
  <si>
    <t>Embere Csaba Tóth Seres</t>
  </si>
  <si>
    <t>Oláh Ferenc</t>
  </si>
  <si>
    <t>Orosz Ferenc</t>
  </si>
  <si>
    <t>Pap Ferenc</t>
  </si>
  <si>
    <t>Pók Ferenc</t>
  </si>
  <si>
    <t>Eőry László</t>
  </si>
  <si>
    <t>Sánta Ferenc Róbert</t>
  </si>
  <si>
    <t>Szabó Ferenc</t>
  </si>
  <si>
    <t>Szatmári Ferenc</t>
  </si>
  <si>
    <t>Szűcs Ferenc</t>
  </si>
  <si>
    <t>Takács Ferenc Takiferi bá</t>
  </si>
  <si>
    <t>Erdélyi Ákos</t>
  </si>
  <si>
    <t>Tóth Ferenc</t>
  </si>
  <si>
    <t>Turi Ferenc</t>
  </si>
  <si>
    <t>Zsoldi Ferenc</t>
  </si>
  <si>
    <t>Tamas Ferencz</t>
  </si>
  <si>
    <t>Erdélyi Gábor</t>
  </si>
  <si>
    <t>Lakatos Ferike</t>
  </si>
  <si>
    <t>Török Flóra</t>
  </si>
  <si>
    <t>Veres Flóra</t>
  </si>
  <si>
    <t>Dósa Flórián</t>
  </si>
  <si>
    <t>Bulgár Flórián Kanalas</t>
  </si>
  <si>
    <t>Lukács Flórián</t>
  </si>
  <si>
    <t>T;Balu/1 Foci</t>
  </si>
  <si>
    <t>Erdélyi Lajos</t>
  </si>
  <si>
    <t>Bíró Franciska</t>
  </si>
  <si>
    <t>Ci Fri</t>
  </si>
  <si>
    <t>Fróna Frigyes Frici</t>
  </si>
  <si>
    <t>Kun Frigyes</t>
  </si>
  <si>
    <t>Fülöp Fru</t>
  </si>
  <si>
    <t>Simon Fruzsi</t>
  </si>
  <si>
    <t>Farkas - Száva Fruzsina Abdelrahim</t>
  </si>
  <si>
    <t>Boros Fruzsina</t>
  </si>
  <si>
    <t>Bóta Fruzsina</t>
  </si>
  <si>
    <t>Czink Fruzsina</t>
  </si>
  <si>
    <t>Farkas Fruzsina</t>
  </si>
  <si>
    <t>Hadi Fruzsina</t>
  </si>
  <si>
    <t>Hangácsi Fruzsina</t>
  </si>
  <si>
    <t>Botos Fruzsina Loretta</t>
  </si>
  <si>
    <t>Szabó G. Krisztián</t>
  </si>
  <si>
    <t>Erdélyi Richárd Tamás</t>
  </si>
  <si>
    <t>Erdős István</t>
  </si>
  <si>
    <t>Érsek Szabolcs</t>
  </si>
  <si>
    <t>Papp Gabi</t>
  </si>
  <si>
    <t>Esze Tamás</t>
  </si>
  <si>
    <t>Bakesz Gábor Bakó</t>
  </si>
  <si>
    <t>Barcsa-Turner Gábor</t>
  </si>
  <si>
    <t>Bukovenszki Gábor</t>
  </si>
  <si>
    <t>Fabók János</t>
  </si>
  <si>
    <t>Diószegi Gábor</t>
  </si>
  <si>
    <t>Fandák Nikolasz</t>
  </si>
  <si>
    <t>Dohány Gábor</t>
  </si>
  <si>
    <t>Farkas Ádám</t>
  </si>
  <si>
    <t>Fábián Gábor Elefi</t>
  </si>
  <si>
    <t>Farkas Józsi</t>
  </si>
  <si>
    <t>Fejes Gábor</t>
  </si>
  <si>
    <t>Frittmann Gábor</t>
  </si>
  <si>
    <t>Galyas Gábor</t>
  </si>
  <si>
    <t>Gonda Gábor</t>
  </si>
  <si>
    <t>Gusztos Gábor</t>
  </si>
  <si>
    <t>Farkas Péter</t>
  </si>
  <si>
    <t>Hendrik Gábor</t>
  </si>
  <si>
    <t>Horoskó Gábor</t>
  </si>
  <si>
    <t>Horváth Gábor</t>
  </si>
  <si>
    <t>Farkas Tamás</t>
  </si>
  <si>
    <t>Fazekas Gergő</t>
  </si>
  <si>
    <t>Fazekas László Fazék</t>
  </si>
  <si>
    <t>Fehér Gábor</t>
  </si>
  <si>
    <t>Fekete István Ádám</t>
  </si>
  <si>
    <t>Karl Gábor</t>
  </si>
  <si>
    <t>Kerepeczki Gábor Krepa</t>
  </si>
  <si>
    <t>Királyházi Gábor</t>
  </si>
  <si>
    <t>Kiss Gábor</t>
  </si>
  <si>
    <t>Knizner Gábor</t>
  </si>
  <si>
    <t>Kovács Gábor</t>
  </si>
  <si>
    <t>Kristóf Gábor Krigab</t>
  </si>
  <si>
    <t>Lombeczki Gábor</t>
  </si>
  <si>
    <t>Ferenczi István</t>
  </si>
  <si>
    <t>Madarasi Gábor</t>
  </si>
  <si>
    <t>Makár Gábor</t>
  </si>
  <si>
    <t>Martin Gábor</t>
  </si>
  <si>
    <t>Marton Gábor</t>
  </si>
  <si>
    <t>Máté Gábor</t>
  </si>
  <si>
    <t>Meleg Gábor</t>
  </si>
  <si>
    <t>Fister András</t>
  </si>
  <si>
    <t>Dr. Miklós Gábor</t>
  </si>
  <si>
    <t>Minczér Gábor</t>
  </si>
  <si>
    <t>Mócsány Gábor Gege</t>
  </si>
  <si>
    <t>Mohácsi Gábor</t>
  </si>
  <si>
    <t>Nagy Gábor Roy</t>
  </si>
  <si>
    <t>Fodor László</t>
  </si>
  <si>
    <t>Fodor Péter</t>
  </si>
  <si>
    <t>Öcsi Gábor</t>
  </si>
  <si>
    <t>Oláh Gábor</t>
  </si>
  <si>
    <t>Pál Gábor</t>
  </si>
  <si>
    <t>Papp Gábor</t>
  </si>
  <si>
    <t>Pászti Gábor</t>
  </si>
  <si>
    <t>Földi György Földi Gyuri</t>
  </si>
  <si>
    <t>Fónad Dávid Golyó</t>
  </si>
  <si>
    <t>Pós Gábor</t>
  </si>
  <si>
    <t>Rakovszki Gábor</t>
  </si>
  <si>
    <t>Rögler Gábor</t>
  </si>
  <si>
    <t>Rudinszky Gábor</t>
  </si>
  <si>
    <t>Schmidt Gábor</t>
  </si>
  <si>
    <t>Semperger Gábor</t>
  </si>
  <si>
    <t>Fricz Béla</t>
  </si>
  <si>
    <t>Szabó Gábor</t>
  </si>
  <si>
    <t>Szántó Gábor</t>
  </si>
  <si>
    <t>Szegény Gábor Lucas, Lukasz</t>
  </si>
  <si>
    <t>Tajti Gábor</t>
  </si>
  <si>
    <t>Tánczos Gábor</t>
  </si>
  <si>
    <t>Tarjányi Gábor</t>
  </si>
  <si>
    <t>Fügedi Gergely</t>
  </si>
  <si>
    <t>Fülöp István</t>
  </si>
  <si>
    <t>Vona Gábor</t>
  </si>
  <si>
    <t>Doroszlay Gabriella</t>
  </si>
  <si>
    <t>Götz Gabriella</t>
  </si>
  <si>
    <t>Hidasi Gabriella</t>
  </si>
  <si>
    <t>Karácsony Gabriella</t>
  </si>
  <si>
    <t>Kiss Gabriella</t>
  </si>
  <si>
    <t>Mező Gabriella</t>
  </si>
  <si>
    <t>Németh Gabriella</t>
  </si>
  <si>
    <t>Sleisz Gabriella</t>
  </si>
  <si>
    <t>Tamás Gabriella</t>
  </si>
  <si>
    <t>Varannai Gabriella</t>
  </si>
  <si>
    <t>Molnár Gedeon</t>
  </si>
  <si>
    <t>Gábor Miskolci Haverja</t>
  </si>
  <si>
    <t>Bernáth Georgina</t>
  </si>
  <si>
    <t>Czibik Georgina</t>
  </si>
  <si>
    <t>Gyenes Georgina</t>
  </si>
  <si>
    <t>Szalai Georgina</t>
  </si>
  <si>
    <t>Gábor Nyeste</t>
  </si>
  <si>
    <t>Farkas Gergely</t>
  </si>
  <si>
    <t>Gál Gyula</t>
  </si>
  <si>
    <t>Hadi Gergely</t>
  </si>
  <si>
    <t>Kálló Gergely</t>
  </si>
  <si>
    <t>Kormos Gergely</t>
  </si>
  <si>
    <t>Kovács Gergely</t>
  </si>
  <si>
    <t>Lazányi Gergely</t>
  </si>
  <si>
    <t>Gál Patrik</t>
  </si>
  <si>
    <t>Papp Gergely P. G.</t>
  </si>
  <si>
    <t>Gál Zsolt</t>
  </si>
  <si>
    <t>Galambosi István Ádám</t>
  </si>
  <si>
    <t>Gallovics Gyuri</t>
  </si>
  <si>
    <t>Gáspár Ferenc</t>
  </si>
  <si>
    <t>Bajzáth Gergő</t>
  </si>
  <si>
    <t>Bálint Gergő</t>
  </si>
  <si>
    <t>Bene Gergő</t>
  </si>
  <si>
    <t>Gáspár Péter</t>
  </si>
  <si>
    <t>Gazdag István</t>
  </si>
  <si>
    <t>Budaházy Gergő</t>
  </si>
  <si>
    <t>Gégény Zoltán</t>
  </si>
  <si>
    <t>Gergyesi Ferenc</t>
  </si>
  <si>
    <t>Dobesch Gergő</t>
  </si>
  <si>
    <t>Durst Gergő</t>
  </si>
  <si>
    <t>Gheju Kevin</t>
  </si>
  <si>
    <t>Fehérvári Gergő</t>
  </si>
  <si>
    <t>Hamza Gergő</t>
  </si>
  <si>
    <t>Gulyás Gyula Dávid</t>
  </si>
  <si>
    <t>Sütő Gergő Hubertus</t>
  </si>
  <si>
    <t>Jordan Gergo</t>
  </si>
  <si>
    <t>BS Juhász Gergő</t>
  </si>
  <si>
    <t>Gyarmati János</t>
  </si>
  <si>
    <t>Kovács Gergő</t>
  </si>
  <si>
    <t>Gyenes Ádám</t>
  </si>
  <si>
    <t>Palla Gergő</t>
  </si>
  <si>
    <t>Gyetvai Dávid</t>
  </si>
  <si>
    <t>Vaszkó Gergő</t>
  </si>
  <si>
    <t>Gyöngyös Pici</t>
  </si>
  <si>
    <t>Anita Gerják</t>
  </si>
  <si>
    <t>Gyula Forgách</t>
  </si>
  <si>
    <t>Ipacs Géza</t>
  </si>
  <si>
    <t>Iváncsics Géza</t>
  </si>
  <si>
    <t>Katona Géza</t>
  </si>
  <si>
    <t>Kovács Géza</t>
  </si>
  <si>
    <t>Vágvölgyi Géza</t>
  </si>
  <si>
    <t>Bedzsula Gorán</t>
  </si>
  <si>
    <t>Hadrik István</t>
  </si>
  <si>
    <t>dr. Gál Gréta</t>
  </si>
  <si>
    <t>Szőke Gréta</t>
  </si>
  <si>
    <t>Tolvaj Gréta</t>
  </si>
  <si>
    <t>Ádám Gyöngyi</t>
  </si>
  <si>
    <t>Goll Gyöngyi</t>
  </si>
  <si>
    <t>Németh Gyöngyi</t>
  </si>
  <si>
    <t>Krisztián Gyöngyösi Andro</t>
  </si>
  <si>
    <t>Bakanek György</t>
  </si>
  <si>
    <t>Hajdú Balázs</t>
  </si>
  <si>
    <t>Csepregi György</t>
  </si>
  <si>
    <t>Dobos György</t>
  </si>
  <si>
    <t>Farkas György</t>
  </si>
  <si>
    <t>Halász Csaba</t>
  </si>
  <si>
    <t>Zagyva György Gyula</t>
  </si>
  <si>
    <t>Jobbik Fotós György</t>
  </si>
  <si>
    <t>Marián György</t>
  </si>
  <si>
    <t>Halász Tamara</t>
  </si>
  <si>
    <t>Halkó Márk</t>
  </si>
  <si>
    <t>mischinger györgy</t>
  </si>
  <si>
    <t>Pászthy György</t>
  </si>
  <si>
    <t>Rizmajer György</t>
  </si>
  <si>
    <t>Spisák György</t>
  </si>
  <si>
    <t>Struhács György</t>
  </si>
  <si>
    <t>Szakál György</t>
  </si>
  <si>
    <t>Halmay Csabi</t>
  </si>
  <si>
    <t>Vámos György</t>
  </si>
  <si>
    <t>Weisz György</t>
  </si>
  <si>
    <t>Hangácsi Gellért</t>
  </si>
  <si>
    <t>Zsíros György</t>
  </si>
  <si>
    <t>Lakatos Győző</t>
  </si>
  <si>
    <t>Hangácsi Géza</t>
  </si>
  <si>
    <t>Fülep Gyula</t>
  </si>
  <si>
    <t>Hauser Karcsi</t>
  </si>
  <si>
    <t>Hegedűs Tamás</t>
  </si>
  <si>
    <t>Kulcsár Gyula</t>
  </si>
  <si>
    <t>Hegedűs Tibor</t>
  </si>
  <si>
    <t>Hetényi Gergő</t>
  </si>
  <si>
    <t>Hajdrik Gyuláné, Ilonka Barna Ilona</t>
  </si>
  <si>
    <t>Hiding Adam</t>
  </si>
  <si>
    <t>Varga Gyuri</t>
  </si>
  <si>
    <t>Holló István</t>
  </si>
  <si>
    <t>Bákonyi Hajnalka</t>
  </si>
  <si>
    <t>János Hajnalka</t>
  </si>
  <si>
    <t>Kovács Hajnalka</t>
  </si>
  <si>
    <t>Djamila Halima</t>
  </si>
  <si>
    <t>Lőrincz Hanga Csenge</t>
  </si>
  <si>
    <t>Antal Hanna</t>
  </si>
  <si>
    <t>Kovács Hanna</t>
  </si>
  <si>
    <t>Tímea Harsányi</t>
  </si>
  <si>
    <t>Károly Hauzer</t>
  </si>
  <si>
    <t>Klaudia Hazrati</t>
  </si>
  <si>
    <t>Kajtánné Tornai Hedvig</t>
  </si>
  <si>
    <t>Ágnes Hegedüs</t>
  </si>
  <si>
    <t>László Hegeda Hegedüs</t>
  </si>
  <si>
    <t>Koltai Helga</t>
  </si>
  <si>
    <t>Hopka Péter</t>
  </si>
  <si>
    <t>Nágel Helga</t>
  </si>
  <si>
    <t>Nyircsák Helga</t>
  </si>
  <si>
    <t>Kőhalmi Helga Szidónia</t>
  </si>
  <si>
    <t>Deme Heni</t>
  </si>
  <si>
    <t>Fehér Heni</t>
  </si>
  <si>
    <t>Lövei Heni</t>
  </si>
  <si>
    <t>Nagy Heni Henni</t>
  </si>
  <si>
    <t>Boros Henrietta</t>
  </si>
  <si>
    <t>Habarics Henrietta</t>
  </si>
  <si>
    <t>Hornyák Henrietta</t>
  </si>
  <si>
    <t>Hudák Henrietta Heni</t>
  </si>
  <si>
    <t>Horváth Sándor</t>
  </si>
  <si>
    <t>Prepuk Henrietta</t>
  </si>
  <si>
    <t>Sipos Henrietta</t>
  </si>
  <si>
    <t>Barta Henrik</t>
  </si>
  <si>
    <t>Borosi Henrik</t>
  </si>
  <si>
    <t>Horváth Tamás</t>
  </si>
  <si>
    <t>Csilla Hizsnyik</t>
  </si>
  <si>
    <t>Hajni Hódítás Éjszakája</t>
  </si>
  <si>
    <t>Anna Horváth</t>
  </si>
  <si>
    <t>Denis Horváth</t>
  </si>
  <si>
    <t>Natália Horváth</t>
  </si>
  <si>
    <t>Gogolák Ibolya</t>
  </si>
  <si>
    <t>Józsáné Ibolya</t>
  </si>
  <si>
    <t>Szabó Ibolya</t>
  </si>
  <si>
    <t>Liktor Ida</t>
  </si>
  <si>
    <t>Bognár Ignác</t>
  </si>
  <si>
    <t>Hovanyecz Márk</t>
  </si>
  <si>
    <t>Almási Ildikó</t>
  </si>
  <si>
    <t>Hudik Gellért</t>
  </si>
  <si>
    <t>Herczeg Ildikó</t>
  </si>
  <si>
    <t>Kis Ildikó</t>
  </si>
  <si>
    <t>Kovács Ildikó</t>
  </si>
  <si>
    <t>Martonné Adler Ildikó</t>
  </si>
  <si>
    <t>Nagy Ildikó</t>
  </si>
  <si>
    <t>Papp Ildikó Ildike</t>
  </si>
  <si>
    <t>Szenján Ildikó</t>
  </si>
  <si>
    <t>Szűcs Ildikó</t>
  </si>
  <si>
    <t>Zoltán Illi</t>
  </si>
  <si>
    <t>Klein Ilona</t>
  </si>
  <si>
    <t>Hunyadi Martin</t>
  </si>
  <si>
    <t>Telek Imola</t>
  </si>
  <si>
    <t>Bozóki Imre</t>
  </si>
  <si>
    <t>Dóczy Imre</t>
  </si>
  <si>
    <t>Hajdú Imre</t>
  </si>
  <si>
    <t>Jászkai Imre</t>
  </si>
  <si>
    <t>Lukács Imre</t>
  </si>
  <si>
    <t>Madarász Imre</t>
  </si>
  <si>
    <t>Bolyki Imre Norbert</t>
  </si>
  <si>
    <t>Seres Imre</t>
  </si>
  <si>
    <t>Szarka Imre</t>
  </si>
  <si>
    <t>Lecz Ircsi Irina</t>
  </si>
  <si>
    <t>Péter Ircsik</t>
  </si>
  <si>
    <t>Marika Ircsikné Tóth</t>
  </si>
  <si>
    <t>Nagy Írisz</t>
  </si>
  <si>
    <t>Illés Dorottya</t>
  </si>
  <si>
    <t>Illés Szabolcs Szasza</t>
  </si>
  <si>
    <t>István Gál</t>
  </si>
  <si>
    <t>Ivády Gábor</t>
  </si>
  <si>
    <t>Apáti István</t>
  </si>
  <si>
    <t>Bálint István</t>
  </si>
  <si>
    <t>Bodnár István</t>
  </si>
  <si>
    <t>Iványi Laci</t>
  </si>
  <si>
    <t>Jacsó István</t>
  </si>
  <si>
    <t>Csík István</t>
  </si>
  <si>
    <t>Csontos István</t>
  </si>
  <si>
    <t>Csorba István</t>
  </si>
  <si>
    <t>Dencsik István</t>
  </si>
  <si>
    <t>Dezsereczky István</t>
  </si>
  <si>
    <t>Dobrovoczky István</t>
  </si>
  <si>
    <t>Jáger Ferenc</t>
  </si>
  <si>
    <t>Farkas István</t>
  </si>
  <si>
    <t>Jágerszky Attila</t>
  </si>
  <si>
    <t>Füleczki István</t>
  </si>
  <si>
    <t>Jakab József</t>
  </si>
  <si>
    <t>Jakab Laci</t>
  </si>
  <si>
    <t>Jakab Márton</t>
  </si>
  <si>
    <t>Gomány István</t>
  </si>
  <si>
    <t>Jakab Zoltán</t>
  </si>
  <si>
    <t>Hegedűs István</t>
  </si>
  <si>
    <t>Jaki Miklós Jakab</t>
  </si>
  <si>
    <t>Horváth István</t>
  </si>
  <si>
    <t>Jancsi Róbert</t>
  </si>
  <si>
    <t>Jánoky Tivadar</t>
  </si>
  <si>
    <t>Jászkai István</t>
  </si>
  <si>
    <t>Kiss István</t>
  </si>
  <si>
    <t>Felvidék István Komár</t>
  </si>
  <si>
    <t>Korán István</t>
  </si>
  <si>
    <t>Kóródi István</t>
  </si>
  <si>
    <t>Kovács István</t>
  </si>
  <si>
    <t>Kozák István</t>
  </si>
  <si>
    <t>Kurucz István</t>
  </si>
  <si>
    <t>Molnár István</t>
  </si>
  <si>
    <t>Nagy István</t>
  </si>
  <si>
    <t>Janovics Roland</t>
  </si>
  <si>
    <t>Oláh István</t>
  </si>
  <si>
    <t>Papp István</t>
  </si>
  <si>
    <t>Jász Gábor</t>
  </si>
  <si>
    <t>Putnoki István</t>
  </si>
  <si>
    <t>Rajos István</t>
  </si>
  <si>
    <t>Sebők István</t>
  </si>
  <si>
    <t>Jászai Kornél</t>
  </si>
  <si>
    <t>Jónás Vilmos</t>
  </si>
  <si>
    <t>Szabados István</t>
  </si>
  <si>
    <t>Jónás Zsolt</t>
  </si>
  <si>
    <t>BB István Szabó</t>
  </si>
  <si>
    <t>Juhász Attila</t>
  </si>
  <si>
    <t>Szávay István</t>
  </si>
  <si>
    <t>Szecsődi István</t>
  </si>
  <si>
    <t>Szuromi István</t>
  </si>
  <si>
    <t>Takács István Fiam, Takipityu</t>
  </si>
  <si>
    <t>Dr. Takács István</t>
  </si>
  <si>
    <t>Tari István</t>
  </si>
  <si>
    <t>Tihaméri István Tihi</t>
  </si>
  <si>
    <t>Tóth István</t>
  </si>
  <si>
    <t>Juhász Balázs</t>
  </si>
  <si>
    <t>Váncza István Pityu</t>
  </si>
  <si>
    <t>Juhász Gábor</t>
  </si>
  <si>
    <t>Veréb István</t>
  </si>
  <si>
    <t>Zolnai István</t>
  </si>
  <si>
    <t>Zólyomi István Manó</t>
  </si>
  <si>
    <t>Krúj Iván</t>
  </si>
  <si>
    <t>Kutas Iván</t>
  </si>
  <si>
    <t>Ligart Iván</t>
  </si>
  <si>
    <t>Juhász Mónika</t>
  </si>
  <si>
    <t>Szekeres Iván</t>
  </si>
  <si>
    <t>Varga Iván</t>
  </si>
  <si>
    <t>Juhász Ivett</t>
  </si>
  <si>
    <t>Dr. Wijesinghe Ivor</t>
  </si>
  <si>
    <t>Rang Izabella</t>
  </si>
  <si>
    <t>Fekete Jácint</t>
  </si>
  <si>
    <t>Juhász Peti</t>
  </si>
  <si>
    <t>Valentina Jancsó</t>
  </si>
  <si>
    <t>Kabai Róbert</t>
  </si>
  <si>
    <t>Bolyki Jani</t>
  </si>
  <si>
    <t>Kajtol Gábor</t>
  </si>
  <si>
    <t>Tősi Jani</t>
  </si>
  <si>
    <t>Horváth Janka Csenge</t>
  </si>
  <si>
    <t>Goldbach Janka</t>
  </si>
  <si>
    <t>Árgyelán János</t>
  </si>
  <si>
    <t>Barta János</t>
  </si>
  <si>
    <t>Bencsik János</t>
  </si>
  <si>
    <t>Kakuk László</t>
  </si>
  <si>
    <t>Kállai Richárd</t>
  </si>
  <si>
    <t>Bocskai János</t>
  </si>
  <si>
    <t>Kálomista Márk</t>
  </si>
  <si>
    <t>Csomós János</t>
  </si>
  <si>
    <t>Karkus Sanyi</t>
  </si>
  <si>
    <t>Dányi János</t>
  </si>
  <si>
    <t>Katona Tibor</t>
  </si>
  <si>
    <t>Deme János</t>
  </si>
  <si>
    <t>Fazekas János</t>
  </si>
  <si>
    <t>Gál János</t>
  </si>
  <si>
    <t>Kerek Evelin</t>
  </si>
  <si>
    <t>Heiszman János</t>
  </si>
  <si>
    <t>Kis János</t>
  </si>
  <si>
    <t>Kismóni János</t>
  </si>
  <si>
    <t>Kerékgyártó Ádám</t>
  </si>
  <si>
    <t>Kernács András</t>
  </si>
  <si>
    <t>Kernács Sándor</t>
  </si>
  <si>
    <t>Kovács János</t>
  </si>
  <si>
    <t>Krajnyák János</t>
  </si>
  <si>
    <t>Kupihár János</t>
  </si>
  <si>
    <t>Kerner Balázs</t>
  </si>
  <si>
    <t>Magyar János</t>
  </si>
  <si>
    <t>Ménkű János</t>
  </si>
  <si>
    <t>Módos János</t>
  </si>
  <si>
    <t>Kincses László</t>
  </si>
  <si>
    <t>Kisgergely László</t>
  </si>
  <si>
    <t>Kiss János</t>
  </si>
  <si>
    <t>Semperger János</t>
  </si>
  <si>
    <t>Stummer János</t>
  </si>
  <si>
    <t>Kiss Krisztián</t>
  </si>
  <si>
    <t>Fekete János Szabolcs</t>
  </si>
  <si>
    <t>Tomin János</t>
  </si>
  <si>
    <t>Tóth János</t>
  </si>
  <si>
    <t>Zsíros János</t>
  </si>
  <si>
    <t>Viktória Jaskó</t>
  </si>
  <si>
    <t>Kiss Lotár</t>
  </si>
  <si>
    <t>Mága Jennyfer</t>
  </si>
  <si>
    <t>Baranyi Joci</t>
  </si>
  <si>
    <t>Kaló Joci</t>
  </si>
  <si>
    <t>Kiss Tibor</t>
  </si>
  <si>
    <t>Nagy Jocó</t>
  </si>
  <si>
    <t>András Joó</t>
  </si>
  <si>
    <t>Sofőr Jóska Kiss Tribusz</t>
  </si>
  <si>
    <t>Kiss Zoltán</t>
  </si>
  <si>
    <t>Klauber Krisztián</t>
  </si>
  <si>
    <t>Béres József</t>
  </si>
  <si>
    <t>Fazekas József</t>
  </si>
  <si>
    <t>Görcsös József Görcsi</t>
  </si>
  <si>
    <t>Hadnagy József</t>
  </si>
  <si>
    <t>Kleska Péter</t>
  </si>
  <si>
    <t>Juhász József</t>
  </si>
  <si>
    <t>Kakukk József</t>
  </si>
  <si>
    <t>Kiss József</t>
  </si>
  <si>
    <t>Dr. Kiss József</t>
  </si>
  <si>
    <t>Andrási József Kitanult</t>
  </si>
  <si>
    <t>Kobzi József</t>
  </si>
  <si>
    <t>Kocsis József</t>
  </si>
  <si>
    <t>Lázár József Rizsa</t>
  </si>
  <si>
    <t>Molnár József Csusza</t>
  </si>
  <si>
    <t>Rusznyák József</t>
  </si>
  <si>
    <t>Ruzics József</t>
  </si>
  <si>
    <t>Klimász Krisztián</t>
  </si>
  <si>
    <t>Kobezda János</t>
  </si>
  <si>
    <t>Kóczán Arnold</t>
  </si>
  <si>
    <t>Szuromi József</t>
  </si>
  <si>
    <t>Tóth József</t>
  </si>
  <si>
    <t>Kompolti Jácint</t>
  </si>
  <si>
    <t>Koncz Bence</t>
  </si>
  <si>
    <t>Könnyű Róbert</t>
  </si>
  <si>
    <t>Szegő Józsefné Irénke</t>
  </si>
  <si>
    <t>BB Józsi Bakó Kocsi</t>
  </si>
  <si>
    <t>Kontra Tibi</t>
  </si>
  <si>
    <t>Besnyi Judit</t>
  </si>
  <si>
    <t>Besze Judit</t>
  </si>
  <si>
    <t>Borostyán Judit</t>
  </si>
  <si>
    <t>Hadnagyné Kovács Judit</t>
  </si>
  <si>
    <t>Kelemen Judit</t>
  </si>
  <si>
    <t>Kovács Judit</t>
  </si>
  <si>
    <t>Nagy Judit</t>
  </si>
  <si>
    <t>Oroszné Horváth Judit</t>
  </si>
  <si>
    <t>Poroszkai Judit</t>
  </si>
  <si>
    <t>Szabó Judit</t>
  </si>
  <si>
    <t>Szegedi Judit</t>
  </si>
  <si>
    <t>Vadas Judit</t>
  </si>
  <si>
    <t>Kárpáti Judit Zsuzsanna</t>
  </si>
  <si>
    <t>Dózsa Julcsi</t>
  </si>
  <si>
    <t>Kadlott Júlia</t>
  </si>
  <si>
    <t>Emődi Julianna</t>
  </si>
  <si>
    <t>Mészárosné Julika</t>
  </si>
  <si>
    <t>Koós Bence</t>
  </si>
  <si>
    <t>Niko Ka Buzi</t>
  </si>
  <si>
    <t>Ágnes Kabály</t>
  </si>
  <si>
    <t>Diána Kacsinkó</t>
  </si>
  <si>
    <t>Kormos Kornél</t>
  </si>
  <si>
    <t>Kiss Kálmán</t>
  </si>
  <si>
    <t>Ebenspanger Dóra Kálmán Péter</t>
  </si>
  <si>
    <t>Székely Kálmán</t>
  </si>
  <si>
    <t>Kormos Norbert</t>
  </si>
  <si>
    <t>Laszlo Kaman</t>
  </si>
  <si>
    <t>Körömi Miklós</t>
  </si>
  <si>
    <t>Kósik János</t>
  </si>
  <si>
    <t>Sipeki Karcsi</t>
  </si>
  <si>
    <t>Jozsef Karikas</t>
  </si>
  <si>
    <t>Kovács Karina Ágnes</t>
  </si>
  <si>
    <t>Balogh Kármen</t>
  </si>
  <si>
    <t>Kosztik Kristóf</t>
  </si>
  <si>
    <t>Kottes Pál</t>
  </si>
  <si>
    <t>Győrfi Károly</t>
  </si>
  <si>
    <t>Kiss Károly</t>
  </si>
  <si>
    <t>Nehéz Károly</t>
  </si>
  <si>
    <t>Valentinyi Károly</t>
  </si>
  <si>
    <t>Farkas Kata</t>
  </si>
  <si>
    <t>Kalina Kata</t>
  </si>
  <si>
    <t>KH Kata</t>
  </si>
  <si>
    <t>Kis Kata</t>
  </si>
  <si>
    <t>Kocsi Kata</t>
  </si>
  <si>
    <t>Lukács Kata</t>
  </si>
  <si>
    <t>Baksa Katalin</t>
  </si>
  <si>
    <t>Balogh Katalin</t>
  </si>
  <si>
    <t>Bodor Katalin</t>
  </si>
  <si>
    <t>Boros Katalin</t>
  </si>
  <si>
    <t>Ujlaki Katalin Csenge</t>
  </si>
  <si>
    <t>Farkas Katalin</t>
  </si>
  <si>
    <t>Jasku Katalin</t>
  </si>
  <si>
    <t>Moldován Katalin</t>
  </si>
  <si>
    <t>Szabó Katalin</t>
  </si>
  <si>
    <t>Szántó Katalin</t>
  </si>
  <si>
    <t>Terdik Katalin</t>
  </si>
  <si>
    <t>Bacchus Kati</t>
  </si>
  <si>
    <t>Tóthné Katika</t>
  </si>
  <si>
    <t>István Katona</t>
  </si>
  <si>
    <t>Kovács Ákos</t>
  </si>
  <si>
    <t>János Kázmér</t>
  </si>
  <si>
    <t>Kovács Bálint</t>
  </si>
  <si>
    <t>Kovács Gergő Kocka</t>
  </si>
  <si>
    <t>Tamás Kende</t>
  </si>
  <si>
    <t>Kovács Gyula</t>
  </si>
  <si>
    <t>Lajos Kepli</t>
  </si>
  <si>
    <t>Dorottya Keszthelyi</t>
  </si>
  <si>
    <t>Kovács Kornél</t>
  </si>
  <si>
    <t>Nagy Kevin</t>
  </si>
  <si>
    <t>Casting King</t>
  </si>
  <si>
    <t>Erdélyi Kinga</t>
  </si>
  <si>
    <t>Kozma Kinga</t>
  </si>
  <si>
    <t>Zahorecz Kinga</t>
  </si>
  <si>
    <t>Molitorisz Kingaa</t>
  </si>
  <si>
    <t>Csák Kira</t>
  </si>
  <si>
    <t>Raka Kis</t>
  </si>
  <si>
    <t>Bence Kiss</t>
  </si>
  <si>
    <t>Katalin Kiss</t>
  </si>
  <si>
    <t>Fábián Kitti</t>
  </si>
  <si>
    <t>Fehér Kitti</t>
  </si>
  <si>
    <t>Fenyvesi Kitti</t>
  </si>
  <si>
    <t>Hegyi Kitti</t>
  </si>
  <si>
    <t>Kokovai Kitti</t>
  </si>
  <si>
    <t>Kőrösi Kitti</t>
  </si>
  <si>
    <t>Korvin Kitti</t>
  </si>
  <si>
    <t>Lakatos Kitti</t>
  </si>
  <si>
    <t>Spekhardt Kitti Lia</t>
  </si>
  <si>
    <t>Mikula Kitti</t>
  </si>
  <si>
    <t>Németh Kitti</t>
  </si>
  <si>
    <t>Orosz Kitti</t>
  </si>
  <si>
    <t>Rázsi Kitti</t>
  </si>
  <si>
    <t>Réthelyi Kitti</t>
  </si>
  <si>
    <t>Szegő Kitti</t>
  </si>
  <si>
    <t>Tóth Kitti</t>
  </si>
  <si>
    <t>Turi Kitti</t>
  </si>
  <si>
    <t>Deák Kitty</t>
  </si>
  <si>
    <t>Lukács Kitty</t>
  </si>
  <si>
    <t>Tikos Kitty</t>
  </si>
  <si>
    <t>Oláh Klára</t>
  </si>
  <si>
    <t>Szoboszlai Klára</t>
  </si>
  <si>
    <t>Magyar Klára Tímea</t>
  </si>
  <si>
    <t>Dudás Klaudia</t>
  </si>
  <si>
    <t>Körmendi Klaudia</t>
  </si>
  <si>
    <t>Korpás Klaudia</t>
  </si>
  <si>
    <t>Krisztián Klaudia</t>
  </si>
  <si>
    <t>Kubinyi Klaudia</t>
  </si>
  <si>
    <t>Lavrinc Klaudia</t>
  </si>
  <si>
    <t>Nemes Klaudia</t>
  </si>
  <si>
    <t>Gábor Knizner</t>
  </si>
  <si>
    <t>Söröző KO</t>
  </si>
  <si>
    <t>Kovács Levente</t>
  </si>
  <si>
    <t>Kovács Norbi</t>
  </si>
  <si>
    <t>Aggregátor Kombinált</t>
  </si>
  <si>
    <t>Katona István Kondi Boglárka</t>
  </si>
  <si>
    <t>Kovács Zoltán</t>
  </si>
  <si>
    <t>Sándor Kormány</t>
  </si>
  <si>
    <t>Bohos Kornél</t>
  </si>
  <si>
    <t>Kövesi Tibor Róbert</t>
  </si>
  <si>
    <t>Kondás Kornél</t>
  </si>
  <si>
    <t>Králl Konrád</t>
  </si>
  <si>
    <t>Kristóf Béla</t>
  </si>
  <si>
    <t>Kristóf Szása Sándor</t>
  </si>
  <si>
    <t>Szabó Kornél</t>
  </si>
  <si>
    <t>Éva Kőrösi</t>
  </si>
  <si>
    <t>Dzsenifer Kotai</t>
  </si>
  <si>
    <t>György Kovács</t>
  </si>
  <si>
    <t>Gyuri Kovács Szuri Szuri Gyuri György</t>
  </si>
  <si>
    <t>Vivienn Kovács</t>
  </si>
  <si>
    <t>Judit Andrea Kozma</t>
  </si>
  <si>
    <t>Tamás Kravcsenko</t>
  </si>
  <si>
    <t>Balázs Kristof</t>
  </si>
  <si>
    <t>Czézinger Kristóf</t>
  </si>
  <si>
    <t>Dósa Kristóf</t>
  </si>
  <si>
    <t>Fazekas Kristóf</t>
  </si>
  <si>
    <t>Horváth Kristóf</t>
  </si>
  <si>
    <t>Illésy Kristóf</t>
  </si>
  <si>
    <t>Juhász Kristóf</t>
  </si>
  <si>
    <t>Sövegjártó Kristóf</t>
  </si>
  <si>
    <t>Szotyori-Nagy Kristóf</t>
  </si>
  <si>
    <t>Szegedi Kriszta</t>
  </si>
  <si>
    <t>Varga Kriszta</t>
  </si>
  <si>
    <t>Vass Kriszti</t>
  </si>
  <si>
    <t>Kszel Zsolt</t>
  </si>
  <si>
    <t>Kszell Krisztián</t>
  </si>
  <si>
    <t>Eyssen Krisztián</t>
  </si>
  <si>
    <t>Fodor Krisztián</t>
  </si>
  <si>
    <t>Gazsi Krisztián</t>
  </si>
  <si>
    <t>Dr. Hriczó Krisztián</t>
  </si>
  <si>
    <t>Jäger Krisztián</t>
  </si>
  <si>
    <t>Jászka Krisztián</t>
  </si>
  <si>
    <t>Kecskeméti Krisztián Kecsó</t>
  </si>
  <si>
    <t>Kis Krisztian</t>
  </si>
  <si>
    <t>Kis Krisztián</t>
  </si>
  <si>
    <t>Kubik László</t>
  </si>
  <si>
    <t>Kun Róbert</t>
  </si>
  <si>
    <t>Kun Sándorné Kitty Katalin</t>
  </si>
  <si>
    <t>Krisztán Krisztián</t>
  </si>
  <si>
    <t>Kundrath Krisztián</t>
  </si>
  <si>
    <t>Kunvári Gergő</t>
  </si>
  <si>
    <t>Kvacsány Milán</t>
  </si>
  <si>
    <t>Lovas Krisztián</t>
  </si>
  <si>
    <t>Labonc Richárd</t>
  </si>
  <si>
    <t>Nagy Krisztián</t>
  </si>
  <si>
    <t>Laczlan János</t>
  </si>
  <si>
    <t>Laczlan Norbert</t>
  </si>
  <si>
    <t>Tóth Krisztián</t>
  </si>
  <si>
    <t>Tőzsér Krisztián</t>
  </si>
  <si>
    <t>Varga Krisztián</t>
  </si>
  <si>
    <t>Binder Krisztina</t>
  </si>
  <si>
    <t>Róth Krisztina Emma</t>
  </si>
  <si>
    <t>Faludi Krisztina</t>
  </si>
  <si>
    <t>Gáspár Krisztina</t>
  </si>
  <si>
    <t>Harsányi Krisztina</t>
  </si>
  <si>
    <t>Hegedűs Krisztina</t>
  </si>
  <si>
    <t>Hegedüs Krisztinä</t>
  </si>
  <si>
    <t>Köböl Krisztina</t>
  </si>
  <si>
    <t>Plachy Krisztina</t>
  </si>
  <si>
    <t>Sáfrány Krisztina</t>
  </si>
  <si>
    <t>Salamon Krisztina</t>
  </si>
  <si>
    <t>Seres Krisztina</t>
  </si>
  <si>
    <t>Simonyi Krisztina</t>
  </si>
  <si>
    <t>Szabó Krisztina</t>
  </si>
  <si>
    <t>Szöllősyné Bartók Krisztina</t>
  </si>
  <si>
    <t>Tekse Krisztina</t>
  </si>
  <si>
    <t>Vona Krisztina</t>
  </si>
  <si>
    <t>Ember Laci Dienes Plusz</t>
  </si>
  <si>
    <t>Gajdos Laci</t>
  </si>
  <si>
    <t>Lados Balázs</t>
  </si>
  <si>
    <t>Lajcsák Brigitta</t>
  </si>
  <si>
    <t>Pásztor Laci Tirpi</t>
  </si>
  <si>
    <t>Lakatos Robi</t>
  </si>
  <si>
    <t>Varga Laci</t>
  </si>
  <si>
    <t>Lakatos Szilveszter</t>
  </si>
  <si>
    <t>Kónya Lajos</t>
  </si>
  <si>
    <t>Kóródi Lajos</t>
  </si>
  <si>
    <t>Kovács Lajos</t>
  </si>
  <si>
    <t>Lőcsei Lajos</t>
  </si>
  <si>
    <t>Matiszcsák Lajos</t>
  </si>
  <si>
    <t>Mester Lajos</t>
  </si>
  <si>
    <t>Nagy Lajos</t>
  </si>
  <si>
    <t>Papp Lajos Lajcsi</t>
  </si>
  <si>
    <t>Pászthy Lajos</t>
  </si>
  <si>
    <t>Simon Lajos</t>
  </si>
  <si>
    <t>Soós Lajos</t>
  </si>
  <si>
    <t>Varga Lajos</t>
  </si>
  <si>
    <t>Lakó Tamás</t>
  </si>
  <si>
    <t>Virag Lajos</t>
  </si>
  <si>
    <t>Láng Zsolt</t>
  </si>
  <si>
    <t>Bogyó Lali</t>
  </si>
  <si>
    <t>Almási László</t>
  </si>
  <si>
    <t>Lapin Dávid</t>
  </si>
  <si>
    <t>Lénárt Krisztián</t>
  </si>
  <si>
    <t>Bartók László</t>
  </si>
  <si>
    <t>Berde László</t>
  </si>
  <si>
    <t>Linkecs Tamás</t>
  </si>
  <si>
    <t>Bokros László</t>
  </si>
  <si>
    <t>Szabó László Colombus</t>
  </si>
  <si>
    <t>Csanádi László</t>
  </si>
  <si>
    <t>Cseh László</t>
  </si>
  <si>
    <t>Darabos László</t>
  </si>
  <si>
    <t>Deli László</t>
  </si>
  <si>
    <t>Loványi Viktor</t>
  </si>
  <si>
    <t>Pityinger László Dopeman</t>
  </si>
  <si>
    <t>Lovas Gábor</t>
  </si>
  <si>
    <t>Dudás László</t>
  </si>
  <si>
    <t>Lovas Norbert</t>
  </si>
  <si>
    <t>Luda Krisztián</t>
  </si>
  <si>
    <t>Erdélyi László</t>
  </si>
  <si>
    <t>Farkas László</t>
  </si>
  <si>
    <t>Ludányi Zoltán</t>
  </si>
  <si>
    <t>Szabó László Fazon</t>
  </si>
  <si>
    <t>Lukoil János Bíró</t>
  </si>
  <si>
    <t>Hupcsik László</t>
  </si>
  <si>
    <t>Illésy László</t>
  </si>
  <si>
    <t>Istenes László</t>
  </si>
  <si>
    <t>Kajtán László</t>
  </si>
  <si>
    <t>Madarasi Tamás</t>
  </si>
  <si>
    <t>Madarász Helga</t>
  </si>
  <si>
    <t>Kis László</t>
  </si>
  <si>
    <t>Mádi Attila Péter</t>
  </si>
  <si>
    <t>Kliment László</t>
  </si>
  <si>
    <t>Klinka László</t>
  </si>
  <si>
    <t>Koós László LeslieOne</t>
  </si>
  <si>
    <t>Kovács László</t>
  </si>
  <si>
    <t>Magyari Zsolt</t>
  </si>
  <si>
    <t>Kutsera László</t>
  </si>
  <si>
    <t>Lakatos László</t>
  </si>
  <si>
    <t>Laszák László</t>
  </si>
  <si>
    <t>Magyar László</t>
  </si>
  <si>
    <t>Marczis László</t>
  </si>
  <si>
    <t>Márton László</t>
  </si>
  <si>
    <t>Mindák László</t>
  </si>
  <si>
    <t>Major Alex</t>
  </si>
  <si>
    <t>Major Zoltán Egon</t>
  </si>
  <si>
    <t>Neuhauser László</t>
  </si>
  <si>
    <t>Ostrom László</t>
  </si>
  <si>
    <t>Parádi László</t>
  </si>
  <si>
    <t>Poczik László</t>
  </si>
  <si>
    <t>Majoros Ármin Mózes</t>
  </si>
  <si>
    <t>Majoros Leon</t>
  </si>
  <si>
    <t>Rostás László</t>
  </si>
  <si>
    <t>Sánta László</t>
  </si>
  <si>
    <t>Sebestyén László</t>
  </si>
  <si>
    <t>Majoros Zsolt</t>
  </si>
  <si>
    <t>Simon László</t>
  </si>
  <si>
    <t>Snóbel László</t>
  </si>
  <si>
    <t>Sulák László</t>
  </si>
  <si>
    <t>Szabó László</t>
  </si>
  <si>
    <t>Szávay László</t>
  </si>
  <si>
    <t>Tajti László</t>
  </si>
  <si>
    <t>Tarai László</t>
  </si>
  <si>
    <t>Mák Zsolt</t>
  </si>
  <si>
    <t>Makai Renátó</t>
  </si>
  <si>
    <t>Toroczkai László</t>
  </si>
  <si>
    <t>Urbán László</t>
  </si>
  <si>
    <t>Várfi László</t>
  </si>
  <si>
    <t>Varsányi László</t>
  </si>
  <si>
    <t>Makula Tamás</t>
  </si>
  <si>
    <t>Végső László</t>
  </si>
  <si>
    <t>Viszokai László</t>
  </si>
  <si>
    <t>Vörös László</t>
  </si>
  <si>
    <t>Zakó László</t>
  </si>
  <si>
    <t>Zsirai László</t>
  </si>
  <si>
    <t>Beke Laura</t>
  </si>
  <si>
    <t>Kenéz Laura</t>
  </si>
  <si>
    <t>Korpás Laura</t>
  </si>
  <si>
    <t>Mátyás Laura</t>
  </si>
  <si>
    <t>Szenttamási Laura</t>
  </si>
  <si>
    <t>Szűcs Laura</t>
  </si>
  <si>
    <t>Verebi Laura</t>
  </si>
  <si>
    <t>Veres Laura</t>
  </si>
  <si>
    <t>Szekeres Lázár</t>
  </si>
  <si>
    <t>Kitti Lengyelné Varga</t>
  </si>
  <si>
    <t>Holecz Lenke</t>
  </si>
  <si>
    <t>Maláj Csaba</t>
  </si>
  <si>
    <t>Zoltán Lévai</t>
  </si>
  <si>
    <t>Harmati Levente</t>
  </si>
  <si>
    <t>Koszorús Levente</t>
  </si>
  <si>
    <t>Márai Kende</t>
  </si>
  <si>
    <t>Lakatos Levente</t>
  </si>
  <si>
    <t>Murányi Levente</t>
  </si>
  <si>
    <t>Salai Levente</t>
  </si>
  <si>
    <t>Tomi Lila</t>
  </si>
  <si>
    <t>Bánki Lili</t>
  </si>
  <si>
    <t>Kovács Lili</t>
  </si>
  <si>
    <t>Lőrincz Liliána</t>
  </si>
  <si>
    <t>Mráz Liliána</t>
  </si>
  <si>
    <t>Simon Liliána</t>
  </si>
  <si>
    <t>Bálint Lilla</t>
  </si>
  <si>
    <t>Balogh Lilla</t>
  </si>
  <si>
    <t>Barkóczi Lilla</t>
  </si>
  <si>
    <t>Csuhaj Lilla</t>
  </si>
  <si>
    <t>Herczeg Lilla</t>
  </si>
  <si>
    <t>Kása Lilla</t>
  </si>
  <si>
    <t>Kolossváry Lilla</t>
  </si>
  <si>
    <t>Körmöndi Lilla</t>
  </si>
  <si>
    <t>Lukácsi Lilla</t>
  </si>
  <si>
    <t>Mátyás Lilla</t>
  </si>
  <si>
    <t>Németh Lilla</t>
  </si>
  <si>
    <t>Neufeld Lilla</t>
  </si>
  <si>
    <t>Sike Lilla</t>
  </si>
  <si>
    <t>Spitzmüller Lilla</t>
  </si>
  <si>
    <t>Kalmár Linda</t>
  </si>
  <si>
    <t>Marczis Balázs</t>
  </si>
  <si>
    <t>Tinder Linda</t>
  </si>
  <si>
    <t>Varga Linda</t>
  </si>
  <si>
    <t>Besenyei Lívia</t>
  </si>
  <si>
    <t>Marics Márk Martin</t>
  </si>
  <si>
    <t>Balog Lóránd</t>
  </si>
  <si>
    <t>Martin Attila Nagy Mátyás</t>
  </si>
  <si>
    <t>Marton Kornél</t>
  </si>
  <si>
    <t>Kiss Luca</t>
  </si>
  <si>
    <t>Marton Márk</t>
  </si>
  <si>
    <t>Könyvelés Madison Events</t>
  </si>
  <si>
    <t>Leila Magánkollégium</t>
  </si>
  <si>
    <t>Kovács Magdi</t>
  </si>
  <si>
    <t>Ürmös Magdika</t>
  </si>
  <si>
    <t>Vida Magdy</t>
  </si>
  <si>
    <t>Jenő Majlát Pasa</t>
  </si>
  <si>
    <t>Brigitta Makláry</t>
  </si>
  <si>
    <t>kórházi Mama</t>
  </si>
  <si>
    <t>Üzletvezető Márai Eger</t>
  </si>
  <si>
    <t>Fodor Marcell</t>
  </si>
  <si>
    <t>Pataki Marcell</t>
  </si>
  <si>
    <t>Tátrai Marcell</t>
  </si>
  <si>
    <t>Tokody Marcell</t>
  </si>
  <si>
    <t>Tóth Marcell</t>
  </si>
  <si>
    <t>Vámosi Marcell</t>
  </si>
  <si>
    <t>Matisz György</t>
  </si>
  <si>
    <t>Misinszki Marci</t>
  </si>
  <si>
    <t>Bartha Marco</t>
  </si>
  <si>
    <t>Vargáné Marcsi</t>
  </si>
  <si>
    <t>Bacsu Margaréta</t>
  </si>
  <si>
    <t>Gyebnár Margit</t>
  </si>
  <si>
    <t>Kerekes Margit</t>
  </si>
  <si>
    <t>Druskóczi Mária Marcsi</t>
  </si>
  <si>
    <t>Kristófné Mária Edit Cicamama</t>
  </si>
  <si>
    <t>Lakatosné Mohácsi Mária</t>
  </si>
  <si>
    <t>Pusomi Maria</t>
  </si>
  <si>
    <t>Sajóvölgyi Mária</t>
  </si>
  <si>
    <t>Mátyás Dániel</t>
  </si>
  <si>
    <t>Bíró Mariann</t>
  </si>
  <si>
    <t>Kalencsik Mariann</t>
  </si>
  <si>
    <t>Sastin Marianna</t>
  </si>
  <si>
    <t>Galambosné Marika</t>
  </si>
  <si>
    <t>Dolonics Marina</t>
  </si>
  <si>
    <t>Pogar Marius</t>
  </si>
  <si>
    <t>Andor Márk</t>
  </si>
  <si>
    <t>Bujáki Márk</t>
  </si>
  <si>
    <t>Mátyás Martin</t>
  </si>
  <si>
    <t>Fazekas Márk</t>
  </si>
  <si>
    <t>Fricz Márk</t>
  </si>
  <si>
    <t>Medgyesi Barna</t>
  </si>
  <si>
    <t>Tóth Mark Henrik</t>
  </si>
  <si>
    <t>Merev József Tóth</t>
  </si>
  <si>
    <t>Huszár Márk</t>
  </si>
  <si>
    <t>Mertse Ádám</t>
  </si>
  <si>
    <t>Katrinák Márk</t>
  </si>
  <si>
    <t>Kótai Márk</t>
  </si>
  <si>
    <t>Lőrincz Márk</t>
  </si>
  <si>
    <t>Mészáros Dávid Kismészi</t>
  </si>
  <si>
    <t>Mészáros Tamás</t>
  </si>
  <si>
    <t>Murányi Márk</t>
  </si>
  <si>
    <t>Metzger Gábor</t>
  </si>
  <si>
    <t>Mezei Patrik Shrek</t>
  </si>
  <si>
    <t>Eg;City/1 Market</t>
  </si>
  <si>
    <t>Meczger Márta</t>
  </si>
  <si>
    <t>Ocker Marta</t>
  </si>
  <si>
    <t>Verebélyi Márta</t>
  </si>
  <si>
    <t>Gál Martin</t>
  </si>
  <si>
    <t>Mihály Tamás Hentes</t>
  </si>
  <si>
    <t>Kiss Martin</t>
  </si>
  <si>
    <t>Martinkovics Martin</t>
  </si>
  <si>
    <t>Miskolci Gabi</t>
  </si>
  <si>
    <t>Miskolci Henrik</t>
  </si>
  <si>
    <t>Szabó Martin</t>
  </si>
  <si>
    <t>Mócsány Martin</t>
  </si>
  <si>
    <t>Molnár Benjámin Péter</t>
  </si>
  <si>
    <t>Szuromi Martin</t>
  </si>
  <si>
    <t>Tóth Martin</t>
  </si>
  <si>
    <t>Cutler Martin Tóth</t>
  </si>
  <si>
    <t>Dufla Martina</t>
  </si>
  <si>
    <t>Gulyás Martina</t>
  </si>
  <si>
    <t>Erdős Márton Marci Bácsi</t>
  </si>
  <si>
    <t>Erdős Márton</t>
  </si>
  <si>
    <t>Hertelendi Márton</t>
  </si>
  <si>
    <t>Hubai Márton</t>
  </si>
  <si>
    <t>Molnár István Sovány Sovány</t>
  </si>
  <si>
    <t>Kis Márton</t>
  </si>
  <si>
    <t>Nagy Márton</t>
  </si>
  <si>
    <t>Idősebb Tomin Márton</t>
  </si>
  <si>
    <t>Molnár László</t>
  </si>
  <si>
    <t>Gyöngy Máté</t>
  </si>
  <si>
    <t>Horváth Máté</t>
  </si>
  <si>
    <t>Hudák Máté</t>
  </si>
  <si>
    <t>Knyaskó Máté</t>
  </si>
  <si>
    <t>Kovács Máté</t>
  </si>
  <si>
    <t>Krasznai Máté Dzsufi</t>
  </si>
  <si>
    <t>Molnár Milán</t>
  </si>
  <si>
    <t>Gál Máté Péter</t>
  </si>
  <si>
    <t>Balatoni Mátyás</t>
  </si>
  <si>
    <t>Kun Mátyás</t>
  </si>
  <si>
    <t>Tóth Mátyás</t>
  </si>
  <si>
    <t>Losonczi Maxi</t>
  </si>
  <si>
    <t>Melles Maximilian</t>
  </si>
  <si>
    <t>David Jablonovszky Mayer</t>
  </si>
  <si>
    <t>Halász Melani</t>
  </si>
  <si>
    <t>Kaló Melani</t>
  </si>
  <si>
    <t>Czimbalmos Melinda</t>
  </si>
  <si>
    <t>Kovács-Hagyó Melinda</t>
  </si>
  <si>
    <t>Maros Melinda</t>
  </si>
  <si>
    <t>Mató Melinda</t>
  </si>
  <si>
    <t>Városi Melinda</t>
  </si>
  <si>
    <t>Radogna Melody</t>
  </si>
  <si>
    <t>Dénes Mercédesz</t>
  </si>
  <si>
    <t>Miskolci Mercédesz</t>
  </si>
  <si>
    <t>Katalin Mészáros</t>
  </si>
  <si>
    <t>Taxi Mezőkövesd</t>
  </si>
  <si>
    <t>Felvidék Mia</t>
  </si>
  <si>
    <t>Daher Michel</t>
  </si>
  <si>
    <t>Fizio Poland Mido</t>
  </si>
  <si>
    <t>Balás Mihály</t>
  </si>
  <si>
    <t>Molnárné Nagy Henrietta</t>
  </si>
  <si>
    <t>Czinege Mihály</t>
  </si>
  <si>
    <t>Deák-Bárdos Mihály</t>
  </si>
  <si>
    <t>Demeter Mihály</t>
  </si>
  <si>
    <t>Komóczi Pszichológus Mihály</t>
  </si>
  <si>
    <t>Norbert Mihály</t>
  </si>
  <si>
    <t>Tar Mihály</t>
  </si>
  <si>
    <t>MTK Jani János</t>
  </si>
  <si>
    <t>Nagy Ábel</t>
  </si>
  <si>
    <t>Erős Miklós Miki</t>
  </si>
  <si>
    <t>Farkas Miklós</t>
  </si>
  <si>
    <t>Hoffmann Miklós</t>
  </si>
  <si>
    <t>Nagy Ádám</t>
  </si>
  <si>
    <t>Nagy Alex</t>
  </si>
  <si>
    <t>Patrubány Miklós</t>
  </si>
  <si>
    <t>Szilágyi Miklós</t>
  </si>
  <si>
    <t>Nagy Béla</t>
  </si>
  <si>
    <t>Voda Miklós</t>
  </si>
  <si>
    <t>Polgármester Mikófalva</t>
  </si>
  <si>
    <t>Ügyintéző Mikófalva</t>
  </si>
  <si>
    <t>2 Mikófalva Ügyintéző</t>
  </si>
  <si>
    <t>Fülöp Milán</t>
  </si>
  <si>
    <t>Kondász Milán</t>
  </si>
  <si>
    <t>Nagy Gergely</t>
  </si>
  <si>
    <t>Nagy Imi</t>
  </si>
  <si>
    <t>Nagy János</t>
  </si>
  <si>
    <t>Nagy László</t>
  </si>
  <si>
    <t>Imre Mile Pirke</t>
  </si>
  <si>
    <t>Nyeste Milla</t>
  </si>
  <si>
    <t>Szabó Mira</t>
  </si>
  <si>
    <t>Varga Mirjam Dorina</t>
  </si>
  <si>
    <t>Szabó Mirjam</t>
  </si>
  <si>
    <t>Nagy Mihály</t>
  </si>
  <si>
    <t>Nagy ESMTK Misi</t>
  </si>
  <si>
    <t>Testőr Misi</t>
  </si>
  <si>
    <t>Török Misi</t>
  </si>
  <si>
    <t>Miskolc Amaretto Szállás</t>
  </si>
  <si>
    <t>csávó Miskolci Egyetem, menzás Konyhás, Miskolci Menzás Csávó</t>
  </si>
  <si>
    <t>Csaba Molnár</t>
  </si>
  <si>
    <t>Alexandra Molnár Renáta</t>
  </si>
  <si>
    <t>Kovács Móni</t>
  </si>
  <si>
    <t>Baloghné Vitelics Mónika</t>
  </si>
  <si>
    <t>Csathó Mónika</t>
  </si>
  <si>
    <t>Erdődi Mónika</t>
  </si>
  <si>
    <t>Galamb Mónika</t>
  </si>
  <si>
    <t>Nagy Péter</t>
  </si>
  <si>
    <t>Kovács Mónika</t>
  </si>
  <si>
    <t>Mihály Mónika Moncsi</t>
  </si>
  <si>
    <t>Svenja Mónika Simó</t>
  </si>
  <si>
    <t>Szanyi Mónika</t>
  </si>
  <si>
    <t>Tóth Mónika</t>
  </si>
  <si>
    <t>Kismóni Móric</t>
  </si>
  <si>
    <t>Nagy Richárd</t>
  </si>
  <si>
    <t>Nyomorult MSN</t>
  </si>
  <si>
    <t>Kohistani Mursal</t>
  </si>
  <si>
    <t>István Nádasi Mom's Favorite Gibbon</t>
  </si>
  <si>
    <t>Alexandra Nagy</t>
  </si>
  <si>
    <t>Tamás Nagy Attila</t>
  </si>
  <si>
    <t>Ani Nagy Ferencné Krémó</t>
  </si>
  <si>
    <t>Gurbanov Namig</t>
  </si>
  <si>
    <t>Hajek Nándor</t>
  </si>
  <si>
    <t>Magyar Nándor</t>
  </si>
  <si>
    <t>Natali Nagy ő</t>
  </si>
  <si>
    <t>Szabados Natália</t>
  </si>
  <si>
    <t>Bakari Natasha</t>
  </si>
  <si>
    <t>Lilla És Natkó</t>
  </si>
  <si>
    <t>Iván Németh</t>
  </si>
  <si>
    <t>Patrik Németh</t>
  </si>
  <si>
    <t>Dòra néni</t>
  </si>
  <si>
    <t>Tamás Nichter</t>
  </si>
  <si>
    <t>Béres Niki</t>
  </si>
  <si>
    <t>Préda Niki</t>
  </si>
  <si>
    <t>Dk Niko Deák Anikó</t>
  </si>
  <si>
    <t>Ocskó Nikol</t>
  </si>
  <si>
    <t>Nagy Róbert</t>
  </si>
  <si>
    <t>Ádám Nikolett</t>
  </si>
  <si>
    <t>Angyal Nikolett</t>
  </si>
  <si>
    <t>Buzássy Nikolett</t>
  </si>
  <si>
    <t>Csoma Nikolett</t>
  </si>
  <si>
    <t>Csuka Nikolett</t>
  </si>
  <si>
    <t>Dávid Nikolett HR</t>
  </si>
  <si>
    <t>Járdán Nikolett</t>
  </si>
  <si>
    <t>Komróczki Nikolett</t>
  </si>
  <si>
    <t>Pap Nikolett Krisztina</t>
  </si>
  <si>
    <t>Leskó Nikolett</t>
  </si>
  <si>
    <t>Oláh Nikolett</t>
  </si>
  <si>
    <t>Nagy Sándor</t>
  </si>
  <si>
    <t>Bozsik Nikoletta</t>
  </si>
  <si>
    <t>Kása Nikoletta</t>
  </si>
  <si>
    <t>Kepler Nikoletta</t>
  </si>
  <si>
    <t>Kis Nikoletta</t>
  </si>
  <si>
    <t>Molnár Nikoletta</t>
  </si>
  <si>
    <t>Péter Nikoletta</t>
  </si>
  <si>
    <t>Rickó Nikoletta</t>
  </si>
  <si>
    <t>Secgin Nikoletta</t>
  </si>
  <si>
    <t>Tóth Nikoletta</t>
  </si>
  <si>
    <t>Kakhelashvili Nikoloz</t>
  </si>
  <si>
    <t>Bartók Noémi</t>
  </si>
  <si>
    <t>Czeglédi Noémi</t>
  </si>
  <si>
    <t>Fancsali Noémi</t>
  </si>
  <si>
    <t>Hajas Noémi</t>
  </si>
  <si>
    <t>Jakab Noémi</t>
  </si>
  <si>
    <t>Szenttamási Noémi</t>
  </si>
  <si>
    <t>Szidor Noémi</t>
  </si>
  <si>
    <t>Váradi Noémi</t>
  </si>
  <si>
    <t>Forgács Nóra</t>
  </si>
  <si>
    <t>Pócsik Nóra Nonó</t>
  </si>
  <si>
    <t>Palányi Nóra</t>
  </si>
  <si>
    <t>Vazsita Nóra</t>
  </si>
  <si>
    <t>Bánszegi Norbert</t>
  </si>
  <si>
    <t>Csiki Norbert</t>
  </si>
  <si>
    <t>Nagy Tamás</t>
  </si>
  <si>
    <t>Nagy Viktor</t>
  </si>
  <si>
    <t>Nagy Norbert</t>
  </si>
  <si>
    <t>Növényi Norbert</t>
  </si>
  <si>
    <t>Oláh Norbert</t>
  </si>
  <si>
    <t>Pál Norbert</t>
  </si>
  <si>
    <t>Papp Norbert</t>
  </si>
  <si>
    <t>Petrény Norbert</t>
  </si>
  <si>
    <t>Nagy Zoltán</t>
  </si>
  <si>
    <t>Pusztai Norbert</t>
  </si>
  <si>
    <t>Nemcsok János</t>
  </si>
  <si>
    <t>Szegedi Norbert</t>
  </si>
  <si>
    <t>Budai Norbi</t>
  </si>
  <si>
    <t>Nemes Gábor Döme</t>
  </si>
  <si>
    <t>Németh István</t>
  </si>
  <si>
    <t>Szűcs Norina</t>
  </si>
  <si>
    <t>Novák Ferenc</t>
  </si>
  <si>
    <t>Abbioui Noureddine</t>
  </si>
  <si>
    <t>Bettina Novák</t>
  </si>
  <si>
    <t>Nyíri Gábor</t>
  </si>
  <si>
    <t>Veres Öcsike</t>
  </si>
  <si>
    <t>Főbérlő Olgi</t>
  </si>
  <si>
    <t>Fürjes Olivér</t>
  </si>
  <si>
    <t>Gellért Olivér</t>
  </si>
  <si>
    <t>Kajtán Olivér</t>
  </si>
  <si>
    <t>Mérvadó Önkényes</t>
  </si>
  <si>
    <t>Spirit Önkényes Mérvadó</t>
  </si>
  <si>
    <t>Bagi Orsi</t>
  </si>
  <si>
    <t>Vass Orsi</t>
  </si>
  <si>
    <t>Balogh Orsolya</t>
  </si>
  <si>
    <t>Bíróné Mészáros Orsolya</t>
  </si>
  <si>
    <t>Duska Orsolya</t>
  </si>
  <si>
    <t>Hunyadi-Buzás Orsolya</t>
  </si>
  <si>
    <t>Józsa Orsolya</t>
  </si>
  <si>
    <t>Labancz Orsolya</t>
  </si>
  <si>
    <t>Lakatos Orsolya</t>
  </si>
  <si>
    <t>Rimóczi Orsolya</t>
  </si>
  <si>
    <t>Soós Orsolya</t>
  </si>
  <si>
    <t>Zombory Orsolya</t>
  </si>
  <si>
    <t>Zubor-Eged Orsolya</t>
  </si>
  <si>
    <t>Lesták Otília</t>
  </si>
  <si>
    <t>Óhegyi Péter OP</t>
  </si>
  <si>
    <t>Oláh Ottó</t>
  </si>
  <si>
    <t>Losonczi Ottó</t>
  </si>
  <si>
    <t>Ifj. Losonczi Ottó</t>
  </si>
  <si>
    <t>Majlik Ottó</t>
  </si>
  <si>
    <t>Oláh Zoltán</t>
  </si>
  <si>
    <t>Omaszta Krisztián</t>
  </si>
  <si>
    <t>Pólik Pál</t>
  </si>
  <si>
    <t>Lajos Pali</t>
  </si>
  <si>
    <t>Box Pali Sofőr Blue</t>
  </si>
  <si>
    <t>Szám Pálos Bence Apja Vagy Új</t>
  </si>
  <si>
    <t>Videó Pálos Bence</t>
  </si>
  <si>
    <t>Tímár Pamela</t>
  </si>
  <si>
    <t>Pásztor Panna</t>
  </si>
  <si>
    <t>Pöttöm Panna</t>
  </si>
  <si>
    <t>Szabó Panna</t>
  </si>
  <si>
    <t>Tóth Panna</t>
  </si>
  <si>
    <t>Baranyi Panni</t>
  </si>
  <si>
    <t>György Papp</t>
  </si>
  <si>
    <t>Eger Party Futár</t>
  </si>
  <si>
    <t>Jocó Pásztó Strand</t>
  </si>
  <si>
    <t>Főnök Pásztói Strand</t>
  </si>
  <si>
    <t>Noémi Pásztor</t>
  </si>
  <si>
    <t>Gecsei Patrícia Dorina</t>
  </si>
  <si>
    <t>Kovács Patrícia</t>
  </si>
  <si>
    <t>Orosz Tamás</t>
  </si>
  <si>
    <t>Kiss Patrick</t>
  </si>
  <si>
    <t>Frey Patrik</t>
  </si>
  <si>
    <t>Orosz Zoltán</t>
  </si>
  <si>
    <t>Gorda Patrik</t>
  </si>
  <si>
    <t>Ortutay Gyula</t>
  </si>
  <si>
    <t>Novák Patrik</t>
  </si>
  <si>
    <t>Pálfalusi Patrik</t>
  </si>
  <si>
    <t>Ráki Patrik</t>
  </si>
  <si>
    <t>Pájer János</t>
  </si>
  <si>
    <t>Pálfalusi Attila</t>
  </si>
  <si>
    <t>Szabó Patrik</t>
  </si>
  <si>
    <t>Pálfalusi Viktor</t>
  </si>
  <si>
    <t>ESz Pé</t>
  </si>
  <si>
    <t>Lux Med Art Pedikűr</t>
  </si>
  <si>
    <t>Aranyosi Péter</t>
  </si>
  <si>
    <t>Bacsa Péter</t>
  </si>
  <si>
    <t>Bácsi Péter</t>
  </si>
  <si>
    <t>Balassa Péter</t>
  </si>
  <si>
    <t>Balázs Péter</t>
  </si>
  <si>
    <t>Pallos Ádám</t>
  </si>
  <si>
    <t>Papp Balázs</t>
  </si>
  <si>
    <t>Papp Máté</t>
  </si>
  <si>
    <t>Parádi Sándor</t>
  </si>
  <si>
    <t>Bencze Péter</t>
  </si>
  <si>
    <t>Pásztor Richárd</t>
  </si>
  <si>
    <t>Boda Péter</t>
  </si>
  <si>
    <t>Csiki Péter</t>
  </si>
  <si>
    <t>Csorba Péter Csoresz</t>
  </si>
  <si>
    <t>Deák Péter</t>
  </si>
  <si>
    <t>Dömök Péter</t>
  </si>
  <si>
    <t>Pásztor Tamás</t>
  </si>
  <si>
    <t>Doros Péter</t>
  </si>
  <si>
    <t>Patkó Tamás Thomas Smith</t>
  </si>
  <si>
    <t>Fidrus Péter</t>
  </si>
  <si>
    <t>Peak Ricsi</t>
  </si>
  <si>
    <t>Fonád Péter</t>
  </si>
  <si>
    <t>Péter Fürjes</t>
  </si>
  <si>
    <t>Pekk Dániel</t>
  </si>
  <si>
    <t>Gazics Péter</t>
  </si>
  <si>
    <t>Gecse Péter</t>
  </si>
  <si>
    <t>Harmati Péter</t>
  </si>
  <si>
    <t>Pelyhe István</t>
  </si>
  <si>
    <t>Jakab Péter</t>
  </si>
  <si>
    <t>Juhász Péter</t>
  </si>
  <si>
    <t>Juhász Péter Jumbo</t>
  </si>
  <si>
    <t>Kele Péter</t>
  </si>
  <si>
    <t>Lipusz Péter</t>
  </si>
  <si>
    <t>Magyar Péter</t>
  </si>
  <si>
    <t>Makai Péter</t>
  </si>
  <si>
    <t>Mihály Péter</t>
  </si>
  <si>
    <t>Módos Péter Csonti</t>
  </si>
  <si>
    <t>Peti Richárd Tóth Juhász</t>
  </si>
  <si>
    <t>Petrényi Vilmos</t>
  </si>
  <si>
    <t>Sarkady Péter Pál</t>
  </si>
  <si>
    <t>Pintér Gábor</t>
  </si>
  <si>
    <t>Százados Péter Ruzsom Rendőr</t>
  </si>
  <si>
    <t>Sass Péter</t>
  </si>
  <si>
    <t>Skapinyecz Péter</t>
  </si>
  <si>
    <t>Soós Péter</t>
  </si>
  <si>
    <t>Surányi Péter</t>
  </si>
  <si>
    <t>Szabó Péter</t>
  </si>
  <si>
    <t>Pitbull Gábor</t>
  </si>
  <si>
    <t>Szerencsés Péter</t>
  </si>
  <si>
    <t>Szilvási Péter</t>
  </si>
  <si>
    <t>Szökő Péter</t>
  </si>
  <si>
    <t>Szöllőssy Péter</t>
  </si>
  <si>
    <t>Poczok Nikolett</t>
  </si>
  <si>
    <t>Tóth Péter</t>
  </si>
  <si>
    <t>Pogány András</t>
  </si>
  <si>
    <t>Várkerti Péter Váradi Petra</t>
  </si>
  <si>
    <t>Pogonyi Richárd</t>
  </si>
  <si>
    <t>László Péteri</t>
  </si>
  <si>
    <t>Balogh Peti</t>
  </si>
  <si>
    <t>Szervező Peti Besenyőtelek Fogathajtó Lovas</t>
  </si>
  <si>
    <t>Daróczi Peti</t>
  </si>
  <si>
    <t>Pogonyi Steve Gábor</t>
  </si>
  <si>
    <t>Kalász Peti</t>
  </si>
  <si>
    <t>Prisznyák Norbert</t>
  </si>
  <si>
    <t>Prokaj Péter</t>
  </si>
  <si>
    <t>Bartus Petra</t>
  </si>
  <si>
    <t>Bocsi Petra</t>
  </si>
  <si>
    <t>Cserős Petra</t>
  </si>
  <si>
    <t>Kajtán Petra</t>
  </si>
  <si>
    <t>Korózs Petra</t>
  </si>
  <si>
    <t>Morvai Petra</t>
  </si>
  <si>
    <t>Pordány Petra</t>
  </si>
  <si>
    <t>Postás Petra</t>
  </si>
  <si>
    <t>Potornai Petra</t>
  </si>
  <si>
    <t>Simonka Petra</t>
  </si>
  <si>
    <t>Suha Petra</t>
  </si>
  <si>
    <t>Szabó Petra</t>
  </si>
  <si>
    <t>Terjek Petra</t>
  </si>
  <si>
    <t>Hajdú Petrus</t>
  </si>
  <si>
    <t>Rácz László</t>
  </si>
  <si>
    <t>Rafael Norbert</t>
  </si>
  <si>
    <t>P Pircsó P</t>
  </si>
  <si>
    <t>Szabó Piroska</t>
  </si>
  <si>
    <t>Tripsánszki Piroska</t>
  </si>
  <si>
    <t>Antal Pisti</t>
  </si>
  <si>
    <t>Rajna Lóránt</t>
  </si>
  <si>
    <t>Jászberény Karaván Oázis Pizza</t>
  </si>
  <si>
    <t>Mobil Pizza</t>
  </si>
  <si>
    <t>Bajzát Rafael</t>
  </si>
  <si>
    <t>Rákóczi Ferenc</t>
  </si>
  <si>
    <t>Galambos Ramóna</t>
  </si>
  <si>
    <t>Buzás Rebeka</t>
  </si>
  <si>
    <t>Kupihár Rebeka</t>
  </si>
  <si>
    <t>Mikó Rebeka</t>
  </si>
  <si>
    <t>Surányi Rebeka</t>
  </si>
  <si>
    <t>Török Rebeka</t>
  </si>
  <si>
    <t>Virág Rebeka</t>
  </si>
  <si>
    <t>Asztalos Regina</t>
  </si>
  <si>
    <t>Kocsis Regina</t>
  </si>
  <si>
    <t>Lakatos Regina</t>
  </si>
  <si>
    <t>Nagy Regina</t>
  </si>
  <si>
    <t>Rizmayer Regina</t>
  </si>
  <si>
    <t>Gorgyán Réka Anita</t>
  </si>
  <si>
    <t>Batáné Ratter Réka</t>
  </si>
  <si>
    <t>Bognár Réka</t>
  </si>
  <si>
    <t>Farkas Réka</t>
  </si>
  <si>
    <t>Fodor Réka</t>
  </si>
  <si>
    <t>Horváth Réka</t>
  </si>
  <si>
    <t>Kremm Réka</t>
  </si>
  <si>
    <t>Nagy Réka</t>
  </si>
  <si>
    <t>Rimóczi Réka</t>
  </si>
  <si>
    <t>Szekeres Réka</t>
  </si>
  <si>
    <t>Szentgyörgyi Réka</t>
  </si>
  <si>
    <t>Temesi Réka</t>
  </si>
  <si>
    <t>Tóbi Réka</t>
  </si>
  <si>
    <t>Turcsányi Réka</t>
  </si>
  <si>
    <t>Zsankó Réka</t>
  </si>
  <si>
    <t>László Remeczki</t>
  </si>
  <si>
    <t>Daher Rena</t>
  </si>
  <si>
    <t>Bakos Renáta Rencsi</t>
  </si>
  <si>
    <t>Csiliga Renáta</t>
  </si>
  <si>
    <t>Pápai Renáta</t>
  </si>
  <si>
    <t>Sarus Renáta</t>
  </si>
  <si>
    <t>Tóth Renáta</t>
  </si>
  <si>
    <t>Reider Zsolt</t>
  </si>
  <si>
    <t>Mátyási Renátó</t>
  </si>
  <si>
    <t>Pető Reni</t>
  </si>
  <si>
    <t>Judit &lt;3 Réti</t>
  </si>
  <si>
    <t>Rutterschmid Richárd A</t>
  </si>
  <si>
    <t>Bognár Richárd</t>
  </si>
  <si>
    <t>Forrai Richárd</t>
  </si>
  <si>
    <t>Ekkert Richárd Gábor</t>
  </si>
  <si>
    <t>Holló Richárd</t>
  </si>
  <si>
    <t>Reke Tomi</t>
  </si>
  <si>
    <t>Kapin Richárd</t>
  </si>
  <si>
    <t>Rencs Viktor Attila</t>
  </si>
  <si>
    <t>Lánczi Richárd</t>
  </si>
  <si>
    <t>Mező Richárd</t>
  </si>
  <si>
    <t>Révész Ricsi</t>
  </si>
  <si>
    <t>Róbert László</t>
  </si>
  <si>
    <t>Robotka Dániel</t>
  </si>
  <si>
    <t>Rajos Richárd</t>
  </si>
  <si>
    <t>Rózsa Peti</t>
  </si>
  <si>
    <t>Rozsnoki Attila</t>
  </si>
  <si>
    <t>Rudas Attila Rudi</t>
  </si>
  <si>
    <t>Rudinszky Adam</t>
  </si>
  <si>
    <t>Tibor Richter</t>
  </si>
  <si>
    <t>Rupa Erzsébet</t>
  </si>
  <si>
    <t>Rusznyák Bence</t>
  </si>
  <si>
    <t>Bial Rita</t>
  </si>
  <si>
    <t>Rácz Rita Fruzsina</t>
  </si>
  <si>
    <t>Godó Rita</t>
  </si>
  <si>
    <t>Horváth Rita</t>
  </si>
  <si>
    <t>Katona Istvánné Rita</t>
  </si>
  <si>
    <t>Kocsis Rita Krisztina</t>
  </si>
  <si>
    <t>Krusper-Puporka Rita</t>
  </si>
  <si>
    <t>Simon Rita</t>
  </si>
  <si>
    <t>Terenyei Rita</t>
  </si>
  <si>
    <t>Sörház Rizmajer</t>
  </si>
  <si>
    <t>Baranyi Róbert</t>
  </si>
  <si>
    <t>Samu Dávid</t>
  </si>
  <si>
    <t>Sándor Béla</t>
  </si>
  <si>
    <t>Sárfi-Bán Viktória</t>
  </si>
  <si>
    <t>Fritsch Róbert</t>
  </si>
  <si>
    <t>Gaál Róbert</t>
  </si>
  <si>
    <t>Horváth Róbert</t>
  </si>
  <si>
    <t>Sas Tamás</t>
  </si>
  <si>
    <t>Seres Ádám</t>
  </si>
  <si>
    <t>Kollár Róbert</t>
  </si>
  <si>
    <t>Seres Bence</t>
  </si>
  <si>
    <t>Krupa Róbert</t>
  </si>
  <si>
    <t>Seres László</t>
  </si>
  <si>
    <t>Mizsei Róbert</t>
  </si>
  <si>
    <t>Morauszki Róbert</t>
  </si>
  <si>
    <t>Pusoma Róbert</t>
  </si>
  <si>
    <t>Puzsér Róbert</t>
  </si>
  <si>
    <t>Rapcsok Róbert</t>
  </si>
  <si>
    <t>Rónai Róbert</t>
  </si>
  <si>
    <t>Sárközi Róbert</t>
  </si>
  <si>
    <t>Siklósi Gergely</t>
  </si>
  <si>
    <t>Szűcs Róbert</t>
  </si>
  <si>
    <t>Debreceni Robi</t>
  </si>
  <si>
    <t>Érsek Robi</t>
  </si>
  <si>
    <t>Sikos Ádám</t>
  </si>
  <si>
    <t>Nemes Robi</t>
  </si>
  <si>
    <t>Villanyszerelő Robinson</t>
  </si>
  <si>
    <t>Balogh Roland</t>
  </si>
  <si>
    <t>Sikos Tamás</t>
  </si>
  <si>
    <t>Yoko Roland Farkas</t>
  </si>
  <si>
    <t>Gerencsér Roland</t>
  </si>
  <si>
    <t>Horváth Roland</t>
  </si>
  <si>
    <t>Rácz Roland Imre</t>
  </si>
  <si>
    <t>Simkó Róbert</t>
  </si>
  <si>
    <t>Kovács Roland</t>
  </si>
  <si>
    <t>Mága Roland</t>
  </si>
  <si>
    <t>Majer Roland</t>
  </si>
  <si>
    <t>Mizser Roland ÉNB Ricsi</t>
  </si>
  <si>
    <t>nagy Roland</t>
  </si>
  <si>
    <t>Skolnyik Roland</t>
  </si>
  <si>
    <t>Szalai Roland</t>
  </si>
  <si>
    <t>Simon József</t>
  </si>
  <si>
    <t>Vadász Roland Ruha Dealer</t>
  </si>
  <si>
    <t>Varga Roland</t>
  </si>
  <si>
    <t>Rendőr Roland Varga</t>
  </si>
  <si>
    <t>Bernát Roni</t>
  </si>
  <si>
    <t>Tinder Rosé</t>
  </si>
  <si>
    <t>Barbi Rosszlányok</t>
  </si>
  <si>
    <t>Vancea Roxana</t>
  </si>
  <si>
    <t>Dr. Lakatos Rozália</t>
  </si>
  <si>
    <t>Halkóné Rózsa</t>
  </si>
  <si>
    <t>Szilágyi Saci</t>
  </si>
  <si>
    <t>Sinka Marian</t>
  </si>
  <si>
    <t>Id. Bárdosi Sandor</t>
  </si>
  <si>
    <t>Bartus Sándor</t>
  </si>
  <si>
    <t>Sinkó Gábor</t>
  </si>
  <si>
    <t>Smith Thomas</t>
  </si>
  <si>
    <t>Csehovics Sándor</t>
  </si>
  <si>
    <t>Sneider Erik</t>
  </si>
  <si>
    <t>Nemes Sándor Döme</t>
  </si>
  <si>
    <t>Farkas Sándor</t>
  </si>
  <si>
    <t>Filus Sándor</t>
  </si>
  <si>
    <t>Gombár Sándor</t>
  </si>
  <si>
    <t>Sneider Márk</t>
  </si>
  <si>
    <t>Bárdosi Sándor István</t>
  </si>
  <si>
    <t>Juhász Sándor</t>
  </si>
  <si>
    <t>Somogyi Ádám Adam S Donatz</t>
  </si>
  <si>
    <t>Kovács Sándor</t>
  </si>
  <si>
    <t>Major Sándor</t>
  </si>
  <si>
    <t>Mester Sándor</t>
  </si>
  <si>
    <t>Sós Patrik</t>
  </si>
  <si>
    <t>Storom József</t>
  </si>
  <si>
    <t>Pörzse Sándor</t>
  </si>
  <si>
    <t>Sashalmi Sándor</t>
  </si>
  <si>
    <t>Szigeti Sándor</t>
  </si>
  <si>
    <t>Tőzsér Sándor</t>
  </si>
  <si>
    <t>Stregova Zsolt</t>
  </si>
  <si>
    <t>Sudár Patrik</t>
  </si>
  <si>
    <t>Suhaj Béla</t>
  </si>
  <si>
    <t>Tóth Sára</t>
  </si>
  <si>
    <t>Vanó Sára</t>
  </si>
  <si>
    <t>Reed Scott</t>
  </si>
  <si>
    <t>Suki Ernő</t>
  </si>
  <si>
    <t>X Sofia</t>
  </si>
  <si>
    <t>Szántai Soma</t>
  </si>
  <si>
    <t>Szigeti Soma</t>
  </si>
  <si>
    <t>Rácz Stella</t>
  </si>
  <si>
    <t>Simon Stella</t>
  </si>
  <si>
    <t>Strezeneczki Stella</t>
  </si>
  <si>
    <t>Farkas Tibi Suti</t>
  </si>
  <si>
    <t>Medve Suzy</t>
  </si>
  <si>
    <t>Diszpécser SYMA</t>
  </si>
  <si>
    <t>Csáki Szabi</t>
  </si>
  <si>
    <t>Suszter Dániel</t>
  </si>
  <si>
    <t>Tóth Szabi</t>
  </si>
  <si>
    <t>Borók Szabina</t>
  </si>
  <si>
    <t>Brassó Szabina</t>
  </si>
  <si>
    <t>Lipák Szabina</t>
  </si>
  <si>
    <t>Nádas Szabina</t>
  </si>
  <si>
    <t>Pátser Szabina</t>
  </si>
  <si>
    <t>Szász Szabina</t>
  </si>
  <si>
    <t>Szőke Szabina</t>
  </si>
  <si>
    <t>Thurner Szabina</t>
  </si>
  <si>
    <t>Adrienn Szabó Kacsa</t>
  </si>
  <si>
    <t>Szabó Ádám</t>
  </si>
  <si>
    <t>Eliána Szabó</t>
  </si>
  <si>
    <t>Lia Szabo</t>
  </si>
  <si>
    <t>Nóri Szabó</t>
  </si>
  <si>
    <t>Zoli Szabó</t>
  </si>
  <si>
    <t>Árkosi Szabolcs</t>
  </si>
  <si>
    <t>Ázsót Szabolcs</t>
  </si>
  <si>
    <t>Szabó Attila</t>
  </si>
  <si>
    <t>Szabó Attila Citrom</t>
  </si>
  <si>
    <t>Fék Szabolcs</t>
  </si>
  <si>
    <t>Szabó Edina Sierleja</t>
  </si>
  <si>
    <t>Jakab Szabolcs</t>
  </si>
  <si>
    <t>Kiss Szabolcs</t>
  </si>
  <si>
    <t>Magyari Szabolcs</t>
  </si>
  <si>
    <t>Molnár Szabolcs</t>
  </si>
  <si>
    <t>Pál Szabolcs</t>
  </si>
  <si>
    <t>Páll Szabolcs</t>
  </si>
  <si>
    <t>Pecze Szabolcs</t>
  </si>
  <si>
    <t>Pelle Szabolcs</t>
  </si>
  <si>
    <t>Sike Szabolcs</t>
  </si>
  <si>
    <t>Stefán Szabolcs</t>
  </si>
  <si>
    <t>Szalay Szabolcs</t>
  </si>
  <si>
    <t>Szanyi Szabolcs</t>
  </si>
  <si>
    <t>Szilágyi Szabolcs</t>
  </si>
  <si>
    <t>Szabó István</t>
  </si>
  <si>
    <t>Végh Szabolcs</t>
  </si>
  <si>
    <t>Szegő Szandra Gabriella</t>
  </si>
  <si>
    <t>Sztahó Szandra</t>
  </si>
  <si>
    <t>Torzsás Szani</t>
  </si>
  <si>
    <t>Szabó Iván</t>
  </si>
  <si>
    <t>Szentdomonkos Szekeres Peti Felni Cigány</t>
  </si>
  <si>
    <t>Betenbuk Szelina</t>
  </si>
  <si>
    <t>István Csiga Szent</t>
  </si>
  <si>
    <t>Ági Szentendre Hilltop</t>
  </si>
  <si>
    <t>Kristóf Szentendre Hilltop Dombóváry</t>
  </si>
  <si>
    <t>Berger Szigfrid</t>
  </si>
  <si>
    <t>Tomika Szilágyi Butik</t>
  </si>
  <si>
    <t>Báder Szili</t>
  </si>
  <si>
    <t>Szabó János</t>
  </si>
  <si>
    <t>Mihalkó Szilvi</t>
  </si>
  <si>
    <t>Török Szilvi</t>
  </si>
  <si>
    <t>Bába Szilvia</t>
  </si>
  <si>
    <t>Bertha Szilvia</t>
  </si>
  <si>
    <t>Győri Szilvia</t>
  </si>
  <si>
    <t>Kovacs Szilvia</t>
  </si>
  <si>
    <t>Szakács Szilvia</t>
  </si>
  <si>
    <t>Trizna Szilvia</t>
  </si>
  <si>
    <t>Vincze Szilvia</t>
  </si>
  <si>
    <t>Károly Szintai</t>
  </si>
  <si>
    <t>Testvére Szőke Krisztián</t>
  </si>
  <si>
    <t>Gábor Bácsi Szomszéd</t>
  </si>
  <si>
    <t>Doki Szűcs Gábor</t>
  </si>
  <si>
    <t>Kyra Szundi</t>
  </si>
  <si>
    <t>Szabó Linda</t>
  </si>
  <si>
    <t>Törzsi Tamara</t>
  </si>
  <si>
    <t>Vezse Tamara</t>
  </si>
  <si>
    <t>Ambrus Tamás</t>
  </si>
  <si>
    <t>Antal Tamás</t>
  </si>
  <si>
    <t>Szabó Norman</t>
  </si>
  <si>
    <t>Szabó Patrícia</t>
  </si>
  <si>
    <t>Berényi Tamás Beta</t>
  </si>
  <si>
    <t>Szabó Tamás</t>
  </si>
  <si>
    <t>Berzi Tamás</t>
  </si>
  <si>
    <t>Szabó Vendel</t>
  </si>
  <si>
    <t>Szabó Zsolti</t>
  </si>
  <si>
    <t>Boros Tamás</t>
  </si>
  <si>
    <t>Bulyáki Tamás</t>
  </si>
  <si>
    <t>Csillag Tamás</t>
  </si>
  <si>
    <t>Csordas Tamas</t>
  </si>
  <si>
    <t>Csörgő Tamás</t>
  </si>
  <si>
    <t>Deáki Tamás</t>
  </si>
  <si>
    <t>Szakács Bence</t>
  </si>
  <si>
    <t>Deutsch-Für Tamás</t>
  </si>
  <si>
    <t>Dián Tamás</t>
  </si>
  <si>
    <t>Szalisznyi Kolos</t>
  </si>
  <si>
    <t>Szedlák Endre</t>
  </si>
  <si>
    <t>Dózsa Tamás</t>
  </si>
  <si>
    <t>Elek Tamás</t>
  </si>
  <si>
    <t>Szedmák Dávid</t>
  </si>
  <si>
    <t>Faragó Tamás</t>
  </si>
  <si>
    <t>Szegedi Balázs</t>
  </si>
  <si>
    <t>Ferenczy Tamás</t>
  </si>
  <si>
    <t>Fodor Tamás</t>
  </si>
  <si>
    <t>Fónagy Tamás</t>
  </si>
  <si>
    <t>Szeitler András</t>
  </si>
  <si>
    <t>Holló Tamás</t>
  </si>
  <si>
    <t>Székely Lala</t>
  </si>
  <si>
    <t>Inklovics Tamás</t>
  </si>
  <si>
    <t>Jászkai Tamás István</t>
  </si>
  <si>
    <t>Jantek Tamás</t>
  </si>
  <si>
    <t>Józsa Tamás</t>
  </si>
  <si>
    <t>Ecsedi Tamás József</t>
  </si>
  <si>
    <t>Kelemen Tamás</t>
  </si>
  <si>
    <t>Kónya Tamás</t>
  </si>
  <si>
    <t>Dr. Kónya Tamás</t>
  </si>
  <si>
    <t>Kovács-Csatlós Tamás</t>
  </si>
  <si>
    <t>Székely Martin</t>
  </si>
  <si>
    <t>Lates Tamás</t>
  </si>
  <si>
    <t>Lázár Tamás</t>
  </si>
  <si>
    <t>Légrádi Tamás</t>
  </si>
  <si>
    <t>Lémon Tamás</t>
  </si>
  <si>
    <t>Székely Zoltán</t>
  </si>
  <si>
    <t>Lőrincz Tamás</t>
  </si>
  <si>
    <t>Mádi Tamás</t>
  </si>
  <si>
    <t>Széki Tibi</t>
  </si>
  <si>
    <t>Széki Tibike</t>
  </si>
  <si>
    <t>Szélig Péter</t>
  </si>
  <si>
    <t>Milo Tamás</t>
  </si>
  <si>
    <t>Mirtill Tamás</t>
  </si>
  <si>
    <t>Szén József</t>
  </si>
  <si>
    <t>Szénási Tamás</t>
  </si>
  <si>
    <t>Szendrei Jázon</t>
  </si>
  <si>
    <t>Pászthy Tamás</t>
  </si>
  <si>
    <t>Szenján Tamás</t>
  </si>
  <si>
    <t>Szepesi Attila</t>
  </si>
  <si>
    <t>Poczkodi Tamás</t>
  </si>
  <si>
    <t>Pruzsinszky Tamás</t>
  </si>
  <si>
    <t>Régi Tamás</t>
  </si>
  <si>
    <t>S. Tóth Tamás</t>
  </si>
  <si>
    <t>Szőke Gabi</t>
  </si>
  <si>
    <t>Szőke Krisztián</t>
  </si>
  <si>
    <t>Sneider Tamás</t>
  </si>
  <si>
    <t>Starosciák Tamás</t>
  </si>
  <si>
    <t>Susán Tamás</t>
  </si>
  <si>
    <t>Szőke V. András</t>
  </si>
  <si>
    <t>Széll Tamás</t>
  </si>
  <si>
    <t>Szöllősy Áron</t>
  </si>
  <si>
    <t>Szöllősy Richárd</t>
  </si>
  <si>
    <t>Szőke Tamás</t>
  </si>
  <si>
    <t>Szopkó Tamás</t>
  </si>
  <si>
    <t>Szucsik Tamás</t>
  </si>
  <si>
    <t>Timkó Tamás</t>
  </si>
  <si>
    <t>Törő Tamás</t>
  </si>
  <si>
    <t>Szonda Szabi</t>
  </si>
  <si>
    <t>Túró Tamás</t>
  </si>
  <si>
    <t>Sztollár Balázs</t>
  </si>
  <si>
    <t>Vitéz Tamás</t>
  </si>
  <si>
    <t>Zoltán Tamás</t>
  </si>
  <si>
    <t>Marianna Tari</t>
  </si>
  <si>
    <t>Sajókaza Taxi</t>
  </si>
  <si>
    <t>Szacsuri Tekla</t>
  </si>
  <si>
    <t>Réka Telek</t>
  </si>
  <si>
    <t>Bata Teodóra</t>
  </si>
  <si>
    <t>Ú;Práj/1 Tesó</t>
  </si>
  <si>
    <t>Kocsma Zsolti Tulaj Tetemvár</t>
  </si>
  <si>
    <t>Szűcs Laci</t>
  </si>
  <si>
    <t>Szuhányi Gyula Gyuszi</t>
  </si>
  <si>
    <t>Szuromi Gergely</t>
  </si>
  <si>
    <t>Takács Ákos</t>
  </si>
  <si>
    <t>Bacsa Tibor</t>
  </si>
  <si>
    <t>Bana Tibor</t>
  </si>
  <si>
    <t>Bukta Tibor</t>
  </si>
  <si>
    <t>Darida Tibor</t>
  </si>
  <si>
    <t>Gal Tibor</t>
  </si>
  <si>
    <t>Gyürky Tibor</t>
  </si>
  <si>
    <t>Takács Attila</t>
  </si>
  <si>
    <t>Józsa Tibor</t>
  </si>
  <si>
    <t>Kálmán Tibor</t>
  </si>
  <si>
    <t>Kalmár Tibor</t>
  </si>
  <si>
    <t>Takács György</t>
  </si>
  <si>
    <t>Takács Zsolt Csont Joe</t>
  </si>
  <si>
    <t>Komáromi Tibor</t>
  </si>
  <si>
    <t>Kozák Tibor</t>
  </si>
  <si>
    <t>Dr. Lévai Tibor</t>
  </si>
  <si>
    <t>Lóczi Tibor</t>
  </si>
  <si>
    <t>Molnár Tibor</t>
  </si>
  <si>
    <t>Nunkovics Tibor</t>
  </si>
  <si>
    <t>Palásti Tibor</t>
  </si>
  <si>
    <t>Pintér Tibor</t>
  </si>
  <si>
    <t>Tar Bence</t>
  </si>
  <si>
    <t>Szanyi Tibor Kapitány</t>
  </si>
  <si>
    <t>Tihanics Tibor</t>
  </si>
  <si>
    <t>Tóth Tibor</t>
  </si>
  <si>
    <t>Tasnádi Péter</t>
  </si>
  <si>
    <t>Török Tilla</t>
  </si>
  <si>
    <t>Dudás Tímea</t>
  </si>
  <si>
    <t>Farkas Tímea</t>
  </si>
  <si>
    <t>Kelemen Tímea</t>
  </si>
  <si>
    <t>Pásztor Tímea Timcsi</t>
  </si>
  <si>
    <t>Sikéné Egedi Tímea</t>
  </si>
  <si>
    <t>Szabó Tímea</t>
  </si>
  <si>
    <t>Prikk Timi</t>
  </si>
  <si>
    <t>Szalai Tina</t>
  </si>
  <si>
    <t>Renáta Tinde</t>
  </si>
  <si>
    <t>Magas Tinder Gabi</t>
  </si>
  <si>
    <t>Niki Tinder</t>
  </si>
  <si>
    <t>Sára Tinder</t>
  </si>
  <si>
    <t>Titokszoba Miskolc</t>
  </si>
  <si>
    <t>Tatár Attila</t>
  </si>
  <si>
    <t>Anita Toldi</t>
  </si>
  <si>
    <t>Dániel Tollár</t>
  </si>
  <si>
    <t>Tatár Roland</t>
  </si>
  <si>
    <t>Soos Tomi</t>
  </si>
  <si>
    <t>Ú;Soós/1 Tomi</t>
  </si>
  <si>
    <t>Dr. Márton Tomin</t>
  </si>
  <si>
    <t>Montana Tomy</t>
  </si>
  <si>
    <t>Peters Tony</t>
  </si>
  <si>
    <t>Evelin Tóth</t>
  </si>
  <si>
    <t>Könyvelő Tóth Józsi AVM</t>
  </si>
  <si>
    <t>Szilárd Tóth</t>
  </si>
  <si>
    <t>Szilvi Tóth</t>
  </si>
  <si>
    <t>Bozsik Tünde</t>
  </si>
  <si>
    <t>Dankó Tünde</t>
  </si>
  <si>
    <t>Fekete Tünde</t>
  </si>
  <si>
    <t>Hartyáni Tünde</t>
  </si>
  <si>
    <t>Ivády Tünde</t>
  </si>
  <si>
    <t>Török Tünde</t>
  </si>
  <si>
    <t>Tóth Tünde</t>
  </si>
  <si>
    <t>Vass Tünde</t>
  </si>
  <si>
    <t>Róbert Tuza Robi</t>
  </si>
  <si>
    <t>Kft Utassy-Vasker</t>
  </si>
  <si>
    <t>Terenyi Imre Dominik</t>
  </si>
  <si>
    <t>Misi Valentina</t>
  </si>
  <si>
    <t>Lummer Valter</t>
  </si>
  <si>
    <t>Csaba Vámos</t>
  </si>
  <si>
    <t>Györök Vanda</t>
  </si>
  <si>
    <t>Ménesi Vanda</t>
  </si>
  <si>
    <t>Ruszó Vanda</t>
  </si>
  <si>
    <t>Bódi Vanessza</t>
  </si>
  <si>
    <t>Puskás Vanessza</t>
  </si>
  <si>
    <t>Tóth Vanessza</t>
  </si>
  <si>
    <t>Anita Várfeszt Mozgássérült</t>
  </si>
  <si>
    <t>István Várfi</t>
  </si>
  <si>
    <t>Miskolc Varrónő Varrónő Miskolc</t>
  </si>
  <si>
    <t>Kutyasuli Vaumax</t>
  </si>
  <si>
    <t>Tibai László</t>
  </si>
  <si>
    <t>Farkas Vera</t>
  </si>
  <si>
    <t>Gazdik Veronika</t>
  </si>
  <si>
    <t>H. Varga Veronika</t>
  </si>
  <si>
    <t>Héder Veronika</t>
  </si>
  <si>
    <t>Illés Veronika</t>
  </si>
  <si>
    <t>Polyák Veronika</t>
  </si>
  <si>
    <t>Szabó Veronika</t>
  </si>
  <si>
    <t>Thaly Veronika</t>
  </si>
  <si>
    <t>Váradi Veronika</t>
  </si>
  <si>
    <t>Zubo Veronika</t>
  </si>
  <si>
    <t>Murguly Viki</t>
  </si>
  <si>
    <t>Kányi Vikica</t>
  </si>
  <si>
    <t>Tompos Miklós</t>
  </si>
  <si>
    <t>Töreky László</t>
  </si>
  <si>
    <t>Bónus Viktor</t>
  </si>
  <si>
    <t>Burka Viktor</t>
  </si>
  <si>
    <t>Horváth Viktor</t>
  </si>
  <si>
    <t>Huczka Viktor</t>
  </si>
  <si>
    <t>Korsós Viktor</t>
  </si>
  <si>
    <t>Lőrincz Viktor</t>
  </si>
  <si>
    <t>Török Attila</t>
  </si>
  <si>
    <t>Török Tamás</t>
  </si>
  <si>
    <t>Orbán Viktor</t>
  </si>
  <si>
    <t>Tóth András</t>
  </si>
  <si>
    <t>Szabó Viktor</t>
  </si>
  <si>
    <t>Dr. Szabó Viktor</t>
  </si>
  <si>
    <t>Szűcs Viktor</t>
  </si>
  <si>
    <t>Tóth Attila</t>
  </si>
  <si>
    <t>Arad Viktoria</t>
  </si>
  <si>
    <t>Balogh Viktória</t>
  </si>
  <si>
    <t>Beri Viktória</t>
  </si>
  <si>
    <t>Bóta Viktória</t>
  </si>
  <si>
    <t>Fülep Viktória</t>
  </si>
  <si>
    <t>Glück Viktória</t>
  </si>
  <si>
    <t>Kelemen Viktória</t>
  </si>
  <si>
    <t>Hortobágyi Viktória Korinna</t>
  </si>
  <si>
    <t>Kovács Viktória</t>
  </si>
  <si>
    <t>Lekner Viktória</t>
  </si>
  <si>
    <t>Padányi Viktória</t>
  </si>
  <si>
    <t>Tóth Balázs</t>
  </si>
  <si>
    <t>Steiner Viktória</t>
  </si>
  <si>
    <t>Szabó Viktória</t>
  </si>
  <si>
    <t>Varga Viktória</t>
  </si>
  <si>
    <t>Végső Viktória</t>
  </si>
  <si>
    <t>Vermeki Viktória</t>
  </si>
  <si>
    <t>Jakab Vilmos</t>
  </si>
  <si>
    <t>Tóth Bálint</t>
  </si>
  <si>
    <t>Varga Vilmos</t>
  </si>
  <si>
    <t>Lőcsei Viola</t>
  </si>
  <si>
    <t>Póka Viola</t>
  </si>
  <si>
    <t>Bakos Violetta</t>
  </si>
  <si>
    <t>György Virág</t>
  </si>
  <si>
    <t>Kakuk Virág</t>
  </si>
  <si>
    <t>Mezei Virág</t>
  </si>
  <si>
    <t>Ponekker Virág</t>
  </si>
  <si>
    <t>Dr. Pörzse Virág</t>
  </si>
  <si>
    <t>Bikki Viri</t>
  </si>
  <si>
    <t>Anyukája Vitai Dávid</t>
  </si>
  <si>
    <t>Öcc;Malik/1 Vivi</t>
  </si>
  <si>
    <t>Eperjesi Vivien</t>
  </si>
  <si>
    <t>Fialka Vivien</t>
  </si>
  <si>
    <t>Györki Vivien</t>
  </si>
  <si>
    <t>Hangrád Vivien</t>
  </si>
  <si>
    <t>Karkus Vivien</t>
  </si>
  <si>
    <t>Kertész Vivien</t>
  </si>
  <si>
    <t>Kis Vivien</t>
  </si>
  <si>
    <t>Ködmön Vivien</t>
  </si>
  <si>
    <t>Kovács Vivien</t>
  </si>
  <si>
    <t>LaMarina Vivien</t>
  </si>
  <si>
    <t>Linkecs Vivien</t>
  </si>
  <si>
    <t>Lukács Vivien</t>
  </si>
  <si>
    <t>Malik Vivien</t>
  </si>
  <si>
    <t>Molnár Vivien</t>
  </si>
  <si>
    <t>Nagy Vivien</t>
  </si>
  <si>
    <t>Szabó Vivien</t>
  </si>
  <si>
    <t>Szalánczi Vivien</t>
  </si>
  <si>
    <t>Toth Vivien</t>
  </si>
  <si>
    <t>Tóth Vivien</t>
  </si>
  <si>
    <t>Váradi Vivien</t>
  </si>
  <si>
    <t>Varga Vivien Viktória</t>
  </si>
  <si>
    <t>Virág Vivien</t>
  </si>
  <si>
    <t>Antal Volt Fesztivál</t>
  </si>
  <si>
    <t>Ogunde William</t>
  </si>
  <si>
    <t>Zöld Xéni</t>
  </si>
  <si>
    <t>Takács Xénia</t>
  </si>
  <si>
    <t>Farkas Zalán</t>
  </si>
  <si>
    <t>Jámbor Zalán</t>
  </si>
  <si>
    <t>Kádasi Zalán</t>
  </si>
  <si>
    <t>Judit Zayné Bojtos</t>
  </si>
  <si>
    <t>Tóth Milán</t>
  </si>
  <si>
    <t>Gábor Zemlényi</t>
  </si>
  <si>
    <t>Eger ZF</t>
  </si>
  <si>
    <t>Urbán Zia</t>
  </si>
  <si>
    <t>Farkas Zita</t>
  </si>
  <si>
    <t>Varjú Zita</t>
  </si>
  <si>
    <t>Székely Zoli</t>
  </si>
  <si>
    <t>Tamás Zoli</t>
  </si>
  <si>
    <t>Ábri Zoltán</t>
  </si>
  <si>
    <t>Tóth Patrik</t>
  </si>
  <si>
    <t>Ajlik Zoltán</t>
  </si>
  <si>
    <t>Bagi Zoltán</t>
  </si>
  <si>
    <t>Balázs Zoltán</t>
  </si>
  <si>
    <t>Balczó Zoltán</t>
  </si>
  <si>
    <t>Baranyi Zoltán</t>
  </si>
  <si>
    <t>Bárdos Zoltán</t>
  </si>
  <si>
    <t>Trecska Péter</t>
  </si>
  <si>
    <t>Turán Apolka</t>
  </si>
  <si>
    <t>Ember Zoltán</t>
  </si>
  <si>
    <t>Fodor Zoltán</t>
  </si>
  <si>
    <t>Gárdus Zoltán</t>
  </si>
  <si>
    <t>Tyirityán Zsolt</t>
  </si>
  <si>
    <t>Gulyás Zoltán</t>
  </si>
  <si>
    <t>Hajdú Zoltán</t>
  </si>
  <si>
    <t>Homolya Zoltán</t>
  </si>
  <si>
    <t>Horváth Zoltán</t>
  </si>
  <si>
    <t>Ujváry Gábor</t>
  </si>
  <si>
    <t>Kámándi Zoltán</t>
  </si>
  <si>
    <t>Kása Zoltán</t>
  </si>
  <si>
    <t>Kéri Zoltán</t>
  </si>
  <si>
    <t>Vági Bence Vági Bence</t>
  </si>
  <si>
    <t>Vágó Attila</t>
  </si>
  <si>
    <t>Kürti Zoltán</t>
  </si>
  <si>
    <t>Lévai Zoltán Edző</t>
  </si>
  <si>
    <t>Vakarcs Gergő</t>
  </si>
  <si>
    <t>Vakter József</t>
  </si>
  <si>
    <t>Miklósi Zoltán</t>
  </si>
  <si>
    <t>Molnár Zoltán</t>
  </si>
  <si>
    <t>Valentenyi Sándor</t>
  </si>
  <si>
    <t>Nagymáté Zoltán</t>
  </si>
  <si>
    <t>Valentin Diamond Nick</t>
  </si>
  <si>
    <t>Valkó Árpi</t>
  </si>
  <si>
    <t>Pakusza Zoltán</t>
  </si>
  <si>
    <t>Pallos Zoltán</t>
  </si>
  <si>
    <t>Varga Zoltán Péter</t>
  </si>
  <si>
    <t>Petrovics Zoltán</t>
  </si>
  <si>
    <t>Poczkodi Zoltán Hogan</t>
  </si>
  <si>
    <t>Rónyai Zoltán</t>
  </si>
  <si>
    <t>Sas Zoltán</t>
  </si>
  <si>
    <t>Somogyi Zoltán Soma Dj Soma</t>
  </si>
  <si>
    <t>Lángos Zoltán Szabó</t>
  </si>
  <si>
    <t>Szegedi Zoltán</t>
  </si>
  <si>
    <t>Váraljai Tibor</t>
  </si>
  <si>
    <t>Tóth Zoltán</t>
  </si>
  <si>
    <t>Vass Zoltán</t>
  </si>
  <si>
    <t>Vécsei Zoltán</t>
  </si>
  <si>
    <t>Adámi Zsanett</t>
  </si>
  <si>
    <t>Barkóczy Zsanett Orhydea Wild</t>
  </si>
  <si>
    <t>Egyed Zsanett</t>
  </si>
  <si>
    <t>Koska Zsanett</t>
  </si>
  <si>
    <t>Németh Zsanett</t>
  </si>
  <si>
    <t>Paréj Zsanett</t>
  </si>
  <si>
    <t>Tari Zsanett</t>
  </si>
  <si>
    <t>Kovács Zsani</t>
  </si>
  <si>
    <t>Labirintus Zsiga</t>
  </si>
  <si>
    <t>Veres Zsófi</t>
  </si>
  <si>
    <t>Botond Zsófia</t>
  </si>
  <si>
    <t>Cserháti Zsófia</t>
  </si>
  <si>
    <t>Fülöp Zsófia</t>
  </si>
  <si>
    <t>Gorcsakovszki Zsófia</t>
  </si>
  <si>
    <t>Horváth Zsófia</t>
  </si>
  <si>
    <t>Jordán Zsófia</t>
  </si>
  <si>
    <t>Kóczián Zsófia</t>
  </si>
  <si>
    <t>Rauch Zsófia</t>
  </si>
  <si>
    <t>Szabó Zsófia</t>
  </si>
  <si>
    <t>Szántóné Csánó Zsófia</t>
  </si>
  <si>
    <t>Vinczepap Zsófia</t>
  </si>
  <si>
    <t>Varga Dániel</t>
  </si>
  <si>
    <t>Bajzát Zsolt</t>
  </si>
  <si>
    <t>Bak Zsolt</t>
  </si>
  <si>
    <t>Varga István</t>
  </si>
  <si>
    <t>Bánkuti Zsolt</t>
  </si>
  <si>
    <t>Varga-Tóth Szabolcs</t>
  </si>
  <si>
    <t>Bárczai Zsolt</t>
  </si>
  <si>
    <t>Várnai Gábor</t>
  </si>
  <si>
    <t>Vas Attila</t>
  </si>
  <si>
    <t>Besenyei Zsolt Brazil</t>
  </si>
  <si>
    <t>Vass László</t>
  </si>
  <si>
    <t>Bódi Zsolt</t>
  </si>
  <si>
    <t>Vecseri Barnabás Barni</t>
  </si>
  <si>
    <t>Végh Kálmi</t>
  </si>
  <si>
    <t>Veréb Anikó</t>
  </si>
  <si>
    <t>Veréb Norbi</t>
  </si>
  <si>
    <t>Csirmaz Zsolt</t>
  </si>
  <si>
    <t>Verebélyi József</t>
  </si>
  <si>
    <t>Veres Lajos</t>
  </si>
  <si>
    <t>Eged Zsolt</t>
  </si>
  <si>
    <t>Egyed Zsolt</t>
  </si>
  <si>
    <t>Veres Richárd</t>
  </si>
  <si>
    <t>Gonda Zsolt</t>
  </si>
  <si>
    <t>Ha;Barta/1 Zsolt</t>
  </si>
  <si>
    <t>Hampó Zsolt</t>
  </si>
  <si>
    <t>Harangozó Zsolt</t>
  </si>
  <si>
    <t>Jagicza Zsolt</t>
  </si>
  <si>
    <t>Kántor Zsolt</t>
  </si>
  <si>
    <t>Karácsony Zsolt</t>
  </si>
  <si>
    <t>Kovács Zsolt</t>
  </si>
  <si>
    <t>Krenyácz Zsolt</t>
  </si>
  <si>
    <t>Vetési Feri</t>
  </si>
  <si>
    <t>Laczkó Zsolt</t>
  </si>
  <si>
    <t>Lagzi-Kovács Zsolt</t>
  </si>
  <si>
    <t>Lengyel Zsolt</t>
  </si>
  <si>
    <t>M;Köböl/1 Zsolt</t>
  </si>
  <si>
    <t>Vilmányi Zsolt</t>
  </si>
  <si>
    <t>Vitai Dávid</t>
  </si>
  <si>
    <t>Vörös Balázs</t>
  </si>
  <si>
    <t>Malkovics Zsolt</t>
  </si>
  <si>
    <t>Márkus Zsolt</t>
  </si>
  <si>
    <t>Dr. Nagy Zsolt</t>
  </si>
  <si>
    <t>O;Köböl/1 Zsolt</t>
  </si>
  <si>
    <t>Pelyhe Zsolt</t>
  </si>
  <si>
    <t>Weinzierl György Zoltán</t>
  </si>
  <si>
    <t>Simita Zsolt</t>
  </si>
  <si>
    <t>Zathureczky Zsolt Zsombor</t>
  </si>
  <si>
    <t>Suha Zsolt</t>
  </si>
  <si>
    <t>Svidró Zsolt</t>
  </si>
  <si>
    <t>Szeifert Zsolt</t>
  </si>
  <si>
    <t>Szilágyi Zsolt</t>
  </si>
  <si>
    <t>Szőlősi Zsolt</t>
  </si>
  <si>
    <t>Szombathy Zsolt</t>
  </si>
  <si>
    <t>Zeke Viktor</t>
  </si>
  <si>
    <t>Temesi Zsolt</t>
  </si>
  <si>
    <t>Török Zsolt</t>
  </si>
  <si>
    <t>Ifj. Török Zsolt</t>
  </si>
  <si>
    <t>Zelei Laszló Zeke</t>
  </si>
  <si>
    <t>Várvédy Zsolt</t>
  </si>
  <si>
    <t>Zieg Márk</t>
  </si>
  <si>
    <t>Zentai-Plajner Zsolt</t>
  </si>
  <si>
    <t>Zoli Maci Molnár</t>
  </si>
  <si>
    <t>Barna Zsolti</t>
  </si>
  <si>
    <t>Zsarnovszky Gergely</t>
  </si>
  <si>
    <t>Korpás Zsolti</t>
  </si>
  <si>
    <t>Zsivnovszky Gergő</t>
  </si>
  <si>
    <t>Bertók Zsoltné Nóra</t>
  </si>
  <si>
    <t>Bóta Zsombor</t>
  </si>
  <si>
    <t>Herke Zsombor</t>
  </si>
  <si>
    <t>Uri Zsombor</t>
  </si>
  <si>
    <t>Kovács Zsuzsa ❤️ Zsunobo</t>
  </si>
  <si>
    <t>Makkai Zsuzsa</t>
  </si>
  <si>
    <t>Nagy Zsuzsa</t>
  </si>
  <si>
    <t>Ruzsinszki Zsuzsa</t>
  </si>
  <si>
    <t>Szegedi Zsuzsa</t>
  </si>
  <si>
    <t>Dr. Beleznay Zsuzsanna</t>
  </si>
  <si>
    <t>Hornyák Zsuzsanna</t>
  </si>
  <si>
    <t>Kristóf Zsuzsanna Ciculi</t>
  </si>
  <si>
    <t>Kurucz Zsuzsanna</t>
  </si>
  <si>
    <t>Lódi Zsuzsanna</t>
  </si>
  <si>
    <t>Szevcsik Zsuzsi</t>
  </si>
  <si>
    <t>Лебедовская Лера</t>
  </si>
  <si>
    <t>Név</t>
  </si>
  <si>
    <t>Ismeretség</t>
  </si>
  <si>
    <t>Bagossy</t>
  </si>
  <si>
    <t>Sze
10:00 - 22:00</t>
  </si>
  <si>
    <t>Sze
22:00 - 08:00</t>
  </si>
  <si>
    <t>Cs
08:00 - 12:00</t>
  </si>
  <si>
    <t>Cs
12:00 - 18:00</t>
  </si>
  <si>
    <t>Cs
18:00 - 03:00</t>
  </si>
  <si>
    <t>Cs
03:00 - 08:00</t>
  </si>
  <si>
    <t>Salgótarján
18:00 - 01:00</t>
  </si>
  <si>
    <t>P
08:00 - 12:00</t>
  </si>
  <si>
    <t>P
12:00 - 18:00</t>
  </si>
  <si>
    <t>P
18:00 - 03:00</t>
  </si>
  <si>
    <t>P
03:00 - 08:00</t>
  </si>
  <si>
    <t>Szo
08:00 - 12:00</t>
  </si>
  <si>
    <t>Szo
12:00 - 18:00</t>
  </si>
  <si>
    <t>Szo
18:00 - 03:00</t>
  </si>
  <si>
    <t>Szo
03:00 - 10:00</t>
  </si>
  <si>
    <t>-</t>
  </si>
  <si>
    <t>Hiány</t>
  </si>
  <si>
    <t>Megvan</t>
  </si>
  <si>
    <t>Létszám</t>
  </si>
  <si>
    <t>?</t>
  </si>
  <si>
    <t>Státusz</t>
  </si>
  <si>
    <t>PRIO</t>
  </si>
  <si>
    <t>Prio2</t>
  </si>
  <si>
    <t>Visszahívni</t>
  </si>
  <si>
    <t>Megjegyzés</t>
  </si>
  <si>
    <t>Nem vette fel</t>
  </si>
  <si>
    <t>ok</t>
  </si>
  <si>
    <t>Cs: 20-ra tud jönni</t>
  </si>
  <si>
    <t>Hétfőn visszahívni</t>
  </si>
  <si>
    <t>Kérdőjel</t>
  </si>
  <si>
    <t>Nem jön</t>
  </si>
  <si>
    <t>Musa Márió</t>
  </si>
  <si>
    <t>Laczlan, Kidobó, Biztonsági őr</t>
  </si>
  <si>
    <t>Rohály Viktor</t>
  </si>
  <si>
    <t>?vx</t>
  </si>
  <si>
    <t>Felhívni</t>
  </si>
  <si>
    <t>v</t>
  </si>
  <si>
    <t>Szo: 20-22 közt tud jönni</t>
  </si>
  <si>
    <t>Macok
21:00  - 0:00</t>
  </si>
  <si>
    <t>Sirok</t>
  </si>
  <si>
    <t>Csoma Gábor</t>
  </si>
  <si>
    <t>Fónad Bence</t>
  </si>
  <si>
    <t>Hutás Gábor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</si>
</sst>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40">
    <dxf>
      <fill>
        <patternFill>
          <bgColor rgb="FFFFCCCC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CC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BBA415-F51A-4C2D-BD61-BED73C237DE8}" autoFormatId="16" applyNumberFormats="0" applyBorderFormats="0" applyFontFormats="0" applyPatternFormats="0" applyAlignmentFormats="0" applyWidthHeightFormats="0">
  <queryTableRefresh nextId="44" unboundColumnsLeft="11" unboundColumnsRight="19">
    <queryTableFields count="32">
      <queryTableField id="16" dataBound="0" tableColumnId="17"/>
      <queryTableField id="15" dataBound="0" tableColumnId="16"/>
      <queryTableField id="14" dataBound="0" tableColumnId="14"/>
      <queryTableField id="38" dataBound="0" tableColumnId="39"/>
      <queryTableField id="37" dataBound="0" tableColumnId="38"/>
      <queryTableField id="41" dataBound="0" tableColumnId="1"/>
      <queryTableField id="43" dataBound="0" tableColumnId="4"/>
      <queryTableField id="39" dataBound="0" tableColumnId="40"/>
      <queryTableField id="40" dataBound="0" tableColumnId="41"/>
      <queryTableField id="18" dataBound="0" tableColumnId="19"/>
      <queryTableField id="17" dataBound="0" tableColumnId="18"/>
      <queryTableField id="10" name="Relation 1 - Label" tableColumnId="10"/>
      <queryTableField id="11" name="Relation 1 - Value" tableColumnId="11"/>
      <queryTableField id="36" dataBound="0" tableColumnId="37"/>
      <queryTableField id="19" dataBound="0" tableColumnId="20"/>
      <queryTableField id="20" dataBound="0" tableColumnId="21"/>
      <queryTableField id="21" dataBound="0" tableColumnId="22"/>
      <queryTableField id="22" dataBound="0" tableColumnId="23"/>
      <queryTableField id="24" dataBound="0" tableColumnId="25"/>
      <queryTableField id="23" dataBound="0" tableColumnId="24"/>
      <queryTableField id="25" dataBound="0" tableColumnId="26"/>
      <queryTableField id="26" dataBound="0" tableColumnId="27"/>
      <queryTableField id="27" dataBound="0" tableColumnId="28"/>
      <queryTableField id="28" dataBound="0" tableColumnId="29"/>
      <queryTableField id="29" dataBound="0" tableColumnId="30"/>
      <queryTableField id="30" dataBound="0" tableColumnId="31"/>
      <queryTableField id="31" dataBound="0" tableColumnId="32"/>
      <queryTableField id="42" dataBound="0" tableColumnId="2"/>
      <queryTableField id="32" dataBound="0" tableColumnId="33"/>
      <queryTableField id="33" dataBound="0" tableColumnId="34"/>
      <queryTableField id="34" dataBound="0" tableColumnId="35"/>
      <queryTableField id="35" dataBound="0" tableColumnId="36"/>
    </queryTableFields>
    <queryTableDeletedFields count="9">
      <deletedField name="First Name"/>
      <deletedField name="Middle Name"/>
      <deletedField name="Last Name"/>
      <deletedField name="Name Prefix"/>
      <deletedField name="Name Suffix"/>
      <deletedField name="Nickname"/>
      <deletedField name="Organization Name"/>
      <deletedField name="Organization Title"/>
      <deletedField name="Organization Departm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AC4DA-F7EF-4A93-A9F4-E72CCB7B9BEF}" name="contact" displayName="contact" ref="A5:AF3082" tableType="queryTable" totalsRowShown="0" headerRowDxfId="34" dataDxfId="33">
  <autoFilter ref="A5:AF3082" xr:uid="{995AC4DA-F7EF-4A93-A9F4-E72CCB7B9BEF}"/>
  <sortState xmlns:xlrd2="http://schemas.microsoft.com/office/spreadsheetml/2017/richdata2" ref="A6:AF3082">
    <sortCondition ref="J5:J3082"/>
  </sortState>
  <tableColumns count="32">
    <tableColumn id="17" xr3:uid="{C1E1A53B-A02E-40DA-957E-04DF72D98CE7}" uniqueName="17" name="PRIO" queryTableFieldId="16" dataDxfId="32"/>
    <tableColumn id="16" xr3:uid="{5802C699-D793-41DC-83EF-997E4E7A42C3}" uniqueName="16" name="Prio2" queryTableFieldId="15" dataDxfId="31"/>
    <tableColumn id="14" xr3:uid="{AD0D3D41-AE2C-4BFA-83FE-98BD08923EBC}" uniqueName="14" name="Potenciális" queryTableFieldId="14" dataDxfId="30"/>
    <tableColumn id="39" xr3:uid="{CE0CA6D4-9E60-4115-BD78-C646F774454D}" uniqueName="39" name="?" queryTableFieldId="38" dataDxfId="29">
      <calculatedColumnFormula>COUNTIF(contact[[#This Row],[Bagossy]:[Szo
03:00 - 10:00]],"=~?")</calculatedColumnFormula>
    </tableColumn>
    <tableColumn id="38" xr3:uid="{A45957A2-7C6A-40B8-AC3D-179B1CBD8222}" uniqueName="38" name="x" queryTableFieldId="37" dataDxfId="28">
      <calculatedColumnFormula>COUNTIF(contact[[#This Row],[Bagossy]:[Szo
03:00 - 10:00]],"=x")</calculatedColumnFormula>
    </tableColumn>
    <tableColumn id="1" xr3:uid="{15CBF875-CD42-46D5-B677-7CEFDD45BB70}" uniqueName="1" name="?vx" queryTableFieldId="41" dataDxfId="27">
      <calculatedColumnFormula>SUM(contact[[#This Row],[?]:[x]])</calculatedColumnFormula>
    </tableColumn>
    <tableColumn id="4" xr3:uid="{8D3010B7-8AF6-48AD-AE9F-93D292A6D1A2}" uniqueName="4" name="Sirok" queryTableFieldId="43" dataDxfId="26">
      <calculatedColumnFormula>COUNTIF(contact[[#This Row],[Sze
10:00 - 22:00]:[Cs
03:00 - 08:00]],"=x")+COUNTIF(contact[[#This Row],[P
08:00 - 12:00]:[P
03:00 - 08:00]],"=x")+COUNTIF(contact[[#This Row],[Szo
08:00 - 12:00]:[Szo
03:00 - 10:00]],"=x")</calculatedColumnFormula>
    </tableColumn>
    <tableColumn id="40" xr3:uid="{7E476317-FBB7-4AEE-B48F-CA88303F9ABC}" uniqueName="40" name="Státusz" queryTableFieldId="39" dataDxfId="25"/>
    <tableColumn id="41" xr3:uid="{AAE083C7-C052-4154-9925-24DCA7ABE672}" uniqueName="41" name="Megjegyzés" queryTableFieldId="40" dataDxfId="24"/>
    <tableColumn id="19" xr3:uid="{72FCC01C-4B28-456F-A417-6D05597C6475}" uniqueName="19" name="Név" queryTableFieldId="18" dataDxfId="23"/>
    <tableColumn id="18" xr3:uid="{37AE1490-934B-4E3D-9AFD-B28B0ED8C380}" uniqueName="18" name="Ismeretség" queryTableFieldId="17" dataDxfId="22"/>
    <tableColumn id="10" xr3:uid="{34D2482B-AD27-40FD-86DA-198B27D19F0A}" uniqueName="10" name="Relation 1 - Label" queryTableFieldId="10" dataDxfId="21"/>
    <tableColumn id="11" xr3:uid="{9304BE5B-E1AF-4472-9FEB-5F05ECC01354}" uniqueName="11" name="Relation 1 - Value" queryTableFieldId="11" dataDxfId="20"/>
    <tableColumn id="37" xr3:uid="{01ED6F67-0E1E-4323-BBF0-4D10344339EA}" uniqueName="37" name="Column1" queryTableFieldId="36" dataDxfId="19"/>
    <tableColumn id="20" xr3:uid="{DB07FA61-45C3-4C53-80CA-99F123F72510}" uniqueName="20" name="Bagossy" queryTableFieldId="19" dataDxfId="18"/>
    <tableColumn id="21" xr3:uid="{D8DA6DEE-8B8F-4E20-B0FD-6DF2F48CF714}" uniqueName="21" name="Lakatos Ferike" queryTableFieldId="20" dataDxfId="17"/>
    <tableColumn id="22" xr3:uid="{93351D22-BF9D-409E-8A23-36478637B078}" uniqueName="22" name="Sze_x000a_10:00 - 22:00" queryTableFieldId="21" dataDxfId="16"/>
    <tableColumn id="23" xr3:uid="{D0C1C65A-076C-4275-B101-C8F450AF6776}" uniqueName="23" name="Sze_x000a_22:00 - 08:00" queryTableFieldId="22" dataDxfId="15"/>
    <tableColumn id="25" xr3:uid="{DC285CAD-B639-400A-A87E-34AAB83C309D}" uniqueName="25" name="Cs_x000a_08:00 - 12:00" queryTableFieldId="24" dataDxfId="14"/>
    <tableColumn id="24" xr3:uid="{30A2C874-E382-4423-A587-7664E3563FB6}" uniqueName="24" name="Cs_x000a_12:00 - 18:00" queryTableFieldId="23" dataDxfId="13"/>
    <tableColumn id="26" xr3:uid="{9497BA3A-7350-4C58-A978-F1CFAA5C174B}" uniqueName="26" name="Cs_x000a_18:00 - 03:00" queryTableFieldId="25" dataDxfId="12"/>
    <tableColumn id="27" xr3:uid="{4289BB36-7465-4FC1-A973-C7D4D6C035B2}" uniqueName="27" name="Cs_x000a_03:00 - 08:00" queryTableFieldId="26" dataDxfId="11"/>
    <tableColumn id="28" xr3:uid="{6F268AB7-06E5-497C-BEF6-075176504D52}" uniqueName="28" name="Salgótarján_x000a_18:00 - 01:00" queryTableFieldId="27" dataDxfId="10"/>
    <tableColumn id="29" xr3:uid="{6BA76366-B425-4BB5-ACEC-0E63617CE7F8}" uniqueName="29" name="P_x000a_08:00 - 12:00" queryTableFieldId="28" dataDxfId="9"/>
    <tableColumn id="30" xr3:uid="{CC427083-F401-41A5-A22B-E4ABC72148BB}" uniqueName="30" name="P_x000a_12:00 - 18:00" queryTableFieldId="29" dataDxfId="8"/>
    <tableColumn id="31" xr3:uid="{F5266C5F-B5AA-4F70-8205-F23F08670FDF}" uniqueName="31" name="P_x000a_18:00 - 03:00" queryTableFieldId="30" dataDxfId="7"/>
    <tableColumn id="32" xr3:uid="{3115DE51-3D87-45C9-86B8-5D3C88F5AA59}" uniqueName="32" name="P_x000a_03:00 - 08:00" queryTableFieldId="31" dataDxfId="6"/>
    <tableColumn id="2" xr3:uid="{5C0C4270-2A39-480B-B5CC-9CECE2B46F99}" uniqueName="2" name="Macok_x000a_21:00  - 0:00" queryTableFieldId="42" dataDxfId="5"/>
    <tableColumn id="33" xr3:uid="{5652073A-B958-403D-BB63-6284C54B7A43}" uniqueName="33" name="Szo_x000a_08:00 - 12:00" queryTableFieldId="32" dataDxfId="4"/>
    <tableColumn id="34" xr3:uid="{94DB2A30-81B3-48F7-96EC-BED2CD474A43}" uniqueName="34" name="Szo_x000a_12:00 - 18:00" queryTableFieldId="33" dataDxfId="3"/>
    <tableColumn id="35" xr3:uid="{A9DC81BB-DFA0-420C-8503-8288D23A49E8}" uniqueName="35" name="Szo_x000a_18:00 - 03:00" queryTableFieldId="34" dataDxfId="2"/>
    <tableColumn id="36" xr3:uid="{E83A0B92-633D-49CE-910A-EDDEAA2C3826}" uniqueName="36" name="Szo_x000a_03:00 - 10:00" queryTableFieldId="35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870D-8587-4250-B509-6B0F695744A2}">
  <dimension ref="A1:AP3083"/>
  <sheetViews>
    <sheetView tabSelected="1" topLeftCell="J2977" zoomScale="115" zoomScaleNormal="115" workbookViewId="0">
      <selection activeCell="J2990" sqref="J2990"/>
    </sheetView>
  </sheetViews>
  <sheetFormatPr defaultRowHeight="15" x14ac:dyDescent="0.25"/>
  <cols>
    <col min="1" max="6" width="7.7109375" customWidth="1"/>
    <col min="7" max="8" width="9" customWidth="1"/>
    <col min="9" max="9" width="12.5703125" customWidth="1"/>
    <col min="10" max="10" width="25.7109375" customWidth="1"/>
    <col min="11" max="11" width="23" hidden="1" customWidth="1"/>
    <col min="12" max="12" width="31.5703125" hidden="1" customWidth="1"/>
    <col min="13" max="13" width="18.85546875" hidden="1" customWidth="1"/>
    <col min="14" max="14" width="12.7109375" bestFit="1" customWidth="1"/>
    <col min="15" max="15" width="11.85546875" hidden="1" customWidth="1"/>
    <col min="16" max="16" width="16.42578125" hidden="1" customWidth="1"/>
    <col min="17" max="21" width="12.140625" style="9" customWidth="1"/>
    <col min="22" max="23" width="14.42578125" style="9" bestFit="1" customWidth="1"/>
    <col min="24" max="32" width="12.140625" style="9" customWidth="1"/>
    <col min="33" max="35" width="12.5703125" customWidth="1"/>
  </cols>
  <sheetData>
    <row r="1" spans="1:42" s="2" customFormat="1" ht="24.75" customHeight="1" x14ac:dyDescent="0.25">
      <c r="N1" s="3" t="s">
        <v>4626</v>
      </c>
      <c r="O1" s="2">
        <f>COUNTIF(contact[Bagossy],"=~?")</f>
        <v>0</v>
      </c>
      <c r="P1" s="2">
        <f>COUNTIF(contact[Lakatos Ferike],"=~?")</f>
        <v>0</v>
      </c>
      <c r="Q1" s="6">
        <f>COUNTIF(contact[Sze
10:00 - 22:00],"=~?")</f>
        <v>1</v>
      </c>
      <c r="R1" s="6">
        <f>COUNTIF(contact[Sze
22:00 - 08:00],"=~?")</f>
        <v>1</v>
      </c>
      <c r="S1" s="6">
        <f>COUNTIF(contact[Cs
08:00 - 12:00],"=~?")</f>
        <v>0</v>
      </c>
      <c r="T1" s="6">
        <f>COUNTIF(contact[Cs
12:00 - 18:00],"=~?")</f>
        <v>2</v>
      </c>
      <c r="U1" s="6">
        <f>COUNTIF(contact[Cs
18:00 - 03:00],"=~?")</f>
        <v>3</v>
      </c>
      <c r="V1" s="6">
        <f>COUNTIF(contact[Cs
03:00 - 08:00],"=~?")</f>
        <v>1</v>
      </c>
      <c r="W1" s="6">
        <f>COUNTIF(contact[Salgótarján
18:00 - 01:00],"=~?")</f>
        <v>5</v>
      </c>
      <c r="X1" s="6">
        <f>COUNTIF(contact[P
08:00 - 12:00],"=~?")</f>
        <v>2</v>
      </c>
      <c r="Y1" s="6">
        <f>COUNTIF(contact[P
12:00 - 18:00],"=~?")</f>
        <v>3</v>
      </c>
      <c r="Z1" s="6">
        <f>COUNTIF(contact[P
18:00 - 03:00],"=~?")</f>
        <v>2</v>
      </c>
      <c r="AA1" s="6">
        <f>COUNTIF(contact[P
03:00 - 08:00],"=~?")</f>
        <v>0</v>
      </c>
      <c r="AB1" s="6">
        <f>COUNTIF(contact[Macok
21:00  - 0:00],"=~?")</f>
        <v>1</v>
      </c>
      <c r="AC1" s="6">
        <f>COUNTIF(contact[Szo
08:00 - 12:00],"=~?")</f>
        <v>9</v>
      </c>
      <c r="AD1" s="6">
        <f>COUNTIF(contact[Szo
12:00 - 18:00],"=~?")</f>
        <v>2</v>
      </c>
      <c r="AE1" s="6">
        <f>COUNTIF(contact[Szo
18:00 - 03:00],"=~?")</f>
        <v>1</v>
      </c>
      <c r="AF1" s="6">
        <f>COUNTIF(contact[Szo
03:00 - 10:00],"=~?")</f>
        <v>3</v>
      </c>
    </row>
    <row r="2" spans="1:42" s="2" customFormat="1" ht="24.75" customHeight="1" x14ac:dyDescent="0.25">
      <c r="N2" s="3" t="s">
        <v>4615</v>
      </c>
      <c r="O2" s="2">
        <v>18</v>
      </c>
      <c r="P2" s="2">
        <v>2</v>
      </c>
      <c r="Q2" s="6">
        <v>6</v>
      </c>
      <c r="R2" s="6">
        <v>6</v>
      </c>
      <c r="S2" s="6">
        <v>6</v>
      </c>
      <c r="T2" s="6">
        <v>12</v>
      </c>
      <c r="U2" s="6">
        <v>16</v>
      </c>
      <c r="V2" s="6">
        <v>6</v>
      </c>
      <c r="W2" s="6">
        <v>10</v>
      </c>
      <c r="X2" s="6">
        <v>6</v>
      </c>
      <c r="Y2" s="6">
        <v>12</v>
      </c>
      <c r="Z2" s="6">
        <v>18</v>
      </c>
      <c r="AA2" s="6">
        <v>6</v>
      </c>
      <c r="AB2" s="6">
        <v>3</v>
      </c>
      <c r="AC2" s="6">
        <v>8</v>
      </c>
      <c r="AD2" s="6">
        <v>15</v>
      </c>
      <c r="AE2" s="6">
        <v>18</v>
      </c>
      <c r="AF2" s="6">
        <v>2</v>
      </c>
    </row>
    <row r="3" spans="1:42" s="2" customFormat="1" ht="24.75" customHeight="1" x14ac:dyDescent="0.25">
      <c r="N3" s="3" t="s">
        <v>4614</v>
      </c>
      <c r="O3" s="2">
        <f>COUNTIF(contact[Bagossy],"=x")</f>
        <v>18</v>
      </c>
      <c r="P3" s="2">
        <f>COUNTIF(contact[Lakatos Ferike],"=x")</f>
        <v>0</v>
      </c>
      <c r="Q3" s="6">
        <f>COUNTIF(contact[Sze
10:00 - 22:00],"=x")</f>
        <v>6</v>
      </c>
      <c r="R3" s="6">
        <f>COUNTIF(contact[Sze
22:00 - 08:00],"=x")</f>
        <v>6</v>
      </c>
      <c r="S3" s="6">
        <f>COUNTIF(contact[Cs
08:00 - 12:00],"=x")</f>
        <v>6</v>
      </c>
      <c r="T3" s="6">
        <f>COUNTIF(contact[Cs
12:00 - 18:00],"=x")</f>
        <v>12</v>
      </c>
      <c r="U3" s="6">
        <f>COUNTIF(contact[Cs
18:00 - 03:00],"=x")</f>
        <v>16</v>
      </c>
      <c r="V3" s="6">
        <f>COUNTIF(contact[Cs
03:00 - 08:00],"=x")</f>
        <v>6</v>
      </c>
      <c r="W3" s="6">
        <f>COUNTIF(contact[Salgótarján
18:00 - 01:00],"=x")</f>
        <v>10</v>
      </c>
      <c r="X3" s="6">
        <f>COUNTIF(contact[P
08:00 - 12:00],"=x")</f>
        <v>6</v>
      </c>
      <c r="Y3" s="6">
        <f>COUNTIF(contact[P
12:00 - 18:00],"=x")</f>
        <v>12</v>
      </c>
      <c r="Z3" s="6">
        <f>COUNTIF(contact[P
18:00 - 03:00],"=x")</f>
        <v>17</v>
      </c>
      <c r="AA3" s="6">
        <f>COUNTIF(contact[P
03:00 - 08:00],"=x")</f>
        <v>6</v>
      </c>
      <c r="AB3" s="6">
        <f>COUNTIF(contact[Macok
21:00  - 0:00],"=x")</f>
        <v>3</v>
      </c>
      <c r="AC3" s="6">
        <f>COUNTIF(contact[Szo
08:00 - 12:00],"=x")</f>
        <v>8</v>
      </c>
      <c r="AD3" s="6">
        <f>COUNTIF(contact[Szo
12:00 - 18:00],"=x")</f>
        <v>15</v>
      </c>
      <c r="AE3" s="6">
        <f>COUNTIF(contact[Szo
18:00 - 03:00],"=x")</f>
        <v>18</v>
      </c>
      <c r="AF3" s="6">
        <f>COUNTIF(contact[Szo
03:00 - 10:00],"=x")</f>
        <v>2</v>
      </c>
    </row>
    <row r="4" spans="1:42" s="2" customFormat="1" ht="24.75" customHeight="1" x14ac:dyDescent="0.25">
      <c r="N4" s="3" t="s">
        <v>4613</v>
      </c>
      <c r="O4" s="2">
        <f>O3-O2</f>
        <v>0</v>
      </c>
      <c r="P4" s="2">
        <f t="shared" ref="P4:AF4" si="0">P3-P2</f>
        <v>-2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-1</v>
      </c>
      <c r="AA4" s="6">
        <f t="shared" si="0"/>
        <v>0</v>
      </c>
      <c r="AB4" s="6">
        <f t="shared" ref="AB4" si="1">AB3-AB2</f>
        <v>0</v>
      </c>
      <c r="AC4" s="6">
        <f t="shared" si="0"/>
        <v>0</v>
      </c>
      <c r="AD4" s="6">
        <f t="shared" si="0"/>
        <v>0</v>
      </c>
      <c r="AE4" s="6">
        <f t="shared" si="0"/>
        <v>0</v>
      </c>
      <c r="AF4" s="6">
        <f t="shared" si="0"/>
        <v>0</v>
      </c>
    </row>
    <row r="5" spans="1:42" s="5" customFormat="1" ht="49.5" customHeight="1" x14ac:dyDescent="0.25">
      <c r="A5" s="4" t="s">
        <v>4618</v>
      </c>
      <c r="B5" s="4" t="s">
        <v>4619</v>
      </c>
      <c r="C5" s="4" t="s">
        <v>1284</v>
      </c>
      <c r="D5" s="4" t="s">
        <v>4616</v>
      </c>
      <c r="E5" s="4" t="s">
        <v>1285</v>
      </c>
      <c r="F5" s="4" t="s">
        <v>4631</v>
      </c>
      <c r="G5" s="4" t="s">
        <v>4636</v>
      </c>
      <c r="H5" s="4" t="s">
        <v>4617</v>
      </c>
      <c r="I5" s="4" t="s">
        <v>4621</v>
      </c>
      <c r="J5" s="4" t="s">
        <v>4594</v>
      </c>
      <c r="K5" s="4" t="s">
        <v>4595</v>
      </c>
      <c r="L5" s="4" t="s">
        <v>0</v>
      </c>
      <c r="M5" s="4" t="s">
        <v>1</v>
      </c>
      <c r="N5" s="4" t="s">
        <v>1283</v>
      </c>
      <c r="O5" s="4" t="s">
        <v>4596</v>
      </c>
      <c r="P5" s="4" t="s">
        <v>2791</v>
      </c>
      <c r="Q5" s="7" t="s">
        <v>4597</v>
      </c>
      <c r="R5" s="7" t="s">
        <v>4598</v>
      </c>
      <c r="S5" s="7" t="s">
        <v>4599</v>
      </c>
      <c r="T5" s="7" t="s">
        <v>4600</v>
      </c>
      <c r="U5" s="7" t="s">
        <v>4601</v>
      </c>
      <c r="V5" s="7" t="s">
        <v>4602</v>
      </c>
      <c r="W5" s="7" t="s">
        <v>4603</v>
      </c>
      <c r="X5" s="7" t="s">
        <v>4604</v>
      </c>
      <c r="Y5" s="7" t="s">
        <v>4605</v>
      </c>
      <c r="Z5" s="7" t="s">
        <v>4606</v>
      </c>
      <c r="AA5" s="7" t="s">
        <v>4607</v>
      </c>
      <c r="AB5" s="7" t="s">
        <v>4635</v>
      </c>
      <c r="AC5" s="7" t="s">
        <v>4608</v>
      </c>
      <c r="AD5" s="7" t="s">
        <v>4609</v>
      </c>
      <c r="AE5" s="7" t="s">
        <v>4610</v>
      </c>
      <c r="AF5" s="7" t="s">
        <v>4611</v>
      </c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s="1" customFormat="1" ht="20.25" customHeight="1" x14ac:dyDescent="0.25">
      <c r="A6" s="2"/>
      <c r="B6" s="2"/>
      <c r="C6" s="2"/>
      <c r="D6" s="2">
        <f>COUNTIF(contact[[#This Row],[Bagossy]:[Szo
03:00 - 10:00]],"=~?")</f>
        <v>0</v>
      </c>
      <c r="E6" s="2">
        <f>COUNTIF(contact[[#This Row],[Bagossy]:[Szo
03:00 - 10:00]],"=x")</f>
        <v>0</v>
      </c>
      <c r="F6" s="2">
        <f>SUM(contact[[#This Row],[?]:[x]])</f>
        <v>0</v>
      </c>
      <c r="G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" s="3" t="s">
        <v>2</v>
      </c>
      <c r="K6" s="1" t="s">
        <v>2</v>
      </c>
      <c r="L6" s="1" t="s">
        <v>2</v>
      </c>
      <c r="M6" s="1" t="s">
        <v>2</v>
      </c>
      <c r="O6" s="2"/>
      <c r="P6" s="2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42" s="1" customFormat="1" ht="20.25" customHeight="1" x14ac:dyDescent="0.25">
      <c r="A7" s="2"/>
      <c r="B7" s="2"/>
      <c r="C7" s="2"/>
      <c r="D7" s="2">
        <f>COUNTIF(contact[[#This Row],[Bagossy]:[Szo
03:00 - 10:00]],"=~?")</f>
        <v>0</v>
      </c>
      <c r="E7" s="2">
        <f>COUNTIF(contact[[#This Row],[Bagossy]:[Szo
03:00 - 10:00]],"=x")</f>
        <v>0</v>
      </c>
      <c r="F7" s="2">
        <f>SUM(contact[[#This Row],[?]:[x]])</f>
        <v>0</v>
      </c>
      <c r="G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" s="3" t="s">
        <v>2</v>
      </c>
      <c r="K7" s="1" t="s">
        <v>3</v>
      </c>
      <c r="L7" s="1" t="s">
        <v>2</v>
      </c>
      <c r="M7" s="1" t="s">
        <v>2</v>
      </c>
      <c r="O7" s="2"/>
      <c r="P7" s="2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42" s="1" customFormat="1" ht="20.25" customHeight="1" x14ac:dyDescent="0.25">
      <c r="A8" s="2"/>
      <c r="B8" s="2"/>
      <c r="C8" s="2"/>
      <c r="D8" s="2">
        <f>COUNTIF(contact[[#This Row],[Bagossy]:[Szo
03:00 - 10:00]],"=~?")</f>
        <v>0</v>
      </c>
      <c r="E8" s="2">
        <f>COUNTIF(contact[[#This Row],[Bagossy]:[Szo
03:00 - 10:00]],"=x")</f>
        <v>0</v>
      </c>
      <c r="F8" s="2">
        <f>SUM(contact[[#This Row],[?]:[x]])</f>
        <v>0</v>
      </c>
      <c r="G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" s="3" t="s">
        <v>2</v>
      </c>
      <c r="K8" s="1" t="s">
        <v>2</v>
      </c>
      <c r="L8" s="1" t="s">
        <v>2</v>
      </c>
      <c r="M8" s="1" t="s">
        <v>2</v>
      </c>
      <c r="O8" s="2"/>
      <c r="P8" s="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42" s="1" customFormat="1" ht="20.25" customHeight="1" x14ac:dyDescent="0.25">
      <c r="A9" s="2"/>
      <c r="B9" s="2"/>
      <c r="C9" s="2"/>
      <c r="D9" s="2">
        <f>COUNTIF(contact[[#This Row],[Bagossy]:[Szo
03:00 - 10:00]],"=~?")</f>
        <v>0</v>
      </c>
      <c r="E9" s="2">
        <f>COUNTIF(contact[[#This Row],[Bagossy]:[Szo
03:00 - 10:00]],"=x")</f>
        <v>0</v>
      </c>
      <c r="F9" s="2">
        <f>SUM(contact[[#This Row],[?]:[x]])</f>
        <v>0</v>
      </c>
      <c r="G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" s="3" t="s">
        <v>2</v>
      </c>
      <c r="K9" s="1" t="s">
        <v>4</v>
      </c>
      <c r="L9" s="1" t="s">
        <v>2</v>
      </c>
      <c r="M9" s="1" t="s">
        <v>2</v>
      </c>
      <c r="O9" s="2"/>
      <c r="P9" s="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42" s="1" customFormat="1" ht="20.25" customHeight="1" x14ac:dyDescent="0.25">
      <c r="A10" s="2"/>
      <c r="B10" s="2"/>
      <c r="C10" s="2"/>
      <c r="D10" s="2">
        <f>COUNTIF(contact[[#This Row],[Bagossy]:[Szo
03:00 - 10:00]],"=~?")</f>
        <v>0</v>
      </c>
      <c r="E10" s="2">
        <f>COUNTIF(contact[[#This Row],[Bagossy]:[Szo
03:00 - 10:00]],"=x")</f>
        <v>0</v>
      </c>
      <c r="F10" s="2">
        <f>SUM(contact[[#This Row],[?]:[x]])</f>
        <v>0</v>
      </c>
      <c r="G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" s="3" t="s">
        <v>2</v>
      </c>
      <c r="K10" s="1" t="s">
        <v>5</v>
      </c>
      <c r="L10" s="1" t="s">
        <v>2</v>
      </c>
      <c r="M10" s="1" t="s">
        <v>2</v>
      </c>
      <c r="O10" s="2"/>
      <c r="P10" s="2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42" s="1" customFormat="1" ht="20.25" customHeight="1" x14ac:dyDescent="0.25">
      <c r="A11" s="2"/>
      <c r="B11" s="2"/>
      <c r="C11" s="2"/>
      <c r="D11" s="2">
        <f>COUNTIF(contact[[#This Row],[Bagossy]:[Szo
03:00 - 10:00]],"=~?")</f>
        <v>0</v>
      </c>
      <c r="E11" s="2">
        <f>COUNTIF(contact[[#This Row],[Bagossy]:[Szo
03:00 - 10:00]],"=x")</f>
        <v>0</v>
      </c>
      <c r="F11" s="2">
        <f>SUM(contact[[#This Row],[?]:[x]])</f>
        <v>0</v>
      </c>
      <c r="G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" s="3" t="s">
        <v>2</v>
      </c>
      <c r="K11" s="1" t="s">
        <v>2</v>
      </c>
      <c r="L11" s="1" t="s">
        <v>2</v>
      </c>
      <c r="M11" s="1" t="s">
        <v>2</v>
      </c>
      <c r="O11" s="2"/>
      <c r="P11" s="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42" s="1" customFormat="1" ht="20.25" customHeight="1" x14ac:dyDescent="0.25">
      <c r="A12" s="2"/>
      <c r="B12" s="2"/>
      <c r="C12" s="2"/>
      <c r="D12" s="2">
        <f>COUNTIF(contact[[#This Row],[Bagossy]:[Szo
03:00 - 10:00]],"=~?")</f>
        <v>0</v>
      </c>
      <c r="E12" s="2">
        <f>COUNTIF(contact[[#This Row],[Bagossy]:[Szo
03:00 - 10:00]],"=x")</f>
        <v>0</v>
      </c>
      <c r="F12" s="2">
        <f>SUM(contact[[#This Row],[?]:[x]])</f>
        <v>0</v>
      </c>
      <c r="G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" s="3" t="s">
        <v>2</v>
      </c>
      <c r="K12" s="1" t="s">
        <v>2</v>
      </c>
      <c r="L12" s="1" t="s">
        <v>2</v>
      </c>
      <c r="M12" s="1" t="s">
        <v>2</v>
      </c>
      <c r="O12" s="2"/>
      <c r="P12" s="2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42" s="1" customFormat="1" ht="20.25" customHeight="1" x14ac:dyDescent="0.25">
      <c r="A13" s="2"/>
      <c r="B13" s="2"/>
      <c r="C13" s="2"/>
      <c r="D13" s="2">
        <f>COUNTIF(contact[[#This Row],[Bagossy]:[Szo
03:00 - 10:00]],"=~?")</f>
        <v>0</v>
      </c>
      <c r="E13" s="2">
        <f>COUNTIF(contact[[#This Row],[Bagossy]:[Szo
03:00 - 10:00]],"=x")</f>
        <v>0</v>
      </c>
      <c r="F13" s="2">
        <f>SUM(contact[[#This Row],[?]:[x]])</f>
        <v>0</v>
      </c>
      <c r="G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" s="3" t="s">
        <v>2</v>
      </c>
      <c r="K13" s="1" t="s">
        <v>2</v>
      </c>
      <c r="L13" s="1" t="s">
        <v>2</v>
      </c>
      <c r="M13" s="1" t="s">
        <v>2</v>
      </c>
      <c r="O13" s="2"/>
      <c r="P13" s="2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42" s="1" customFormat="1" ht="20.25" customHeight="1" x14ac:dyDescent="0.25">
      <c r="A14" s="2"/>
      <c r="B14" s="2"/>
      <c r="C14" s="2"/>
      <c r="D14" s="2">
        <f>COUNTIF(contact[[#This Row],[Bagossy]:[Szo
03:00 - 10:00]],"=~?")</f>
        <v>0</v>
      </c>
      <c r="E14" s="2">
        <f>COUNTIF(contact[[#This Row],[Bagossy]:[Szo
03:00 - 10:00]],"=x")</f>
        <v>0</v>
      </c>
      <c r="F14" s="2">
        <f>SUM(contact[[#This Row],[?]:[x]])</f>
        <v>0</v>
      </c>
      <c r="G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" s="3" t="s">
        <v>2</v>
      </c>
      <c r="K14" s="1" t="s">
        <v>2</v>
      </c>
      <c r="L14" s="1" t="s">
        <v>2</v>
      </c>
      <c r="M14" s="1" t="s">
        <v>2</v>
      </c>
      <c r="O14" s="2"/>
      <c r="P14" s="2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42" s="1" customFormat="1" ht="20.25" customHeight="1" x14ac:dyDescent="0.25">
      <c r="A15" s="2"/>
      <c r="B15" s="2"/>
      <c r="C15" s="2"/>
      <c r="D15" s="2">
        <f>COUNTIF(contact[[#This Row],[Bagossy]:[Szo
03:00 - 10:00]],"=~?")</f>
        <v>0</v>
      </c>
      <c r="E15" s="2">
        <f>COUNTIF(contact[[#This Row],[Bagossy]:[Szo
03:00 - 10:00]],"=x")</f>
        <v>0</v>
      </c>
      <c r="F15" s="2">
        <f>SUM(contact[[#This Row],[?]:[x]])</f>
        <v>0</v>
      </c>
      <c r="G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" s="3" t="s">
        <v>2</v>
      </c>
      <c r="K15" s="1" t="s">
        <v>2</v>
      </c>
      <c r="L15" s="1" t="s">
        <v>2</v>
      </c>
      <c r="M15" s="1" t="s">
        <v>2</v>
      </c>
      <c r="O15" s="2"/>
      <c r="P15" s="2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42" s="1" customFormat="1" ht="20.25" customHeight="1" x14ac:dyDescent="0.25">
      <c r="A16" s="2"/>
      <c r="B16" s="2"/>
      <c r="C16" s="2"/>
      <c r="D16" s="2">
        <f>COUNTIF(contact[[#This Row],[Bagossy]:[Szo
03:00 - 10:00]],"=~?")</f>
        <v>0</v>
      </c>
      <c r="E16" s="2">
        <f>COUNTIF(contact[[#This Row],[Bagossy]:[Szo
03:00 - 10:00]],"=x")</f>
        <v>0</v>
      </c>
      <c r="F16" s="2">
        <f>SUM(contact[[#This Row],[?]:[x]])</f>
        <v>0</v>
      </c>
      <c r="G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" s="3" t="s">
        <v>2</v>
      </c>
      <c r="K16" s="1" t="s">
        <v>2</v>
      </c>
      <c r="L16" s="1" t="s">
        <v>2</v>
      </c>
      <c r="M16" s="1" t="s">
        <v>2</v>
      </c>
      <c r="O16" s="2"/>
      <c r="P16" s="2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s="1" customFormat="1" ht="20.25" customHeight="1" x14ac:dyDescent="0.25">
      <c r="A17" s="2"/>
      <c r="B17" s="2"/>
      <c r="C17" s="2"/>
      <c r="D17" s="2">
        <f>COUNTIF(contact[[#This Row],[Bagossy]:[Szo
03:00 - 10:00]],"=~?")</f>
        <v>0</v>
      </c>
      <c r="E17" s="2">
        <f>COUNTIF(contact[[#This Row],[Bagossy]:[Szo
03:00 - 10:00]],"=x")</f>
        <v>0</v>
      </c>
      <c r="F17" s="2">
        <f>SUM(contact[[#This Row],[?]:[x]])</f>
        <v>0</v>
      </c>
      <c r="G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" s="3" t="s">
        <v>2</v>
      </c>
      <c r="K17" s="1" t="s">
        <v>2</v>
      </c>
      <c r="L17" s="1" t="s">
        <v>2</v>
      </c>
      <c r="M17" s="1" t="s">
        <v>2</v>
      </c>
      <c r="O17" s="2"/>
      <c r="P17" s="2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s="1" customFormat="1" ht="20.25" customHeight="1" x14ac:dyDescent="0.25">
      <c r="A18" s="2"/>
      <c r="B18" s="2"/>
      <c r="C18" s="2"/>
      <c r="D18" s="2">
        <f>COUNTIF(contact[[#This Row],[Bagossy]:[Szo
03:00 - 10:00]],"=~?")</f>
        <v>0</v>
      </c>
      <c r="E18" s="2">
        <f>COUNTIF(contact[[#This Row],[Bagossy]:[Szo
03:00 - 10:00]],"=x")</f>
        <v>0</v>
      </c>
      <c r="F18" s="2">
        <f>SUM(contact[[#This Row],[?]:[x]])</f>
        <v>0</v>
      </c>
      <c r="G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" s="3" t="s">
        <v>2</v>
      </c>
      <c r="K18" s="1" t="s">
        <v>2</v>
      </c>
      <c r="L18" s="1" t="s">
        <v>2</v>
      </c>
      <c r="M18" s="1" t="s">
        <v>2</v>
      </c>
      <c r="O18" s="2"/>
      <c r="P18" s="2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s="1" customFormat="1" ht="20.25" customHeight="1" x14ac:dyDescent="0.25">
      <c r="A19" s="2"/>
      <c r="B19" s="2"/>
      <c r="C19" s="2"/>
      <c r="D19" s="2">
        <f>COUNTIF(contact[[#This Row],[Bagossy]:[Szo
03:00 - 10:00]],"=~?")</f>
        <v>0</v>
      </c>
      <c r="E19" s="2">
        <f>COUNTIF(contact[[#This Row],[Bagossy]:[Szo
03:00 - 10:00]],"=x")</f>
        <v>0</v>
      </c>
      <c r="F19" s="2">
        <f>SUM(contact[[#This Row],[?]:[x]])</f>
        <v>0</v>
      </c>
      <c r="G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" s="3" t="s">
        <v>2</v>
      </c>
      <c r="K19" s="1" t="s">
        <v>2</v>
      </c>
      <c r="L19" s="1" t="s">
        <v>2</v>
      </c>
      <c r="M19" s="1" t="s">
        <v>2</v>
      </c>
      <c r="O19" s="2"/>
      <c r="P19" s="2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s="1" customFormat="1" ht="20.25" customHeight="1" x14ac:dyDescent="0.25">
      <c r="A20" s="2"/>
      <c r="B20" s="2"/>
      <c r="C20" s="2"/>
      <c r="D20" s="2">
        <f>COUNTIF(contact[[#This Row],[Bagossy]:[Szo
03:00 - 10:00]],"=~?")</f>
        <v>0</v>
      </c>
      <c r="E20" s="2">
        <f>COUNTIF(contact[[#This Row],[Bagossy]:[Szo
03:00 - 10:00]],"=x")</f>
        <v>0</v>
      </c>
      <c r="F20" s="2">
        <f>SUM(contact[[#This Row],[?]:[x]])</f>
        <v>0</v>
      </c>
      <c r="G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" s="3" t="s">
        <v>2</v>
      </c>
      <c r="K20" s="1" t="s">
        <v>2</v>
      </c>
      <c r="L20" s="1" t="s">
        <v>2</v>
      </c>
      <c r="M20" s="1" t="s">
        <v>2</v>
      </c>
      <c r="O20" s="2"/>
      <c r="P20" s="2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s="1" customFormat="1" ht="20.25" customHeight="1" x14ac:dyDescent="0.25">
      <c r="A21" s="2"/>
      <c r="B21" s="2"/>
      <c r="C21" s="2"/>
      <c r="D21" s="2">
        <f>COUNTIF(contact[[#This Row],[Bagossy]:[Szo
03:00 - 10:00]],"=~?")</f>
        <v>0</v>
      </c>
      <c r="E21" s="2">
        <f>COUNTIF(contact[[#This Row],[Bagossy]:[Szo
03:00 - 10:00]],"=x")</f>
        <v>0</v>
      </c>
      <c r="F21" s="2">
        <f>SUM(contact[[#This Row],[?]:[x]])</f>
        <v>0</v>
      </c>
      <c r="G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" s="3" t="s">
        <v>2</v>
      </c>
      <c r="K21" s="1" t="s">
        <v>2</v>
      </c>
      <c r="L21" s="1" t="s">
        <v>2</v>
      </c>
      <c r="M21" s="1" t="s">
        <v>2</v>
      </c>
      <c r="O21" s="2"/>
      <c r="P21" s="2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s="1" customFormat="1" ht="20.25" customHeight="1" x14ac:dyDescent="0.25">
      <c r="A22" s="2"/>
      <c r="B22" s="2"/>
      <c r="C22" s="2"/>
      <c r="D22" s="2">
        <f>COUNTIF(contact[[#This Row],[Bagossy]:[Szo
03:00 - 10:00]],"=~?")</f>
        <v>0</v>
      </c>
      <c r="E22" s="2">
        <f>COUNTIF(contact[[#This Row],[Bagossy]:[Szo
03:00 - 10:00]],"=x")</f>
        <v>0</v>
      </c>
      <c r="F22" s="2">
        <f>SUM(contact[[#This Row],[?]:[x]])</f>
        <v>0</v>
      </c>
      <c r="G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" s="3" t="s">
        <v>2</v>
      </c>
      <c r="K22" s="1" t="s">
        <v>2</v>
      </c>
      <c r="L22" s="1" t="s">
        <v>2</v>
      </c>
      <c r="M22" s="1" t="s">
        <v>2</v>
      </c>
      <c r="O22" s="2"/>
      <c r="P22" s="2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s="1" customFormat="1" ht="20.25" customHeight="1" x14ac:dyDescent="0.25">
      <c r="A23" s="2"/>
      <c r="B23" s="2"/>
      <c r="C23" s="2"/>
      <c r="D23" s="2">
        <f>COUNTIF(contact[[#This Row],[Bagossy]:[Szo
03:00 - 10:00]],"=~?")</f>
        <v>0</v>
      </c>
      <c r="E23" s="2">
        <f>COUNTIF(contact[[#This Row],[Bagossy]:[Szo
03:00 - 10:00]],"=x")</f>
        <v>0</v>
      </c>
      <c r="F23" s="2">
        <f>SUM(contact[[#This Row],[?]:[x]])</f>
        <v>0</v>
      </c>
      <c r="G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" s="3" t="s">
        <v>2</v>
      </c>
      <c r="K23" s="1" t="s">
        <v>2</v>
      </c>
      <c r="L23" s="1" t="s">
        <v>2</v>
      </c>
      <c r="M23" s="1" t="s">
        <v>2</v>
      </c>
      <c r="O23" s="2"/>
      <c r="P23" s="2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s="1" customFormat="1" ht="20.25" customHeight="1" x14ac:dyDescent="0.25">
      <c r="A24" s="2"/>
      <c r="B24" s="2"/>
      <c r="C24" s="2"/>
      <c r="D24" s="2">
        <f>COUNTIF(contact[[#This Row],[Bagossy]:[Szo
03:00 - 10:00]],"=~?")</f>
        <v>0</v>
      </c>
      <c r="E24" s="2">
        <f>COUNTIF(contact[[#This Row],[Bagossy]:[Szo
03:00 - 10:00]],"=x")</f>
        <v>0</v>
      </c>
      <c r="F24" s="2">
        <f>SUM(contact[[#This Row],[?]:[x]])</f>
        <v>0</v>
      </c>
      <c r="G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" s="3" t="s">
        <v>2</v>
      </c>
      <c r="K24" s="1" t="s">
        <v>2</v>
      </c>
      <c r="L24" s="1" t="s">
        <v>2</v>
      </c>
      <c r="M24" s="1" t="s">
        <v>2</v>
      </c>
      <c r="O24" s="2"/>
      <c r="P24" s="2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s="1" customFormat="1" ht="20.25" customHeight="1" x14ac:dyDescent="0.25">
      <c r="A25" s="2"/>
      <c r="B25" s="2"/>
      <c r="C25" s="2"/>
      <c r="D25" s="2">
        <f>COUNTIF(contact[[#This Row],[Bagossy]:[Szo
03:00 - 10:00]],"=~?")</f>
        <v>0</v>
      </c>
      <c r="E25" s="2">
        <f>COUNTIF(contact[[#This Row],[Bagossy]:[Szo
03:00 - 10:00]],"=x")</f>
        <v>0</v>
      </c>
      <c r="F25" s="2">
        <f>SUM(contact[[#This Row],[?]:[x]])</f>
        <v>0</v>
      </c>
      <c r="G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" s="3" t="s">
        <v>2</v>
      </c>
      <c r="K25" s="1" t="s">
        <v>2</v>
      </c>
      <c r="L25" s="1" t="s">
        <v>2</v>
      </c>
      <c r="M25" s="1" t="s">
        <v>2</v>
      </c>
      <c r="O25" s="2"/>
      <c r="P25" s="2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s="1" customFormat="1" ht="20.25" customHeight="1" x14ac:dyDescent="0.25">
      <c r="A26" s="2"/>
      <c r="B26" s="2"/>
      <c r="C26" s="2"/>
      <c r="D26" s="2">
        <f>COUNTIF(contact[[#This Row],[Bagossy]:[Szo
03:00 - 10:00]],"=~?")</f>
        <v>0</v>
      </c>
      <c r="E26" s="2">
        <f>COUNTIF(contact[[#This Row],[Bagossy]:[Szo
03:00 - 10:00]],"=x")</f>
        <v>0</v>
      </c>
      <c r="F26" s="2">
        <f>SUM(contact[[#This Row],[?]:[x]])</f>
        <v>0</v>
      </c>
      <c r="G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" s="3" t="s">
        <v>2</v>
      </c>
      <c r="K26" s="1" t="s">
        <v>2</v>
      </c>
      <c r="L26" s="1" t="s">
        <v>2</v>
      </c>
      <c r="M26" s="1" t="s">
        <v>2</v>
      </c>
      <c r="O26" s="2"/>
      <c r="P26" s="2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s="1" customFormat="1" ht="20.25" customHeight="1" x14ac:dyDescent="0.25">
      <c r="A27" s="2"/>
      <c r="B27" s="2"/>
      <c r="C27" s="2"/>
      <c r="D27" s="2">
        <f>COUNTIF(contact[[#This Row],[Bagossy]:[Szo
03:00 - 10:00]],"=~?")</f>
        <v>0</v>
      </c>
      <c r="E27" s="2">
        <f>COUNTIF(contact[[#This Row],[Bagossy]:[Szo
03:00 - 10:00]],"=x")</f>
        <v>0</v>
      </c>
      <c r="F27" s="2">
        <f>SUM(contact[[#This Row],[?]:[x]])</f>
        <v>0</v>
      </c>
      <c r="G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" s="3" t="s">
        <v>2</v>
      </c>
      <c r="K27" s="1" t="s">
        <v>2</v>
      </c>
      <c r="L27" s="1" t="s">
        <v>2</v>
      </c>
      <c r="M27" s="1" t="s">
        <v>2</v>
      </c>
      <c r="O27" s="2"/>
      <c r="P27" s="2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s="1" customFormat="1" ht="20.25" customHeight="1" x14ac:dyDescent="0.25">
      <c r="A28" s="2"/>
      <c r="B28" s="2"/>
      <c r="C28" s="2"/>
      <c r="D28" s="2">
        <f>COUNTIF(contact[[#This Row],[Bagossy]:[Szo
03:00 - 10:00]],"=~?")</f>
        <v>0</v>
      </c>
      <c r="E28" s="2">
        <f>COUNTIF(contact[[#This Row],[Bagossy]:[Szo
03:00 - 10:00]],"=x")</f>
        <v>0</v>
      </c>
      <c r="F28" s="2">
        <f>SUM(contact[[#This Row],[?]:[x]])</f>
        <v>0</v>
      </c>
      <c r="G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" s="3" t="s">
        <v>2</v>
      </c>
      <c r="K28" s="1" t="s">
        <v>2</v>
      </c>
      <c r="L28" s="1" t="s">
        <v>2</v>
      </c>
      <c r="M28" s="1" t="s">
        <v>2</v>
      </c>
      <c r="O28" s="2"/>
      <c r="P28" s="2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s="1" customFormat="1" ht="20.25" customHeight="1" x14ac:dyDescent="0.25">
      <c r="A29" s="2"/>
      <c r="B29" s="2"/>
      <c r="C29" s="2"/>
      <c r="D29" s="2">
        <f>COUNTIF(contact[[#This Row],[Bagossy]:[Szo
03:00 - 10:00]],"=~?")</f>
        <v>0</v>
      </c>
      <c r="E29" s="2">
        <f>COUNTIF(contact[[#This Row],[Bagossy]:[Szo
03:00 - 10:00]],"=x")</f>
        <v>0</v>
      </c>
      <c r="F29" s="2">
        <f>SUM(contact[[#This Row],[?]:[x]])</f>
        <v>0</v>
      </c>
      <c r="G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" s="3" t="s">
        <v>2</v>
      </c>
      <c r="K29" s="1" t="s">
        <v>2</v>
      </c>
      <c r="L29" s="1" t="s">
        <v>2</v>
      </c>
      <c r="M29" s="1" t="s">
        <v>2</v>
      </c>
      <c r="O29" s="2"/>
      <c r="P29" s="2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s="1" customFormat="1" ht="20.25" customHeight="1" x14ac:dyDescent="0.25">
      <c r="A30" s="2"/>
      <c r="B30" s="2"/>
      <c r="C30" s="2"/>
      <c r="D30" s="2">
        <f>COUNTIF(contact[[#This Row],[Bagossy]:[Szo
03:00 - 10:00]],"=~?")</f>
        <v>0</v>
      </c>
      <c r="E30" s="2">
        <f>COUNTIF(contact[[#This Row],[Bagossy]:[Szo
03:00 - 10:00]],"=x")</f>
        <v>0</v>
      </c>
      <c r="F30" s="2">
        <f>SUM(contact[[#This Row],[?]:[x]])</f>
        <v>0</v>
      </c>
      <c r="G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" s="3" t="s">
        <v>2</v>
      </c>
      <c r="K30" s="1" t="s">
        <v>2</v>
      </c>
      <c r="L30" s="1" t="s">
        <v>2</v>
      </c>
      <c r="M30" s="1" t="s">
        <v>2</v>
      </c>
      <c r="O30" s="2"/>
      <c r="P30" s="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s="1" customFormat="1" ht="20.25" customHeight="1" x14ac:dyDescent="0.25">
      <c r="A31" s="2"/>
      <c r="B31" s="2"/>
      <c r="C31" s="2"/>
      <c r="D31" s="2">
        <f>COUNTIF(contact[[#This Row],[Bagossy]:[Szo
03:00 - 10:00]],"=~?")</f>
        <v>0</v>
      </c>
      <c r="E31" s="2">
        <f>COUNTIF(contact[[#This Row],[Bagossy]:[Szo
03:00 - 10:00]],"=x")</f>
        <v>0</v>
      </c>
      <c r="F31" s="2">
        <f>SUM(contact[[#This Row],[?]:[x]])</f>
        <v>0</v>
      </c>
      <c r="G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" s="3" t="s">
        <v>2</v>
      </c>
      <c r="K31" s="1" t="s">
        <v>2</v>
      </c>
      <c r="L31" s="1" t="s">
        <v>2</v>
      </c>
      <c r="M31" s="1" t="s">
        <v>2</v>
      </c>
      <c r="O31" s="2"/>
      <c r="P31" s="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s="1" customFormat="1" ht="20.25" customHeight="1" x14ac:dyDescent="0.25">
      <c r="A32" s="2"/>
      <c r="B32" s="2"/>
      <c r="C32" s="2"/>
      <c r="D32" s="2">
        <f>COUNTIF(contact[[#This Row],[Bagossy]:[Szo
03:00 - 10:00]],"=~?")</f>
        <v>0</v>
      </c>
      <c r="E32" s="2">
        <f>COUNTIF(contact[[#This Row],[Bagossy]:[Szo
03:00 - 10:00]],"=x")</f>
        <v>0</v>
      </c>
      <c r="F32" s="2">
        <f>SUM(contact[[#This Row],[?]:[x]])</f>
        <v>0</v>
      </c>
      <c r="G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" s="3" t="s">
        <v>2</v>
      </c>
      <c r="K32" s="1" t="s">
        <v>2</v>
      </c>
      <c r="L32" s="1" t="s">
        <v>2</v>
      </c>
      <c r="M32" s="1" t="s">
        <v>2</v>
      </c>
      <c r="O32" s="2"/>
      <c r="P32" s="2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s="1" customFormat="1" ht="20.25" customHeight="1" x14ac:dyDescent="0.25">
      <c r="A33" s="2"/>
      <c r="B33" s="2"/>
      <c r="C33" s="2"/>
      <c r="D33" s="2">
        <f>COUNTIF(contact[[#This Row],[Bagossy]:[Szo
03:00 - 10:00]],"=~?")</f>
        <v>0</v>
      </c>
      <c r="E33" s="2">
        <f>COUNTIF(contact[[#This Row],[Bagossy]:[Szo
03:00 - 10:00]],"=x")</f>
        <v>0</v>
      </c>
      <c r="F33" s="2">
        <f>SUM(contact[[#This Row],[?]:[x]])</f>
        <v>0</v>
      </c>
      <c r="G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" s="3" t="s">
        <v>2</v>
      </c>
      <c r="K33" s="1" t="s">
        <v>2</v>
      </c>
      <c r="L33" s="1" t="s">
        <v>2</v>
      </c>
      <c r="M33" s="1" t="s">
        <v>2</v>
      </c>
      <c r="O33" s="2"/>
      <c r="P33" s="2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s="1" customFormat="1" ht="20.25" customHeight="1" x14ac:dyDescent="0.25">
      <c r="A34" s="2"/>
      <c r="B34" s="2"/>
      <c r="C34" s="2"/>
      <c r="D34" s="2">
        <f>COUNTIF(contact[[#This Row],[Bagossy]:[Szo
03:00 - 10:00]],"=~?")</f>
        <v>0</v>
      </c>
      <c r="E34" s="2">
        <f>COUNTIF(contact[[#This Row],[Bagossy]:[Szo
03:00 - 10:00]],"=x")</f>
        <v>0</v>
      </c>
      <c r="F34" s="2">
        <f>SUM(contact[[#This Row],[?]:[x]])</f>
        <v>0</v>
      </c>
      <c r="G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4" s="3" t="s">
        <v>2</v>
      </c>
      <c r="K34" s="1" t="s">
        <v>2</v>
      </c>
      <c r="L34" s="1" t="s">
        <v>2</v>
      </c>
      <c r="M34" s="1" t="s">
        <v>2</v>
      </c>
      <c r="O34" s="2"/>
      <c r="P34" s="2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s="1" customFormat="1" ht="20.25" customHeight="1" x14ac:dyDescent="0.25">
      <c r="A35" s="2"/>
      <c r="B35" s="2"/>
      <c r="C35" s="2"/>
      <c r="D35" s="2">
        <f>COUNTIF(contact[[#This Row],[Bagossy]:[Szo
03:00 - 10:00]],"=~?")</f>
        <v>0</v>
      </c>
      <c r="E35" s="2">
        <f>COUNTIF(contact[[#This Row],[Bagossy]:[Szo
03:00 - 10:00]],"=x")</f>
        <v>0</v>
      </c>
      <c r="F35" s="2">
        <f>SUM(contact[[#This Row],[?]:[x]])</f>
        <v>0</v>
      </c>
      <c r="G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5" s="3" t="s">
        <v>2</v>
      </c>
      <c r="K35" s="1" t="s">
        <v>2</v>
      </c>
      <c r="L35" s="1" t="s">
        <v>2</v>
      </c>
      <c r="M35" s="1" t="s">
        <v>2</v>
      </c>
      <c r="O35" s="2"/>
      <c r="P35" s="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s="1" customFormat="1" ht="20.25" customHeight="1" x14ac:dyDescent="0.25">
      <c r="A36" s="2"/>
      <c r="B36" s="2"/>
      <c r="C36" s="2"/>
      <c r="D36" s="2">
        <f>COUNTIF(contact[[#This Row],[Bagossy]:[Szo
03:00 - 10:00]],"=~?")</f>
        <v>0</v>
      </c>
      <c r="E36" s="2">
        <f>COUNTIF(contact[[#This Row],[Bagossy]:[Szo
03:00 - 10:00]],"=x")</f>
        <v>0</v>
      </c>
      <c r="F36" s="2">
        <f>SUM(contact[[#This Row],[?]:[x]])</f>
        <v>0</v>
      </c>
      <c r="G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" s="3" t="s">
        <v>2</v>
      </c>
      <c r="K36" s="1" t="s">
        <v>2</v>
      </c>
      <c r="L36" s="1" t="s">
        <v>2</v>
      </c>
      <c r="M36" s="1" t="s">
        <v>2</v>
      </c>
      <c r="O36" s="2"/>
      <c r="P36" s="2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s="1" customFormat="1" ht="20.25" customHeight="1" x14ac:dyDescent="0.25">
      <c r="A37" s="2"/>
      <c r="B37" s="2"/>
      <c r="C37" s="2"/>
      <c r="D37" s="2">
        <f>COUNTIF(contact[[#This Row],[Bagossy]:[Szo
03:00 - 10:00]],"=~?")</f>
        <v>0</v>
      </c>
      <c r="E37" s="2">
        <f>COUNTIF(contact[[#This Row],[Bagossy]:[Szo
03:00 - 10:00]],"=x")</f>
        <v>0</v>
      </c>
      <c r="F37" s="2">
        <f>SUM(contact[[#This Row],[?]:[x]])</f>
        <v>0</v>
      </c>
      <c r="G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" s="3" t="s">
        <v>2</v>
      </c>
      <c r="K37" s="1" t="s">
        <v>2</v>
      </c>
      <c r="L37" s="1" t="s">
        <v>2</v>
      </c>
      <c r="M37" s="1" t="s">
        <v>2</v>
      </c>
      <c r="O37" s="2"/>
      <c r="P37" s="2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s="1" customFormat="1" ht="20.25" customHeight="1" x14ac:dyDescent="0.25">
      <c r="A38" s="2"/>
      <c r="B38" s="2"/>
      <c r="C38" s="2"/>
      <c r="D38" s="2">
        <f>COUNTIF(contact[[#This Row],[Bagossy]:[Szo
03:00 - 10:00]],"=~?")</f>
        <v>0</v>
      </c>
      <c r="E38" s="2">
        <f>COUNTIF(contact[[#This Row],[Bagossy]:[Szo
03:00 - 10:00]],"=x")</f>
        <v>0</v>
      </c>
      <c r="F38" s="2">
        <f>SUM(contact[[#This Row],[?]:[x]])</f>
        <v>0</v>
      </c>
      <c r="G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8" s="3" t="s">
        <v>2</v>
      </c>
      <c r="K38" s="1" t="s">
        <v>2</v>
      </c>
      <c r="L38" s="1" t="s">
        <v>2</v>
      </c>
      <c r="M38" s="1" t="s">
        <v>2</v>
      </c>
      <c r="O38" s="2"/>
      <c r="P38" s="2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s="1" customFormat="1" ht="20.25" customHeight="1" x14ac:dyDescent="0.25">
      <c r="A39" s="2"/>
      <c r="B39" s="2"/>
      <c r="C39" s="2"/>
      <c r="D39" s="2">
        <f>COUNTIF(contact[[#This Row],[Bagossy]:[Szo
03:00 - 10:00]],"=~?")</f>
        <v>0</v>
      </c>
      <c r="E39" s="2">
        <f>COUNTIF(contact[[#This Row],[Bagossy]:[Szo
03:00 - 10:00]],"=x")</f>
        <v>0</v>
      </c>
      <c r="F39" s="2">
        <f>SUM(contact[[#This Row],[?]:[x]])</f>
        <v>0</v>
      </c>
      <c r="G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" s="3" t="s">
        <v>2</v>
      </c>
      <c r="K39" s="1" t="s">
        <v>2</v>
      </c>
      <c r="L39" s="1" t="s">
        <v>2</v>
      </c>
      <c r="M39" s="1" t="s">
        <v>2</v>
      </c>
      <c r="O39" s="2"/>
      <c r="P39" s="2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s="1" customFormat="1" ht="20.25" customHeight="1" x14ac:dyDescent="0.25">
      <c r="A40" s="2"/>
      <c r="B40" s="2"/>
      <c r="C40" s="2"/>
      <c r="D40" s="2">
        <f>COUNTIF(contact[[#This Row],[Bagossy]:[Szo
03:00 - 10:00]],"=~?")</f>
        <v>0</v>
      </c>
      <c r="E40" s="2">
        <f>COUNTIF(contact[[#This Row],[Bagossy]:[Szo
03:00 - 10:00]],"=x")</f>
        <v>0</v>
      </c>
      <c r="F40" s="2">
        <f>SUM(contact[[#This Row],[?]:[x]])</f>
        <v>0</v>
      </c>
      <c r="G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" s="3" t="s">
        <v>2</v>
      </c>
      <c r="K40" s="1" t="s">
        <v>2</v>
      </c>
      <c r="L40" s="1" t="s">
        <v>2</v>
      </c>
      <c r="M40" s="1" t="s">
        <v>2</v>
      </c>
      <c r="O40" s="2"/>
      <c r="P40" s="2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s="1" customFormat="1" ht="20.25" customHeight="1" x14ac:dyDescent="0.25">
      <c r="A41" s="2"/>
      <c r="B41" s="2"/>
      <c r="C41" s="2"/>
      <c r="D41" s="2">
        <f>COUNTIF(contact[[#This Row],[Bagossy]:[Szo
03:00 - 10:00]],"=~?")</f>
        <v>0</v>
      </c>
      <c r="E41" s="2">
        <f>COUNTIF(contact[[#This Row],[Bagossy]:[Szo
03:00 - 10:00]],"=x")</f>
        <v>0</v>
      </c>
      <c r="F41" s="2">
        <f>SUM(contact[[#This Row],[?]:[x]])</f>
        <v>0</v>
      </c>
      <c r="G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" s="3" t="s">
        <v>2</v>
      </c>
      <c r="K41" s="1" t="s">
        <v>2</v>
      </c>
      <c r="L41" s="1" t="s">
        <v>2</v>
      </c>
      <c r="M41" s="1" t="s">
        <v>2</v>
      </c>
      <c r="O41" s="2"/>
      <c r="P41" s="2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s="1" customFormat="1" ht="20.25" customHeight="1" x14ac:dyDescent="0.25">
      <c r="A42" s="2"/>
      <c r="B42" s="2"/>
      <c r="C42" s="2"/>
      <c r="D42" s="2">
        <f>COUNTIF(contact[[#This Row],[Bagossy]:[Szo
03:00 - 10:00]],"=~?")</f>
        <v>0</v>
      </c>
      <c r="E42" s="2">
        <f>COUNTIF(contact[[#This Row],[Bagossy]:[Szo
03:00 - 10:00]],"=x")</f>
        <v>0</v>
      </c>
      <c r="F42" s="2">
        <f>SUM(contact[[#This Row],[?]:[x]])</f>
        <v>0</v>
      </c>
      <c r="G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" s="3" t="s">
        <v>2</v>
      </c>
      <c r="K42" s="1" t="s">
        <v>2</v>
      </c>
      <c r="L42" s="1" t="s">
        <v>2</v>
      </c>
      <c r="M42" s="1" t="s">
        <v>2</v>
      </c>
      <c r="O42" s="2"/>
      <c r="P42" s="2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s="1" customFormat="1" ht="20.25" customHeight="1" x14ac:dyDescent="0.25">
      <c r="A43" s="2"/>
      <c r="B43" s="2"/>
      <c r="C43" s="2"/>
      <c r="D43" s="2">
        <f>COUNTIF(contact[[#This Row],[Bagossy]:[Szo
03:00 - 10:00]],"=~?")</f>
        <v>0</v>
      </c>
      <c r="E43" s="2">
        <f>COUNTIF(contact[[#This Row],[Bagossy]:[Szo
03:00 - 10:00]],"=x")</f>
        <v>0</v>
      </c>
      <c r="F43" s="2">
        <f>SUM(contact[[#This Row],[?]:[x]])</f>
        <v>0</v>
      </c>
      <c r="G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" s="3" t="s">
        <v>2</v>
      </c>
      <c r="K43" s="1" t="s">
        <v>2</v>
      </c>
      <c r="L43" s="1" t="s">
        <v>2</v>
      </c>
      <c r="M43" s="1" t="s">
        <v>2</v>
      </c>
      <c r="O43" s="2"/>
      <c r="P43" s="2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s="1" customFormat="1" ht="20.25" customHeight="1" x14ac:dyDescent="0.25">
      <c r="A44" s="2"/>
      <c r="B44" s="2"/>
      <c r="C44" s="2"/>
      <c r="D44" s="2">
        <f>COUNTIF(contact[[#This Row],[Bagossy]:[Szo
03:00 - 10:00]],"=~?")</f>
        <v>0</v>
      </c>
      <c r="E44" s="2">
        <f>COUNTIF(contact[[#This Row],[Bagossy]:[Szo
03:00 - 10:00]],"=x")</f>
        <v>0</v>
      </c>
      <c r="F44" s="2">
        <f>SUM(contact[[#This Row],[?]:[x]])</f>
        <v>0</v>
      </c>
      <c r="G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" s="3" t="s">
        <v>2</v>
      </c>
      <c r="K44" s="1" t="s">
        <v>2</v>
      </c>
      <c r="L44" s="1" t="s">
        <v>2</v>
      </c>
      <c r="M44" s="1" t="s">
        <v>2</v>
      </c>
      <c r="O44" s="2"/>
      <c r="P44" s="2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s="1" customFormat="1" ht="20.25" customHeight="1" x14ac:dyDescent="0.25">
      <c r="A45" s="2"/>
      <c r="B45" s="2"/>
      <c r="C45" s="2"/>
      <c r="D45" s="2">
        <f>COUNTIF(contact[[#This Row],[Bagossy]:[Szo
03:00 - 10:00]],"=~?")</f>
        <v>0</v>
      </c>
      <c r="E45" s="2">
        <f>COUNTIF(contact[[#This Row],[Bagossy]:[Szo
03:00 - 10:00]],"=x")</f>
        <v>0</v>
      </c>
      <c r="F45" s="2">
        <f>SUM(contact[[#This Row],[?]:[x]])</f>
        <v>0</v>
      </c>
      <c r="G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5" s="3" t="s">
        <v>2</v>
      </c>
      <c r="K45" s="1" t="s">
        <v>2</v>
      </c>
      <c r="L45" s="1" t="s">
        <v>2</v>
      </c>
      <c r="M45" s="1" t="s">
        <v>2</v>
      </c>
      <c r="O45" s="2"/>
      <c r="P45" s="2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s="1" customFormat="1" ht="20.25" customHeight="1" x14ac:dyDescent="0.25">
      <c r="A46" s="2"/>
      <c r="B46" s="2"/>
      <c r="C46" s="2"/>
      <c r="D46" s="2">
        <f>COUNTIF(contact[[#This Row],[Bagossy]:[Szo
03:00 - 10:00]],"=~?")</f>
        <v>0</v>
      </c>
      <c r="E46" s="2">
        <f>COUNTIF(contact[[#This Row],[Bagossy]:[Szo
03:00 - 10:00]],"=x")</f>
        <v>0</v>
      </c>
      <c r="F46" s="2">
        <f>SUM(contact[[#This Row],[?]:[x]])</f>
        <v>0</v>
      </c>
      <c r="G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" s="3" t="s">
        <v>3685</v>
      </c>
      <c r="K46" s="1" t="s">
        <v>2</v>
      </c>
      <c r="L46" s="1" t="s">
        <v>2</v>
      </c>
      <c r="M46" s="1" t="s">
        <v>2</v>
      </c>
      <c r="O46" s="2"/>
      <c r="P46" s="2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s="1" customFormat="1" ht="20.25" customHeight="1" x14ac:dyDescent="0.25">
      <c r="A47" s="2"/>
      <c r="B47" s="2"/>
      <c r="C47" s="2"/>
      <c r="D47" s="2">
        <f>COUNTIF(contact[[#This Row],[Bagossy]:[Szo
03:00 - 10:00]],"=~?")</f>
        <v>0</v>
      </c>
      <c r="E47" s="2">
        <f>COUNTIF(contact[[#This Row],[Bagossy]:[Szo
03:00 - 10:00]],"=x")</f>
        <v>0</v>
      </c>
      <c r="F47" s="2">
        <f>SUM(contact[[#This Row],[?]:[x]])</f>
        <v>0</v>
      </c>
      <c r="G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" s="3" t="s">
        <v>2040</v>
      </c>
      <c r="K47" s="1" t="s">
        <v>2</v>
      </c>
      <c r="L47" s="1" t="s">
        <v>2</v>
      </c>
      <c r="M47" s="1" t="s">
        <v>2</v>
      </c>
      <c r="O47" s="2"/>
      <c r="P47" s="2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s="1" customFormat="1" ht="20.25" customHeight="1" x14ac:dyDescent="0.25">
      <c r="A48" s="2"/>
      <c r="B48" s="2"/>
      <c r="C48" s="2"/>
      <c r="D48" s="2">
        <f>COUNTIF(contact[[#This Row],[Bagossy]:[Szo
03:00 - 10:00]],"=~?")</f>
        <v>0</v>
      </c>
      <c r="E48" s="2">
        <f>COUNTIF(contact[[#This Row],[Bagossy]:[Szo
03:00 - 10:00]],"=x")</f>
        <v>0</v>
      </c>
      <c r="F48" s="2">
        <f>SUM(contact[[#This Row],[?]:[x]])</f>
        <v>0</v>
      </c>
      <c r="G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" s="3" t="s">
        <v>3793</v>
      </c>
      <c r="K48" s="1" t="s">
        <v>2</v>
      </c>
      <c r="L48" s="1" t="s">
        <v>2</v>
      </c>
      <c r="M48" s="1" t="s">
        <v>2</v>
      </c>
      <c r="O48" s="2"/>
      <c r="P48" s="2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s="1" customFormat="1" ht="20.25" customHeight="1" x14ac:dyDescent="0.25">
      <c r="A49" s="2"/>
      <c r="B49" s="2"/>
      <c r="C49" s="2"/>
      <c r="D49" s="2">
        <f>COUNTIF(contact[[#This Row],[Bagossy]:[Szo
03:00 - 10:00]],"=~?")</f>
        <v>0</v>
      </c>
      <c r="E49" s="2">
        <f>COUNTIF(contact[[#This Row],[Bagossy]:[Szo
03:00 - 10:00]],"=x")</f>
        <v>0</v>
      </c>
      <c r="F49" s="2">
        <f>SUM(contact[[#This Row],[?]:[x]])</f>
        <v>0</v>
      </c>
      <c r="G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9" s="2"/>
      <c r="I49" s="2"/>
      <c r="J49" s="3" t="s">
        <v>1901</v>
      </c>
      <c r="K49" s="1" t="s">
        <v>7</v>
      </c>
      <c r="L49" s="1" t="s">
        <v>2</v>
      </c>
      <c r="M49" s="1" t="s">
        <v>2</v>
      </c>
      <c r="O49" s="2"/>
      <c r="P49" s="2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s="1" customFormat="1" ht="20.25" customHeight="1" x14ac:dyDescent="0.25">
      <c r="A50" s="2"/>
      <c r="B50" s="2"/>
      <c r="C50" s="2"/>
      <c r="D50" s="2">
        <f>COUNTIF(contact[[#This Row],[Bagossy]:[Szo
03:00 - 10:00]],"=~?")</f>
        <v>0</v>
      </c>
      <c r="E50" s="2">
        <f>COUNTIF(contact[[#This Row],[Bagossy]:[Szo
03:00 - 10:00]],"=x")</f>
        <v>0</v>
      </c>
      <c r="F50" s="2">
        <f>SUM(contact[[#This Row],[?]:[x]])</f>
        <v>0</v>
      </c>
      <c r="G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" s="3" t="s">
        <v>4443</v>
      </c>
      <c r="K50" s="1" t="s">
        <v>1861</v>
      </c>
      <c r="L50" s="1" t="s">
        <v>2</v>
      </c>
      <c r="M50" s="1" t="s">
        <v>2</v>
      </c>
      <c r="O50" s="2"/>
      <c r="P50" s="2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s="1" customFormat="1" ht="20.25" customHeight="1" x14ac:dyDescent="0.25">
      <c r="A51" s="2"/>
      <c r="B51" s="2"/>
      <c r="C51" s="2"/>
      <c r="D51" s="2">
        <f>COUNTIF(contact[[#This Row],[Bagossy]:[Szo
03:00 - 10:00]],"=~?")</f>
        <v>0</v>
      </c>
      <c r="E51" s="2">
        <f>COUNTIF(contact[[#This Row],[Bagossy]:[Szo
03:00 - 10:00]],"=x")</f>
        <v>0</v>
      </c>
      <c r="F51" s="2">
        <f>SUM(contact[[#This Row],[?]:[x]])</f>
        <v>0</v>
      </c>
      <c r="G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" s="3" t="s">
        <v>2463</v>
      </c>
      <c r="K51" s="1" t="s">
        <v>2</v>
      </c>
      <c r="L51" s="1" t="s">
        <v>2</v>
      </c>
      <c r="M51" s="1" t="s">
        <v>2</v>
      </c>
      <c r="O51" s="2"/>
      <c r="P51" s="2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s="1" customFormat="1" ht="20.25" customHeight="1" x14ac:dyDescent="0.25">
      <c r="A52" s="2"/>
      <c r="B52" s="2"/>
      <c r="C52" s="2"/>
      <c r="D52" s="2">
        <f>COUNTIF(contact[[#This Row],[Bagossy]:[Szo
03:00 - 10:00]],"=~?")</f>
        <v>0</v>
      </c>
      <c r="E52" s="2">
        <f>COUNTIF(contact[[#This Row],[Bagossy]:[Szo
03:00 - 10:00]],"=x")</f>
        <v>0</v>
      </c>
      <c r="F52" s="2">
        <f>SUM(contact[[#This Row],[?]:[x]])</f>
        <v>0</v>
      </c>
      <c r="G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" s="3" t="s">
        <v>2082</v>
      </c>
      <c r="K52" s="1" t="s">
        <v>2</v>
      </c>
      <c r="L52" s="1" t="s">
        <v>108</v>
      </c>
      <c r="M52" s="1" t="s">
        <v>109</v>
      </c>
      <c r="O52" s="2"/>
      <c r="P52" s="2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s="1" customFormat="1" ht="20.25" customHeight="1" x14ac:dyDescent="0.25">
      <c r="A53" s="2"/>
      <c r="B53" s="2"/>
      <c r="C53" s="2"/>
      <c r="D53" s="2">
        <f>COUNTIF(contact[[#This Row],[Bagossy]:[Szo
03:00 - 10:00]],"=~?")</f>
        <v>0</v>
      </c>
      <c r="E53" s="2">
        <f>COUNTIF(contact[[#This Row],[Bagossy]:[Szo
03:00 - 10:00]],"=x")</f>
        <v>0</v>
      </c>
      <c r="F53" s="2">
        <f>SUM(contact[[#This Row],[?]:[x]])</f>
        <v>0</v>
      </c>
      <c r="G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3" s="3" t="s">
        <v>2165</v>
      </c>
      <c r="K53" s="1" t="s">
        <v>1293</v>
      </c>
      <c r="L53" s="1" t="s">
        <v>2</v>
      </c>
      <c r="M53" s="1" t="s">
        <v>2</v>
      </c>
      <c r="O53" s="2"/>
      <c r="P53" s="2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1" customFormat="1" ht="20.25" customHeight="1" x14ac:dyDescent="0.25">
      <c r="A54" s="2"/>
      <c r="B54" s="2"/>
      <c r="C54" s="2" t="s">
        <v>1285</v>
      </c>
      <c r="D54" s="2">
        <f>COUNTIF(contact[[#This Row],[Bagossy]:[Szo
03:00 - 10:00]],"=~?")</f>
        <v>0</v>
      </c>
      <c r="E54" s="2">
        <f>COUNTIF(contact[[#This Row],[Bagossy]:[Szo
03:00 - 10:00]],"=x")</f>
        <v>0</v>
      </c>
      <c r="F54" s="2">
        <f>SUM(contact[[#This Row],[?]:[x]])</f>
        <v>0</v>
      </c>
      <c r="G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4" s="2" t="s">
        <v>4616</v>
      </c>
      <c r="I54" s="2"/>
      <c r="J54" s="3" t="s">
        <v>1902</v>
      </c>
      <c r="K54" s="1" t="s">
        <v>6</v>
      </c>
      <c r="L54" s="1" t="s">
        <v>2</v>
      </c>
      <c r="M54" s="1" t="s">
        <v>2</v>
      </c>
      <c r="O54" s="2"/>
      <c r="P54" s="2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1" customFormat="1" ht="20.25" customHeight="1" x14ac:dyDescent="0.25">
      <c r="A55" s="2"/>
      <c r="B55" s="2"/>
      <c r="C55" s="2"/>
      <c r="D55" s="2">
        <f>COUNTIF(contact[[#This Row],[Bagossy]:[Szo
03:00 - 10:00]],"=~?")</f>
        <v>0</v>
      </c>
      <c r="E55" s="2">
        <f>COUNTIF(contact[[#This Row],[Bagossy]:[Szo
03:00 - 10:00]],"=x")</f>
        <v>0</v>
      </c>
      <c r="F55" s="2">
        <f>SUM(contact[[#This Row],[?]:[x]])</f>
        <v>0</v>
      </c>
      <c r="G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5" s="3" t="s">
        <v>2955</v>
      </c>
      <c r="K55" s="1" t="s">
        <v>1527</v>
      </c>
      <c r="L55" s="1" t="s">
        <v>2</v>
      </c>
      <c r="M55" s="1" t="s">
        <v>2</v>
      </c>
      <c r="O55" s="2"/>
      <c r="P55" s="2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1" customFormat="1" ht="20.25" customHeight="1" x14ac:dyDescent="0.25">
      <c r="A56" s="2"/>
      <c r="B56" s="2"/>
      <c r="C56" s="2"/>
      <c r="D56" s="2">
        <f>COUNTIF(contact[[#This Row],[Bagossy]:[Szo
03:00 - 10:00]],"=~?")</f>
        <v>0</v>
      </c>
      <c r="E56" s="2">
        <f>COUNTIF(contact[[#This Row],[Bagossy]:[Szo
03:00 - 10:00]],"=x")</f>
        <v>0</v>
      </c>
      <c r="F56" s="2">
        <f>SUM(contact[[#This Row],[?]:[x]])</f>
        <v>0</v>
      </c>
      <c r="G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6" s="2"/>
      <c r="I56" s="2"/>
      <c r="J56" s="3" t="s">
        <v>1909</v>
      </c>
      <c r="K56" s="1" t="s">
        <v>629</v>
      </c>
      <c r="L56" s="1" t="s">
        <v>2</v>
      </c>
      <c r="M56" s="1" t="s">
        <v>2</v>
      </c>
      <c r="O56" s="2"/>
      <c r="P56" s="2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s="1" customFormat="1" ht="20.25" customHeight="1" x14ac:dyDescent="0.25">
      <c r="A57" s="2"/>
      <c r="B57" s="2"/>
      <c r="C57" s="2"/>
      <c r="D57" s="2">
        <f>COUNTIF(contact[[#This Row],[Bagossy]:[Szo
03:00 - 10:00]],"=~?")</f>
        <v>0</v>
      </c>
      <c r="E57" s="2">
        <f>COUNTIF(contact[[#This Row],[Bagossy]:[Szo
03:00 - 10:00]],"=x")</f>
        <v>0</v>
      </c>
      <c r="F57" s="2">
        <f>SUM(contact[[#This Row],[?]:[x]])</f>
        <v>0</v>
      </c>
      <c r="G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" s="3" t="s">
        <v>3740</v>
      </c>
      <c r="K57" s="1" t="s">
        <v>922</v>
      </c>
      <c r="L57" s="1" t="s">
        <v>2</v>
      </c>
      <c r="M57" s="1" t="s">
        <v>2</v>
      </c>
      <c r="O57" s="2"/>
      <c r="P57" s="2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s="1" customFormat="1" ht="20.25" customHeight="1" x14ac:dyDescent="0.25">
      <c r="A58" s="2"/>
      <c r="B58" s="2"/>
      <c r="C58" s="2"/>
      <c r="D58" s="2">
        <f>COUNTIF(contact[[#This Row],[Bagossy]:[Szo
03:00 - 10:00]],"=~?")</f>
        <v>0</v>
      </c>
      <c r="E58" s="2">
        <f>COUNTIF(contact[[#This Row],[Bagossy]:[Szo
03:00 - 10:00]],"=x")</f>
        <v>0</v>
      </c>
      <c r="F58" s="2">
        <f>SUM(contact[[#This Row],[?]:[x]])</f>
        <v>0</v>
      </c>
      <c r="G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8" s="3" t="s">
        <v>4491</v>
      </c>
      <c r="K58" s="1" t="s">
        <v>1879</v>
      </c>
      <c r="L58" s="1" t="s">
        <v>2</v>
      </c>
      <c r="M58" s="1" t="s">
        <v>2</v>
      </c>
      <c r="O58" s="2"/>
      <c r="P58" s="2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s="1" customFormat="1" ht="20.25" customHeight="1" x14ac:dyDescent="0.25">
      <c r="A59" s="2"/>
      <c r="B59" s="2"/>
      <c r="C59" s="2"/>
      <c r="D59" s="2">
        <f>COUNTIF(contact[[#This Row],[Bagossy]:[Szo
03:00 - 10:00]],"=~?")</f>
        <v>0</v>
      </c>
      <c r="E59" s="2">
        <f>COUNTIF(contact[[#This Row],[Bagossy]:[Szo
03:00 - 10:00]],"=x")</f>
        <v>0</v>
      </c>
      <c r="F59" s="2">
        <f>SUM(contact[[#This Row],[?]:[x]])</f>
        <v>0</v>
      </c>
      <c r="G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" s="3" t="s">
        <v>2363</v>
      </c>
      <c r="K59" s="1" t="s">
        <v>2</v>
      </c>
      <c r="L59" s="1" t="s">
        <v>2</v>
      </c>
      <c r="M59" s="1" t="s">
        <v>2</v>
      </c>
      <c r="O59" s="2"/>
      <c r="P59" s="2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s="1" customFormat="1" ht="20.25" customHeight="1" x14ac:dyDescent="0.25">
      <c r="A60" s="2"/>
      <c r="B60" s="2"/>
      <c r="C60" s="2"/>
      <c r="D60" s="2">
        <f>COUNTIF(contact[[#This Row],[Bagossy]:[Szo
03:00 - 10:00]],"=~?")</f>
        <v>0</v>
      </c>
      <c r="E60" s="2">
        <f>COUNTIF(contact[[#This Row],[Bagossy]:[Szo
03:00 - 10:00]],"=x")</f>
        <v>0</v>
      </c>
      <c r="F60" s="2">
        <f>SUM(contact[[#This Row],[?]:[x]])</f>
        <v>0</v>
      </c>
      <c r="G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" s="3" t="s">
        <v>32</v>
      </c>
      <c r="K60" s="1" t="s">
        <v>33</v>
      </c>
      <c r="L60" s="1" t="s">
        <v>2</v>
      </c>
      <c r="M60" s="1" t="s">
        <v>2</v>
      </c>
      <c r="O60" s="2"/>
      <c r="P60" s="2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 s="1" customFormat="1" ht="20.25" customHeight="1" x14ac:dyDescent="0.25">
      <c r="A61" s="2"/>
      <c r="B61" s="2"/>
      <c r="C61" s="2"/>
      <c r="D61" s="2">
        <f>COUNTIF(contact[[#This Row],[Bagossy]:[Szo
03:00 - 10:00]],"=~?")</f>
        <v>0</v>
      </c>
      <c r="E61" s="2">
        <f>COUNTIF(contact[[#This Row],[Bagossy]:[Szo
03:00 - 10:00]],"=x")</f>
        <v>0</v>
      </c>
      <c r="F61" s="2">
        <f>SUM(contact[[#This Row],[?]:[x]])</f>
        <v>0</v>
      </c>
      <c r="G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" s="3" t="s">
        <v>4119</v>
      </c>
      <c r="K61" s="1" t="s">
        <v>2</v>
      </c>
      <c r="L61" s="1" t="s">
        <v>2</v>
      </c>
      <c r="M61" s="1" t="s">
        <v>2</v>
      </c>
      <c r="O61" s="2"/>
      <c r="P61" s="2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 s="1" customFormat="1" ht="20.25" customHeight="1" x14ac:dyDescent="0.25">
      <c r="A62" s="2"/>
      <c r="B62" s="2"/>
      <c r="C62" s="2"/>
      <c r="D62" s="2">
        <f>COUNTIF(contact[[#This Row],[Bagossy]:[Szo
03:00 - 10:00]],"=~?")</f>
        <v>0</v>
      </c>
      <c r="E62" s="2">
        <f>COUNTIF(contact[[#This Row],[Bagossy]:[Szo
03:00 - 10:00]],"=x")</f>
        <v>0</v>
      </c>
      <c r="F62" s="2">
        <f>SUM(contact[[#This Row],[?]:[x]])</f>
        <v>0</v>
      </c>
      <c r="G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" s="3" t="s">
        <v>3335</v>
      </c>
      <c r="K62" s="1" t="s">
        <v>2</v>
      </c>
      <c r="L62" s="1" t="s">
        <v>2</v>
      </c>
      <c r="M62" s="1" t="s">
        <v>2</v>
      </c>
      <c r="O62" s="2"/>
      <c r="P62" s="2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 s="1" customFormat="1" ht="20.25" customHeight="1" x14ac:dyDescent="0.25">
      <c r="A63" s="2"/>
      <c r="B63" s="2"/>
      <c r="C63" s="2"/>
      <c r="D63" s="2">
        <f>COUNTIF(contact[[#This Row],[Bagossy]:[Szo
03:00 - 10:00]],"=~?")</f>
        <v>0</v>
      </c>
      <c r="E63" s="2">
        <f>COUNTIF(contact[[#This Row],[Bagossy]:[Szo
03:00 - 10:00]],"=x")</f>
        <v>0</v>
      </c>
      <c r="F63" s="2">
        <f>SUM(contact[[#This Row],[?]:[x]])</f>
        <v>0</v>
      </c>
      <c r="G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3" s="3" t="s">
        <v>4153</v>
      </c>
      <c r="K63" s="1" t="s">
        <v>2</v>
      </c>
      <c r="L63" s="1" t="s">
        <v>2</v>
      </c>
      <c r="M63" s="1" t="s">
        <v>2</v>
      </c>
      <c r="O63" s="2"/>
      <c r="P63" s="2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 s="1" customFormat="1" ht="20.25" customHeight="1" x14ac:dyDescent="0.25">
      <c r="A64" s="2"/>
      <c r="B64" s="2"/>
      <c r="C64" s="2"/>
      <c r="D64" s="2">
        <f>COUNTIF(contact[[#This Row],[Bagossy]:[Szo
03:00 - 10:00]],"=~?")</f>
        <v>0</v>
      </c>
      <c r="E64" s="2">
        <f>COUNTIF(contact[[#This Row],[Bagossy]:[Szo
03:00 - 10:00]],"=x")</f>
        <v>0</v>
      </c>
      <c r="F64" s="2">
        <f>SUM(contact[[#This Row],[?]:[x]])</f>
        <v>0</v>
      </c>
      <c r="G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" s="3" t="s">
        <v>43</v>
      </c>
      <c r="K64" s="1" t="s">
        <v>2</v>
      </c>
      <c r="L64" s="1" t="s">
        <v>2</v>
      </c>
      <c r="M64" s="1" t="s">
        <v>2</v>
      </c>
      <c r="O64" s="2"/>
      <c r="P64" s="2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s="1" customFormat="1" ht="20.25" customHeight="1" x14ac:dyDescent="0.25">
      <c r="A65" s="2"/>
      <c r="B65" s="2"/>
      <c r="C65" s="2"/>
      <c r="D65" s="2">
        <f>COUNTIF(contact[[#This Row],[Bagossy]:[Szo
03:00 - 10:00]],"=~?")</f>
        <v>0</v>
      </c>
      <c r="E65" s="2">
        <f>COUNTIF(contact[[#This Row],[Bagossy]:[Szo
03:00 - 10:00]],"=x")</f>
        <v>0</v>
      </c>
      <c r="F65" s="2">
        <f>SUM(contact[[#This Row],[?]:[x]])</f>
        <v>0</v>
      </c>
      <c r="G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5" s="3" t="s">
        <v>3004</v>
      </c>
      <c r="K65" s="1" t="s">
        <v>2</v>
      </c>
      <c r="L65" s="1" t="s">
        <v>2</v>
      </c>
      <c r="M65" s="1" t="s">
        <v>2</v>
      </c>
      <c r="O65" s="2"/>
      <c r="P65" s="2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 s="1" customFormat="1" ht="20.25" customHeight="1" x14ac:dyDescent="0.25">
      <c r="A66" s="2"/>
      <c r="B66" s="2"/>
      <c r="C66" s="2"/>
      <c r="D66" s="2">
        <f>COUNTIF(contact[[#This Row],[Bagossy]:[Szo
03:00 - 10:00]],"=~?")</f>
        <v>0</v>
      </c>
      <c r="E66" s="2">
        <f>COUNTIF(contact[[#This Row],[Bagossy]:[Szo
03:00 - 10:00]],"=x")</f>
        <v>0</v>
      </c>
      <c r="F66" s="2">
        <f>SUM(contact[[#This Row],[?]:[x]])</f>
        <v>0</v>
      </c>
      <c r="G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" s="3" t="s">
        <v>3242</v>
      </c>
      <c r="K66" s="1" t="s">
        <v>2</v>
      </c>
      <c r="L66" s="1" t="s">
        <v>2</v>
      </c>
      <c r="M66" s="1" t="s">
        <v>2</v>
      </c>
      <c r="O66" s="2"/>
      <c r="P66" s="2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s="1" customFormat="1" ht="20.25" customHeight="1" x14ac:dyDescent="0.25">
      <c r="A67" s="2"/>
      <c r="B67" s="2"/>
      <c r="C67" s="2"/>
      <c r="D67" s="2">
        <f>COUNTIF(contact[[#This Row],[Bagossy]:[Szo
03:00 - 10:00]],"=~?")</f>
        <v>0</v>
      </c>
      <c r="E67" s="2">
        <f>COUNTIF(contact[[#This Row],[Bagossy]:[Szo
03:00 - 10:00]],"=x")</f>
        <v>0</v>
      </c>
      <c r="F67" s="2">
        <f>SUM(contact[[#This Row],[?]:[x]])</f>
        <v>0</v>
      </c>
      <c r="G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" s="3" t="s">
        <v>2761</v>
      </c>
      <c r="K67" s="1" t="s">
        <v>2</v>
      </c>
      <c r="L67" s="1" t="s">
        <v>2</v>
      </c>
      <c r="M67" s="1" t="s">
        <v>2</v>
      </c>
      <c r="O67" s="2"/>
      <c r="P67" s="2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s="1" customFormat="1" ht="20.25" customHeight="1" x14ac:dyDescent="0.25">
      <c r="A68" s="2"/>
      <c r="B68" s="2"/>
      <c r="C68" s="2"/>
      <c r="D68" s="2">
        <f>COUNTIF(contact[[#This Row],[Bagossy]:[Szo
03:00 - 10:00]],"=~?")</f>
        <v>0</v>
      </c>
      <c r="E68" s="2">
        <f>COUNTIF(contact[[#This Row],[Bagossy]:[Szo
03:00 - 10:00]],"=x")</f>
        <v>0</v>
      </c>
      <c r="F68" s="2">
        <f>SUM(contact[[#This Row],[?]:[x]])</f>
        <v>0</v>
      </c>
      <c r="G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8" s="2"/>
      <c r="I68" s="2"/>
      <c r="J68" s="3" t="s">
        <v>1912</v>
      </c>
      <c r="K68" s="1" t="s">
        <v>6</v>
      </c>
      <c r="L68" s="1" t="s">
        <v>2</v>
      </c>
      <c r="M68" s="1" t="s">
        <v>2</v>
      </c>
      <c r="O68" s="2"/>
      <c r="P68" s="2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s="1" customFormat="1" ht="20.25" customHeight="1" x14ac:dyDescent="0.25">
      <c r="A69" s="2"/>
      <c r="B69" s="2"/>
      <c r="C69" s="2"/>
      <c r="D69" s="2">
        <f>COUNTIF(contact[[#This Row],[Bagossy]:[Szo
03:00 - 10:00]],"=~?")</f>
        <v>0</v>
      </c>
      <c r="E69" s="2">
        <f>COUNTIF(contact[[#This Row],[Bagossy]:[Szo
03:00 - 10:00]],"=x")</f>
        <v>0</v>
      </c>
      <c r="F69" s="2">
        <f>SUM(contact[[#This Row],[?]:[x]])</f>
        <v>0</v>
      </c>
      <c r="G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" s="3" t="s">
        <v>4445</v>
      </c>
      <c r="K69" s="1" t="s">
        <v>1243</v>
      </c>
      <c r="L69" s="1" t="s">
        <v>2</v>
      </c>
      <c r="M69" s="1" t="s">
        <v>2</v>
      </c>
      <c r="O69" s="2"/>
      <c r="P69" s="2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 s="1" customFormat="1" ht="20.25" customHeight="1" x14ac:dyDescent="0.25">
      <c r="A70" s="2"/>
      <c r="B70" s="2"/>
      <c r="C70" s="2"/>
      <c r="D70" s="2">
        <f>COUNTIF(contact[[#This Row],[Bagossy]:[Szo
03:00 - 10:00]],"=~?")</f>
        <v>0</v>
      </c>
      <c r="E70" s="2">
        <f>COUNTIF(contact[[#This Row],[Bagossy]:[Szo
03:00 - 10:00]],"=x")</f>
        <v>0</v>
      </c>
      <c r="F70" s="2">
        <f>SUM(contact[[#This Row],[?]:[x]])</f>
        <v>0</v>
      </c>
      <c r="G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" s="3" t="s">
        <v>51</v>
      </c>
      <c r="K70" s="1" t="s">
        <v>2</v>
      </c>
      <c r="L70" s="1" t="s">
        <v>2</v>
      </c>
      <c r="M70" s="1" t="s">
        <v>2</v>
      </c>
      <c r="O70" s="2"/>
      <c r="P70" s="2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s="1" customFormat="1" ht="20.25" customHeight="1" x14ac:dyDescent="0.25">
      <c r="A71" s="2"/>
      <c r="B71" s="2"/>
      <c r="C71" s="2"/>
      <c r="D71" s="2">
        <f>COUNTIF(contact[[#This Row],[Bagossy]:[Szo
03:00 - 10:00]],"=~?")</f>
        <v>0</v>
      </c>
      <c r="E71" s="2">
        <f>COUNTIF(contact[[#This Row],[Bagossy]:[Szo
03:00 - 10:00]],"=x")</f>
        <v>0</v>
      </c>
      <c r="F71" s="2">
        <f>SUM(contact[[#This Row],[?]:[x]])</f>
        <v>0</v>
      </c>
      <c r="G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" s="3" t="s">
        <v>60</v>
      </c>
      <c r="K71" s="1" t="s">
        <v>2</v>
      </c>
      <c r="L71" s="1" t="s">
        <v>2</v>
      </c>
      <c r="M71" s="1" t="s">
        <v>2</v>
      </c>
      <c r="O71" s="2"/>
      <c r="P71" s="2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2" s="1" customFormat="1" ht="20.25" customHeight="1" x14ac:dyDescent="0.25">
      <c r="A72" s="2"/>
      <c r="B72" s="2"/>
      <c r="C72" s="2"/>
      <c r="D72" s="2">
        <f>COUNTIF(contact[[#This Row],[Bagossy]:[Szo
03:00 - 10:00]],"=~?")</f>
        <v>0</v>
      </c>
      <c r="E72" s="2">
        <f>COUNTIF(contact[[#This Row],[Bagossy]:[Szo
03:00 - 10:00]],"=x")</f>
        <v>0</v>
      </c>
      <c r="F72" s="2">
        <f>SUM(contact[[#This Row],[?]:[x]])</f>
        <v>0</v>
      </c>
      <c r="G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" s="3" t="s">
        <v>1979</v>
      </c>
      <c r="K72" s="1" t="s">
        <v>50</v>
      </c>
      <c r="L72" s="1" t="s">
        <v>2</v>
      </c>
      <c r="M72" s="1" t="s">
        <v>2</v>
      </c>
      <c r="O72" s="2"/>
      <c r="P72" s="2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 s="1" customFormat="1" ht="20.25" customHeight="1" x14ac:dyDescent="0.25">
      <c r="A73" s="2"/>
      <c r="B73" s="2"/>
      <c r="C73" s="2"/>
      <c r="D73" s="2">
        <f>COUNTIF(contact[[#This Row],[Bagossy]:[Szo
03:00 - 10:00]],"=~?")</f>
        <v>0</v>
      </c>
      <c r="E73" s="2">
        <f>COUNTIF(contact[[#This Row],[Bagossy]:[Szo
03:00 - 10:00]],"=x")</f>
        <v>0</v>
      </c>
      <c r="F73" s="2">
        <f>SUM(contact[[#This Row],[?]:[x]])</f>
        <v>0</v>
      </c>
      <c r="G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3" s="2"/>
      <c r="I73" s="2"/>
      <c r="J73" s="3" t="s">
        <v>1915</v>
      </c>
      <c r="K73" s="1" t="s">
        <v>1210</v>
      </c>
      <c r="L73" s="1" t="s">
        <v>2</v>
      </c>
      <c r="M73" s="1" t="s">
        <v>2</v>
      </c>
      <c r="O73" s="2"/>
      <c r="P73" s="2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s="1" customFormat="1" ht="20.25" customHeight="1" x14ac:dyDescent="0.25">
      <c r="A74" s="2"/>
      <c r="B74" s="2"/>
      <c r="C74" s="2"/>
      <c r="D74" s="2">
        <f>COUNTIF(contact[[#This Row],[Bagossy]:[Szo
03:00 - 10:00]],"=~?")</f>
        <v>0</v>
      </c>
      <c r="E74" s="2">
        <f>COUNTIF(contact[[#This Row],[Bagossy]:[Szo
03:00 - 10:00]],"=x")</f>
        <v>0</v>
      </c>
      <c r="F74" s="2">
        <f>SUM(contact[[#This Row],[?]:[x]])</f>
        <v>0</v>
      </c>
      <c r="G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4" s="2"/>
      <c r="I74" s="2"/>
      <c r="J74" s="3" t="s">
        <v>1918</v>
      </c>
      <c r="K74" s="1" t="s">
        <v>61</v>
      </c>
      <c r="L74" s="1" t="s">
        <v>2</v>
      </c>
      <c r="M74" s="1" t="s">
        <v>2</v>
      </c>
      <c r="O74" s="2"/>
      <c r="P74" s="2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2" s="1" customFormat="1" ht="20.25" customHeight="1" x14ac:dyDescent="0.25">
      <c r="A75" s="2"/>
      <c r="B75" s="2"/>
      <c r="C75" s="2"/>
      <c r="D75" s="2">
        <f>COUNTIF(contact[[#This Row],[Bagossy]:[Szo
03:00 - 10:00]],"=~?")</f>
        <v>0</v>
      </c>
      <c r="E75" s="2">
        <f>COUNTIF(contact[[#This Row],[Bagossy]:[Szo
03:00 - 10:00]],"=x")</f>
        <v>0</v>
      </c>
      <c r="F75" s="2">
        <f>SUM(contact[[#This Row],[?]:[x]])</f>
        <v>0</v>
      </c>
      <c r="G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5" s="3" t="s">
        <v>2221</v>
      </c>
      <c r="K75" s="1" t="s">
        <v>2</v>
      </c>
      <c r="L75" s="1" t="s">
        <v>2</v>
      </c>
      <c r="M75" s="1" t="s">
        <v>2</v>
      </c>
      <c r="O75" s="2"/>
      <c r="P75" s="2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s="1" customFormat="1" ht="20.25" customHeight="1" x14ac:dyDescent="0.25">
      <c r="A76" s="2"/>
      <c r="B76" s="2"/>
      <c r="C76" s="2"/>
      <c r="D76" s="2">
        <f>COUNTIF(contact[[#This Row],[Bagossy]:[Szo
03:00 - 10:00]],"=~?")</f>
        <v>0</v>
      </c>
      <c r="E76" s="2">
        <f>COUNTIF(contact[[#This Row],[Bagossy]:[Szo
03:00 - 10:00]],"=x")</f>
        <v>0</v>
      </c>
      <c r="F76" s="2">
        <f>SUM(contact[[#This Row],[?]:[x]])</f>
        <v>0</v>
      </c>
      <c r="G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6" s="2"/>
      <c r="I76" s="2"/>
      <c r="J76" s="3" t="s">
        <v>1919</v>
      </c>
      <c r="K76" s="1" t="s">
        <v>151</v>
      </c>
      <c r="L76" s="1" t="s">
        <v>2</v>
      </c>
      <c r="M76" s="1" t="s">
        <v>2</v>
      </c>
      <c r="O76" s="2"/>
      <c r="P76" s="2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2" s="1" customFormat="1" ht="20.25" customHeight="1" x14ac:dyDescent="0.25">
      <c r="A77" s="2"/>
      <c r="B77" s="2"/>
      <c r="C77" s="2"/>
      <c r="D77" s="2">
        <f>COUNTIF(contact[[#This Row],[Bagossy]:[Szo
03:00 - 10:00]],"=~?")</f>
        <v>0</v>
      </c>
      <c r="E77" s="2">
        <f>COUNTIF(contact[[#This Row],[Bagossy]:[Szo
03:00 - 10:00]],"=x")</f>
        <v>0</v>
      </c>
      <c r="F77" s="2">
        <f>SUM(contact[[#This Row],[?]:[x]])</f>
        <v>0</v>
      </c>
      <c r="G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" s="3" t="s">
        <v>65</v>
      </c>
      <c r="K77" s="1" t="s">
        <v>2</v>
      </c>
      <c r="L77" s="1" t="s">
        <v>2</v>
      </c>
      <c r="M77" s="1" t="s">
        <v>2</v>
      </c>
      <c r="O77" s="2"/>
      <c r="P77" s="2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2" s="1" customFormat="1" ht="20.25" customHeight="1" x14ac:dyDescent="0.25">
      <c r="A78" s="2"/>
      <c r="B78" s="2"/>
      <c r="C78" s="2"/>
      <c r="D78" s="2">
        <f>COUNTIF(contact[[#This Row],[Bagossy]:[Szo
03:00 - 10:00]],"=~?")</f>
        <v>0</v>
      </c>
      <c r="E78" s="2">
        <f>COUNTIF(contact[[#This Row],[Bagossy]:[Szo
03:00 - 10:00]],"=x")</f>
        <v>0</v>
      </c>
      <c r="F78" s="2">
        <f>SUM(contact[[#This Row],[?]:[x]])</f>
        <v>0</v>
      </c>
      <c r="G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" s="3" t="s">
        <v>3704</v>
      </c>
      <c r="K78" s="1" t="s">
        <v>905</v>
      </c>
      <c r="L78" s="1" t="s">
        <v>2</v>
      </c>
      <c r="M78" s="1" t="s">
        <v>2</v>
      </c>
      <c r="O78" s="2"/>
      <c r="P78" s="2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 s="1" customFormat="1" ht="20.25" customHeight="1" x14ac:dyDescent="0.25">
      <c r="A79" s="2"/>
      <c r="B79" s="2"/>
      <c r="C79" s="2"/>
      <c r="D79" s="2">
        <f>COUNTIF(contact[[#This Row],[Bagossy]:[Szo
03:00 - 10:00]],"=~?")</f>
        <v>0</v>
      </c>
      <c r="E79" s="2">
        <f>COUNTIF(contact[[#This Row],[Bagossy]:[Szo
03:00 - 10:00]],"=x")</f>
        <v>0</v>
      </c>
      <c r="F79" s="2">
        <f>SUM(contact[[#This Row],[?]:[x]])</f>
        <v>0</v>
      </c>
      <c r="G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" s="3" t="s">
        <v>3721</v>
      </c>
      <c r="K79" s="1" t="s">
        <v>2</v>
      </c>
      <c r="L79" s="1" t="s">
        <v>2</v>
      </c>
      <c r="M79" s="1" t="s">
        <v>2</v>
      </c>
      <c r="O79" s="2"/>
      <c r="P79" s="2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 s="1" customFormat="1" ht="20.25" customHeight="1" x14ac:dyDescent="0.25">
      <c r="A80" s="2"/>
      <c r="B80" s="2"/>
      <c r="C80" s="2"/>
      <c r="D80" s="2">
        <f>COUNTIF(contact[[#This Row],[Bagossy]:[Szo
03:00 - 10:00]],"=~?")</f>
        <v>0</v>
      </c>
      <c r="E80" s="2">
        <f>COUNTIF(contact[[#This Row],[Bagossy]:[Szo
03:00 - 10:00]],"=x")</f>
        <v>0</v>
      </c>
      <c r="F80" s="2">
        <f>SUM(contact[[#This Row],[?]:[x]])</f>
        <v>0</v>
      </c>
      <c r="G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" s="3" t="s">
        <v>2465</v>
      </c>
      <c r="K80" s="1" t="s">
        <v>1415</v>
      </c>
      <c r="L80" s="1" t="s">
        <v>2</v>
      </c>
      <c r="M80" s="1" t="s">
        <v>2</v>
      </c>
      <c r="O80" s="2"/>
      <c r="P80" s="2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s="1" customFormat="1" ht="20.25" customHeight="1" x14ac:dyDescent="0.25">
      <c r="A81" s="2"/>
      <c r="B81" s="2"/>
      <c r="C81" s="2"/>
      <c r="D81" s="2">
        <f>COUNTIF(contact[[#This Row],[Bagossy]:[Szo
03:00 - 10:00]],"=~?")</f>
        <v>0</v>
      </c>
      <c r="E81" s="2">
        <f>COUNTIF(contact[[#This Row],[Bagossy]:[Szo
03:00 - 10:00]],"=x")</f>
        <v>0</v>
      </c>
      <c r="F81" s="2">
        <f>SUM(contact[[#This Row],[?]:[x]])</f>
        <v>0</v>
      </c>
      <c r="G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" s="3" t="s">
        <v>80</v>
      </c>
      <c r="K81" s="1" t="s">
        <v>2</v>
      </c>
      <c r="L81" s="1" t="s">
        <v>2</v>
      </c>
      <c r="M81" s="1" t="s">
        <v>2</v>
      </c>
      <c r="O81" s="2"/>
      <c r="P81" s="2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s="1" customFormat="1" ht="20.25" customHeight="1" x14ac:dyDescent="0.25">
      <c r="A82" s="2"/>
      <c r="B82" s="2"/>
      <c r="C82" s="2"/>
      <c r="D82" s="2">
        <f>COUNTIF(contact[[#This Row],[Bagossy]:[Szo
03:00 - 10:00]],"=~?")</f>
        <v>0</v>
      </c>
      <c r="E82" s="2">
        <f>COUNTIF(contact[[#This Row],[Bagossy]:[Szo
03:00 - 10:00]],"=x")</f>
        <v>0</v>
      </c>
      <c r="F82" s="2">
        <f>SUM(contact[[#This Row],[?]:[x]])</f>
        <v>0</v>
      </c>
      <c r="G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" s="3" t="s">
        <v>81</v>
      </c>
      <c r="K82" s="1" t="s">
        <v>2</v>
      </c>
      <c r="L82" s="1" t="s">
        <v>2</v>
      </c>
      <c r="M82" s="1" t="s">
        <v>2</v>
      </c>
      <c r="O82" s="2"/>
      <c r="P82" s="2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s="1" customFormat="1" ht="20.25" customHeight="1" x14ac:dyDescent="0.25">
      <c r="A83" s="2"/>
      <c r="B83" s="2"/>
      <c r="C83" s="2"/>
      <c r="D83" s="2">
        <f>COUNTIF(contact[[#This Row],[Bagossy]:[Szo
03:00 - 10:00]],"=~?")</f>
        <v>0</v>
      </c>
      <c r="E83" s="2">
        <f>COUNTIF(contact[[#This Row],[Bagossy]:[Szo
03:00 - 10:00]],"=x")</f>
        <v>0</v>
      </c>
      <c r="F83" s="2">
        <f>SUM(contact[[#This Row],[?]:[x]])</f>
        <v>0</v>
      </c>
      <c r="G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" s="3" t="s">
        <v>82</v>
      </c>
      <c r="K83" s="1" t="s">
        <v>2</v>
      </c>
      <c r="L83" s="1" t="s">
        <v>2</v>
      </c>
      <c r="M83" s="1" t="s">
        <v>2</v>
      </c>
      <c r="O83" s="2"/>
      <c r="P83" s="2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s="1" customFormat="1" ht="20.25" customHeight="1" x14ac:dyDescent="0.25">
      <c r="A84" s="2"/>
      <c r="B84" s="2"/>
      <c r="C84" s="2"/>
      <c r="D84" s="2">
        <f>COUNTIF(contact[[#This Row],[Bagossy]:[Szo
03:00 - 10:00]],"=~?")</f>
        <v>0</v>
      </c>
      <c r="E84" s="2">
        <f>COUNTIF(contact[[#This Row],[Bagossy]:[Szo
03:00 - 10:00]],"=x")</f>
        <v>0</v>
      </c>
      <c r="F84" s="2">
        <f>SUM(contact[[#This Row],[?]:[x]])</f>
        <v>0</v>
      </c>
      <c r="G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" s="3" t="s">
        <v>83</v>
      </c>
      <c r="K84" s="1" t="s">
        <v>2</v>
      </c>
      <c r="L84" s="1" t="s">
        <v>2</v>
      </c>
      <c r="M84" s="1" t="s">
        <v>2</v>
      </c>
      <c r="O84" s="2"/>
      <c r="P84" s="2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 s="1" customFormat="1" ht="20.25" customHeight="1" x14ac:dyDescent="0.25">
      <c r="A85" s="2"/>
      <c r="B85" s="2"/>
      <c r="C85" s="2"/>
      <c r="D85" s="2">
        <f>COUNTIF(contact[[#This Row],[Bagossy]:[Szo
03:00 - 10:00]],"=~?")</f>
        <v>0</v>
      </c>
      <c r="E85" s="2">
        <f>COUNTIF(contact[[#This Row],[Bagossy]:[Szo
03:00 - 10:00]],"=x")</f>
        <v>0</v>
      </c>
      <c r="F85" s="2">
        <f>SUM(contact[[#This Row],[?]:[x]])</f>
        <v>0</v>
      </c>
      <c r="G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5" s="2"/>
      <c r="I85" s="2"/>
      <c r="J85" s="3" t="s">
        <v>1921</v>
      </c>
      <c r="K85" s="1" t="s">
        <v>1291</v>
      </c>
      <c r="L85" s="1" t="s">
        <v>2</v>
      </c>
      <c r="M85" s="1" t="s">
        <v>2</v>
      </c>
      <c r="O85" s="2"/>
      <c r="P85" s="2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s="1" customFormat="1" ht="20.25" customHeight="1" x14ac:dyDescent="0.25">
      <c r="A86" s="2"/>
      <c r="B86" s="2"/>
      <c r="C86" s="2"/>
      <c r="D86" s="2">
        <f>COUNTIF(contact[[#This Row],[Bagossy]:[Szo
03:00 - 10:00]],"=~?")</f>
        <v>0</v>
      </c>
      <c r="E86" s="2">
        <f>COUNTIF(contact[[#This Row],[Bagossy]:[Szo
03:00 - 10:00]],"=x")</f>
        <v>0</v>
      </c>
      <c r="F86" s="2">
        <f>SUM(contact[[#This Row],[?]:[x]])</f>
        <v>0</v>
      </c>
      <c r="G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" s="3" t="s">
        <v>2617</v>
      </c>
      <c r="K86" s="1" t="s">
        <v>2</v>
      </c>
      <c r="L86" s="1" t="s">
        <v>2</v>
      </c>
      <c r="M86" s="1" t="s">
        <v>2</v>
      </c>
      <c r="O86" s="2"/>
      <c r="P86" s="2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 s="1" customFormat="1" ht="20.25" customHeight="1" x14ac:dyDescent="0.25">
      <c r="A87" s="2"/>
      <c r="B87" s="2"/>
      <c r="C87" s="2"/>
      <c r="D87" s="2">
        <f>COUNTIF(contact[[#This Row],[Bagossy]:[Szo
03:00 - 10:00]],"=~?")</f>
        <v>0</v>
      </c>
      <c r="E87" s="2">
        <f>COUNTIF(contact[[#This Row],[Bagossy]:[Szo
03:00 - 10:00]],"=x")</f>
        <v>0</v>
      </c>
      <c r="F87" s="2">
        <f>SUM(contact[[#This Row],[?]:[x]])</f>
        <v>0</v>
      </c>
      <c r="G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7" s="3" t="s">
        <v>3036</v>
      </c>
      <c r="K87" s="1" t="s">
        <v>612</v>
      </c>
      <c r="L87" s="1" t="s">
        <v>2</v>
      </c>
      <c r="M87" s="1" t="s">
        <v>2</v>
      </c>
      <c r="O87" s="2"/>
      <c r="P87" s="2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s="1" customFormat="1" ht="20.25" customHeight="1" x14ac:dyDescent="0.25">
      <c r="A88" s="2"/>
      <c r="B88" s="2"/>
      <c r="C88" s="2"/>
      <c r="D88" s="2">
        <f>COUNTIF(contact[[#This Row],[Bagossy]:[Szo
03:00 - 10:00]],"=~?")</f>
        <v>0</v>
      </c>
      <c r="E88" s="2">
        <f>COUNTIF(contact[[#This Row],[Bagossy]:[Szo
03:00 - 10:00]],"=x")</f>
        <v>0</v>
      </c>
      <c r="F88" s="2">
        <f>SUM(contact[[#This Row],[?]:[x]])</f>
        <v>0</v>
      </c>
      <c r="G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" s="3" t="s">
        <v>3432</v>
      </c>
      <c r="K88" s="1" t="s">
        <v>2</v>
      </c>
      <c r="L88" s="1" t="s">
        <v>2</v>
      </c>
      <c r="M88" s="1" t="s">
        <v>2</v>
      </c>
      <c r="O88" s="2"/>
      <c r="P88" s="2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s="1" customFormat="1" ht="20.25" customHeight="1" x14ac:dyDescent="0.25">
      <c r="A89" s="2"/>
      <c r="B89" s="2"/>
      <c r="C89" s="2"/>
      <c r="D89" s="2">
        <f>COUNTIF(contact[[#This Row],[Bagossy]:[Szo
03:00 - 10:00]],"=~?")</f>
        <v>0</v>
      </c>
      <c r="E89" s="2">
        <f>COUNTIF(contact[[#This Row],[Bagossy]:[Szo
03:00 - 10:00]],"=x")</f>
        <v>0</v>
      </c>
      <c r="F89" s="2">
        <f>SUM(contact[[#This Row],[?]:[x]])</f>
        <v>0</v>
      </c>
      <c r="G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9" s="2"/>
      <c r="I89" s="2"/>
      <c r="J89" s="3" t="s">
        <v>1927</v>
      </c>
      <c r="K89" s="1" t="s">
        <v>6</v>
      </c>
      <c r="L89" s="1" t="s">
        <v>2</v>
      </c>
      <c r="M89" s="1" t="s">
        <v>2</v>
      </c>
      <c r="O89" s="2"/>
      <c r="P89" s="2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 s="1" customFormat="1" ht="20.25" customHeight="1" x14ac:dyDescent="0.25">
      <c r="A90" s="2"/>
      <c r="B90" s="2"/>
      <c r="C90" s="2"/>
      <c r="D90" s="2">
        <f>COUNTIF(contact[[#This Row],[Bagossy]:[Szo
03:00 - 10:00]],"=~?")</f>
        <v>0</v>
      </c>
      <c r="E90" s="2">
        <f>COUNTIF(contact[[#This Row],[Bagossy]:[Szo
03:00 - 10:00]],"=x")</f>
        <v>0</v>
      </c>
      <c r="F90" s="2">
        <f>SUM(contact[[#This Row],[?]:[x]])</f>
        <v>0</v>
      </c>
      <c r="G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" s="3" t="s">
        <v>4176</v>
      </c>
      <c r="K90" s="1" t="s">
        <v>1804</v>
      </c>
      <c r="L90" s="1" t="s">
        <v>2</v>
      </c>
      <c r="M90" s="1" t="s">
        <v>2</v>
      </c>
      <c r="O90" s="2"/>
      <c r="P90" s="2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s="1" customFormat="1" ht="20.25" customHeight="1" x14ac:dyDescent="0.25">
      <c r="A91" s="2"/>
      <c r="B91" s="2"/>
      <c r="C91" s="2"/>
      <c r="D91" s="2">
        <f>COUNTIF(contact[[#This Row],[Bagossy]:[Szo
03:00 - 10:00]],"=~?")</f>
        <v>0</v>
      </c>
      <c r="E91" s="2">
        <f>COUNTIF(contact[[#This Row],[Bagossy]:[Szo
03:00 - 10:00]],"=x")</f>
        <v>0</v>
      </c>
      <c r="F91" s="2">
        <f>SUM(contact[[#This Row],[?]:[x]])</f>
        <v>0</v>
      </c>
      <c r="G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1" s="2"/>
      <c r="I91" s="2"/>
      <c r="J91" s="3" t="s">
        <v>1931</v>
      </c>
      <c r="K91" s="1" t="s">
        <v>1295</v>
      </c>
      <c r="L91" s="1" t="s">
        <v>2</v>
      </c>
      <c r="M91" s="1" t="s">
        <v>2</v>
      </c>
      <c r="O91" s="2"/>
      <c r="P91" s="2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s="1" customFormat="1" ht="20.25" customHeight="1" x14ac:dyDescent="0.25">
      <c r="A92" s="2"/>
      <c r="B92" s="2"/>
      <c r="C92" s="2"/>
      <c r="D92" s="2">
        <f>COUNTIF(contact[[#This Row],[Bagossy]:[Szo
03:00 - 10:00]],"=~?")</f>
        <v>0</v>
      </c>
      <c r="E92" s="2">
        <f>COUNTIF(contact[[#This Row],[Bagossy]:[Szo
03:00 - 10:00]],"=x")</f>
        <v>0</v>
      </c>
      <c r="F92" s="2">
        <f>SUM(contact[[#This Row],[?]:[x]])</f>
        <v>0</v>
      </c>
      <c r="G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" s="3" t="s">
        <v>84</v>
      </c>
      <c r="K92" s="1" t="s">
        <v>2</v>
      </c>
      <c r="L92" s="1" t="s">
        <v>2</v>
      </c>
      <c r="M92" s="1" t="s">
        <v>2</v>
      </c>
      <c r="O92" s="2"/>
      <c r="P92" s="2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s="1" customFormat="1" ht="20.25" customHeight="1" x14ac:dyDescent="0.25">
      <c r="A93" s="2"/>
      <c r="B93" s="2"/>
      <c r="C93" s="2"/>
      <c r="D93" s="2">
        <f>COUNTIF(contact[[#This Row],[Bagossy]:[Szo
03:00 - 10:00]],"=~?")</f>
        <v>0</v>
      </c>
      <c r="E93" s="2">
        <f>COUNTIF(contact[[#This Row],[Bagossy]:[Szo
03:00 - 10:00]],"=x")</f>
        <v>0</v>
      </c>
      <c r="F93" s="2">
        <f>SUM(contact[[#This Row],[?]:[x]])</f>
        <v>0</v>
      </c>
      <c r="G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" s="3" t="s">
        <v>85</v>
      </c>
      <c r="K93" s="1" t="s">
        <v>2</v>
      </c>
      <c r="L93" s="1" t="s">
        <v>2</v>
      </c>
      <c r="M93" s="1" t="s">
        <v>2</v>
      </c>
      <c r="O93" s="2"/>
      <c r="P93" s="2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s="1" customFormat="1" ht="20.25" customHeight="1" x14ac:dyDescent="0.25">
      <c r="A94" s="2"/>
      <c r="B94" s="2"/>
      <c r="C94" s="2"/>
      <c r="D94" s="2">
        <f>COUNTIF(contact[[#This Row],[Bagossy]:[Szo
03:00 - 10:00]],"=~?")</f>
        <v>0</v>
      </c>
      <c r="E94" s="2">
        <f>COUNTIF(contact[[#This Row],[Bagossy]:[Szo
03:00 - 10:00]],"=x")</f>
        <v>0</v>
      </c>
      <c r="F94" s="2">
        <f>SUM(contact[[#This Row],[?]:[x]])</f>
        <v>0</v>
      </c>
      <c r="G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" s="3" t="s">
        <v>3590</v>
      </c>
      <c r="K94" s="1" t="s">
        <v>862</v>
      </c>
      <c r="L94" s="1" t="s">
        <v>2</v>
      </c>
      <c r="M94" s="1" t="s">
        <v>2</v>
      </c>
      <c r="O94" s="2"/>
      <c r="P94" s="2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s="1" customFormat="1" ht="20.25" customHeight="1" x14ac:dyDescent="0.25">
      <c r="A95" s="2"/>
      <c r="B95" s="2"/>
      <c r="C95" s="2"/>
      <c r="D95" s="2">
        <f>COUNTIF(contact[[#This Row],[Bagossy]:[Szo
03:00 - 10:00]],"=~?")</f>
        <v>0</v>
      </c>
      <c r="E95" s="2">
        <f>COUNTIF(contact[[#This Row],[Bagossy]:[Szo
03:00 - 10:00]],"=x")</f>
        <v>0</v>
      </c>
      <c r="F95" s="2">
        <f>SUM(contact[[#This Row],[?]:[x]])</f>
        <v>0</v>
      </c>
      <c r="G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" s="3" t="s">
        <v>3192</v>
      </c>
      <c r="K95" s="1" t="s">
        <v>685</v>
      </c>
      <c r="L95" s="1" t="s">
        <v>2</v>
      </c>
      <c r="M95" s="1" t="s">
        <v>2</v>
      </c>
      <c r="O95" s="2"/>
      <c r="P95" s="2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s="1" customFormat="1" ht="20.25" customHeight="1" x14ac:dyDescent="0.25">
      <c r="A96" s="2"/>
      <c r="B96" s="2"/>
      <c r="C96" s="2"/>
      <c r="D96" s="2">
        <f>COUNTIF(contact[[#This Row],[Bagossy]:[Szo
03:00 - 10:00]],"=~?")</f>
        <v>0</v>
      </c>
      <c r="E96" s="2">
        <f>COUNTIF(contact[[#This Row],[Bagossy]:[Szo
03:00 - 10:00]],"=x")</f>
        <v>0</v>
      </c>
      <c r="F96" s="2">
        <f>SUM(contact[[#This Row],[?]:[x]])</f>
        <v>0</v>
      </c>
      <c r="G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6" s="2"/>
      <c r="I96" s="2"/>
      <c r="J96" s="3" t="s">
        <v>1936</v>
      </c>
      <c r="K96" s="1" t="s">
        <v>686</v>
      </c>
      <c r="L96" s="1" t="s">
        <v>2</v>
      </c>
      <c r="M96" s="1" t="s">
        <v>2</v>
      </c>
      <c r="O96" s="2"/>
      <c r="P96" s="2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 s="1" customFormat="1" ht="20.25" customHeight="1" x14ac:dyDescent="0.25">
      <c r="A97" s="2"/>
      <c r="B97" s="2"/>
      <c r="C97" s="2"/>
      <c r="D97" s="2">
        <f>COUNTIF(contact[[#This Row],[Bagossy]:[Szo
03:00 - 10:00]],"=~?")</f>
        <v>0</v>
      </c>
      <c r="E97" s="2">
        <f>COUNTIF(contact[[#This Row],[Bagossy]:[Szo
03:00 - 10:00]],"=x")</f>
        <v>0</v>
      </c>
      <c r="F97" s="2">
        <f>SUM(contact[[#This Row],[?]:[x]])</f>
        <v>0</v>
      </c>
      <c r="G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" s="3" t="s">
        <v>3205</v>
      </c>
      <c r="K97" s="1" t="s">
        <v>2</v>
      </c>
      <c r="L97" s="1" t="s">
        <v>2</v>
      </c>
      <c r="M97" s="1" t="s">
        <v>2</v>
      </c>
      <c r="O97" s="2"/>
      <c r="P97" s="2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s="1" customFormat="1" ht="20.25" customHeight="1" x14ac:dyDescent="0.25">
      <c r="A98" s="2"/>
      <c r="B98" s="2"/>
      <c r="C98" s="2"/>
      <c r="D98" s="2">
        <f>COUNTIF(contact[[#This Row],[Bagossy]:[Szo
03:00 - 10:00]],"=~?")</f>
        <v>0</v>
      </c>
      <c r="E98" s="2">
        <f>COUNTIF(contact[[#This Row],[Bagossy]:[Szo
03:00 - 10:00]],"=x")</f>
        <v>0</v>
      </c>
      <c r="F98" s="2">
        <f>SUM(contact[[#This Row],[?]:[x]])</f>
        <v>0</v>
      </c>
      <c r="G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" s="3" t="s">
        <v>107</v>
      </c>
      <c r="K98" s="1" t="s">
        <v>2</v>
      </c>
      <c r="L98" s="1" t="s">
        <v>2</v>
      </c>
      <c r="M98" s="1" t="s">
        <v>2</v>
      </c>
      <c r="O98" s="2"/>
      <c r="P98" s="2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s="1" customFormat="1" ht="20.25" customHeight="1" x14ac:dyDescent="0.25">
      <c r="A99" s="2"/>
      <c r="B99" s="2"/>
      <c r="C99" s="2"/>
      <c r="D99" s="2">
        <f>COUNTIF(contact[[#This Row],[Bagossy]:[Szo
03:00 - 10:00]],"=~?")</f>
        <v>0</v>
      </c>
      <c r="E99" s="2">
        <f>COUNTIF(contact[[#This Row],[Bagossy]:[Szo
03:00 - 10:00]],"=x")</f>
        <v>0</v>
      </c>
      <c r="F99" s="2">
        <f>SUM(contact[[#This Row],[?]:[x]])</f>
        <v>0</v>
      </c>
      <c r="G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" s="3" t="s">
        <v>2555</v>
      </c>
      <c r="K99" s="1" t="s">
        <v>1446</v>
      </c>
      <c r="L99" s="1" t="s">
        <v>354</v>
      </c>
      <c r="M99" s="1" t="s">
        <v>369</v>
      </c>
      <c r="O99" s="2"/>
      <c r="P99" s="2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s="1" customFormat="1" ht="20.25" customHeight="1" x14ac:dyDescent="0.25">
      <c r="A100" s="2"/>
      <c r="B100" s="2"/>
      <c r="C100" s="2"/>
      <c r="D100" s="2">
        <f>COUNTIF(contact[[#This Row],[Bagossy]:[Szo
03:00 - 10:00]],"=~?")</f>
        <v>0</v>
      </c>
      <c r="E100" s="2">
        <f>COUNTIF(contact[[#This Row],[Bagossy]:[Szo
03:00 - 10:00]],"=x")</f>
        <v>0</v>
      </c>
      <c r="F100" s="2">
        <f>SUM(contact[[#This Row],[?]:[x]])</f>
        <v>0</v>
      </c>
      <c r="G1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" s="3" t="s">
        <v>112</v>
      </c>
      <c r="K100" s="1" t="s">
        <v>2</v>
      </c>
      <c r="L100" s="1" t="s">
        <v>2</v>
      </c>
      <c r="M100" s="1" t="s">
        <v>2</v>
      </c>
      <c r="O100" s="2"/>
      <c r="P100" s="2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s="1" customFormat="1" ht="20.25" customHeight="1" x14ac:dyDescent="0.25">
      <c r="A101" s="2"/>
      <c r="B101" s="2"/>
      <c r="C101" s="2"/>
      <c r="D101" s="2">
        <f>COUNTIF(contact[[#This Row],[Bagossy]:[Szo
03:00 - 10:00]],"=~?")</f>
        <v>0</v>
      </c>
      <c r="E101" s="2">
        <f>COUNTIF(contact[[#This Row],[Bagossy]:[Szo
03:00 - 10:00]],"=x")</f>
        <v>0</v>
      </c>
      <c r="F101" s="2">
        <f>SUM(contact[[#This Row],[?]:[x]])</f>
        <v>0</v>
      </c>
      <c r="G1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" s="3" t="s">
        <v>3741</v>
      </c>
      <c r="K101" s="1" t="s">
        <v>923</v>
      </c>
      <c r="L101" s="1" t="s">
        <v>2</v>
      </c>
      <c r="M101" s="1" t="s">
        <v>2</v>
      </c>
      <c r="O101" s="2"/>
      <c r="P101" s="2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 s="1" customFormat="1" ht="20.25" customHeight="1" x14ac:dyDescent="0.25">
      <c r="A102" s="2"/>
      <c r="B102" s="2"/>
      <c r="C102" s="2"/>
      <c r="D102" s="2">
        <f>COUNTIF(contact[[#This Row],[Bagossy]:[Szo
03:00 - 10:00]],"=~?")</f>
        <v>0</v>
      </c>
      <c r="E102" s="2">
        <f>COUNTIF(contact[[#This Row],[Bagossy]:[Szo
03:00 - 10:00]],"=x")</f>
        <v>0</v>
      </c>
      <c r="F102" s="2">
        <f>SUM(contact[[#This Row],[?]:[x]])</f>
        <v>0</v>
      </c>
      <c r="G1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" s="3" t="s">
        <v>3723</v>
      </c>
      <c r="K102" s="1" t="s">
        <v>912</v>
      </c>
      <c r="L102" s="1" t="s">
        <v>2</v>
      </c>
      <c r="M102" s="1" t="s">
        <v>2</v>
      </c>
      <c r="O102" s="2"/>
      <c r="P102" s="2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s="1" customFormat="1" ht="20.25" customHeight="1" x14ac:dyDescent="0.25">
      <c r="A103" s="2"/>
      <c r="B103" s="2"/>
      <c r="C103" s="2"/>
      <c r="D103" s="2">
        <f>COUNTIF(contact[[#This Row],[Bagossy]:[Szo
03:00 - 10:00]],"=~?")</f>
        <v>0</v>
      </c>
      <c r="E103" s="2">
        <f>COUNTIF(contact[[#This Row],[Bagossy]:[Szo
03:00 - 10:00]],"=x")</f>
        <v>0</v>
      </c>
      <c r="F103" s="2">
        <f>SUM(contact[[#This Row],[?]:[x]])</f>
        <v>0</v>
      </c>
      <c r="G1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" s="3" t="s">
        <v>113</v>
      </c>
      <c r="K103" s="1" t="s">
        <v>2</v>
      </c>
      <c r="L103" s="1" t="s">
        <v>2</v>
      </c>
      <c r="M103" s="1" t="s">
        <v>2</v>
      </c>
      <c r="O103" s="2"/>
      <c r="P103" s="2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s="1" customFormat="1" ht="20.25" customHeight="1" x14ac:dyDescent="0.25">
      <c r="A104" s="2"/>
      <c r="B104" s="2"/>
      <c r="C104" s="2"/>
      <c r="D104" s="2">
        <f>COUNTIF(contact[[#This Row],[Bagossy]:[Szo
03:00 - 10:00]],"=~?")</f>
        <v>0</v>
      </c>
      <c r="E104" s="2">
        <f>COUNTIF(contact[[#This Row],[Bagossy]:[Szo
03:00 - 10:00]],"=x")</f>
        <v>0</v>
      </c>
      <c r="F104" s="2">
        <f>SUM(contact[[#This Row],[?]:[x]])</f>
        <v>0</v>
      </c>
      <c r="G1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" s="3" t="s">
        <v>2943</v>
      </c>
      <c r="K104" s="1" t="s">
        <v>568</v>
      </c>
      <c r="L104" s="1" t="s">
        <v>2</v>
      </c>
      <c r="M104" s="1" t="s">
        <v>2</v>
      </c>
      <c r="O104" s="2"/>
      <c r="P104" s="2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s="1" customFormat="1" ht="20.25" customHeight="1" x14ac:dyDescent="0.25">
      <c r="A105" s="2"/>
      <c r="B105" s="2"/>
      <c r="C105" s="2"/>
      <c r="D105" s="2">
        <f>COUNTIF(contact[[#This Row],[Bagossy]:[Szo
03:00 - 10:00]],"=~?")</f>
        <v>0</v>
      </c>
      <c r="E105" s="2">
        <f>COUNTIF(contact[[#This Row],[Bagossy]:[Szo
03:00 - 10:00]],"=x")</f>
        <v>0</v>
      </c>
      <c r="F105" s="2">
        <f>SUM(contact[[#This Row],[?]:[x]])</f>
        <v>0</v>
      </c>
      <c r="G1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" s="3" t="s">
        <v>4309</v>
      </c>
      <c r="K105" s="1" t="s">
        <v>1183</v>
      </c>
      <c r="L105" s="1" t="s">
        <v>2</v>
      </c>
      <c r="M105" s="1" t="s">
        <v>2</v>
      </c>
      <c r="O105" s="2"/>
      <c r="P105" s="2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s="1" customFormat="1" ht="20.25" customHeight="1" x14ac:dyDescent="0.25">
      <c r="A106" s="2"/>
      <c r="B106" s="2"/>
      <c r="C106" s="2"/>
      <c r="D106" s="2">
        <f>COUNTIF(contact[[#This Row],[Bagossy]:[Szo
03:00 - 10:00]],"=~?")</f>
        <v>0</v>
      </c>
      <c r="E106" s="2">
        <f>COUNTIF(contact[[#This Row],[Bagossy]:[Szo
03:00 - 10:00]],"=x")</f>
        <v>0</v>
      </c>
      <c r="F106" s="2">
        <f>SUM(contact[[#This Row],[?]:[x]])</f>
        <v>0</v>
      </c>
      <c r="G1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" s="3" t="s">
        <v>4341</v>
      </c>
      <c r="K106" s="1" t="s">
        <v>2</v>
      </c>
      <c r="L106" s="1" t="s">
        <v>2</v>
      </c>
      <c r="M106" s="1" t="s">
        <v>2</v>
      </c>
      <c r="O106" s="2"/>
      <c r="P106" s="2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 s="1" customFormat="1" ht="20.25" customHeight="1" x14ac:dyDescent="0.25">
      <c r="A107" s="2"/>
      <c r="B107" s="2"/>
      <c r="C107" s="2"/>
      <c r="D107" s="2">
        <f>COUNTIF(contact[[#This Row],[Bagossy]:[Szo
03:00 - 10:00]],"=~?")</f>
        <v>0</v>
      </c>
      <c r="E107" s="2">
        <f>COUNTIF(contact[[#This Row],[Bagossy]:[Szo
03:00 - 10:00]],"=x")</f>
        <v>0</v>
      </c>
      <c r="F107" s="2">
        <f>SUM(contact[[#This Row],[?]:[x]])</f>
        <v>0</v>
      </c>
      <c r="G1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" s="3" t="s">
        <v>3027</v>
      </c>
      <c r="K107" s="1" t="s">
        <v>1547</v>
      </c>
      <c r="L107" s="1" t="s">
        <v>2</v>
      </c>
      <c r="M107" s="1" t="s">
        <v>2</v>
      </c>
      <c r="O107" s="2"/>
      <c r="P107" s="2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s="1" customFormat="1" ht="20.25" customHeight="1" x14ac:dyDescent="0.25">
      <c r="A108" s="2"/>
      <c r="B108" s="2"/>
      <c r="C108" s="2"/>
      <c r="D108" s="2">
        <f>COUNTIF(contact[[#This Row],[Bagossy]:[Szo
03:00 - 10:00]],"=~?")</f>
        <v>0</v>
      </c>
      <c r="E108" s="2">
        <f>COUNTIF(contact[[#This Row],[Bagossy]:[Szo
03:00 - 10:00]],"=x")</f>
        <v>0</v>
      </c>
      <c r="F108" s="2">
        <f>SUM(contact[[#This Row],[?]:[x]])</f>
        <v>0</v>
      </c>
      <c r="G1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" s="3" t="s">
        <v>131</v>
      </c>
      <c r="K108" s="1" t="s">
        <v>2</v>
      </c>
      <c r="L108" s="1" t="s">
        <v>2</v>
      </c>
      <c r="M108" s="1" t="s">
        <v>2</v>
      </c>
      <c r="O108" s="2"/>
      <c r="P108" s="2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 s="1" customFormat="1" ht="20.25" customHeight="1" x14ac:dyDescent="0.25">
      <c r="A109" s="2"/>
      <c r="B109" s="2"/>
      <c r="C109" s="2"/>
      <c r="D109" s="2">
        <f>COUNTIF(contact[[#This Row],[Bagossy]:[Szo
03:00 - 10:00]],"=~?")</f>
        <v>0</v>
      </c>
      <c r="E109" s="2">
        <f>COUNTIF(contact[[#This Row],[Bagossy]:[Szo
03:00 - 10:00]],"=x")</f>
        <v>0</v>
      </c>
      <c r="F109" s="2">
        <f>SUM(contact[[#This Row],[?]:[x]])</f>
        <v>0</v>
      </c>
      <c r="G1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" s="3" t="s">
        <v>133</v>
      </c>
      <c r="K109" s="1" t="s">
        <v>2</v>
      </c>
      <c r="L109" s="1" t="s">
        <v>2</v>
      </c>
      <c r="M109" s="1" t="s">
        <v>2</v>
      </c>
      <c r="O109" s="2"/>
      <c r="P109" s="2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s="1" customFormat="1" ht="20.25" customHeight="1" x14ac:dyDescent="0.25">
      <c r="A110" s="2"/>
      <c r="B110" s="2"/>
      <c r="C110" s="2"/>
      <c r="D110" s="2">
        <f>COUNTIF(contact[[#This Row],[Bagossy]:[Szo
03:00 - 10:00]],"=~?")</f>
        <v>0</v>
      </c>
      <c r="E110" s="2">
        <f>COUNTIF(contact[[#This Row],[Bagossy]:[Szo
03:00 - 10:00]],"=x")</f>
        <v>0</v>
      </c>
      <c r="F110" s="2">
        <f>SUM(contact[[#This Row],[?]:[x]])</f>
        <v>0</v>
      </c>
      <c r="G1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" s="3" t="s">
        <v>2594</v>
      </c>
      <c r="K110" s="1" t="s">
        <v>399</v>
      </c>
      <c r="L110" s="1" t="s">
        <v>2</v>
      </c>
      <c r="M110" s="1" t="s">
        <v>2</v>
      </c>
      <c r="O110" s="2"/>
      <c r="P110" s="2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s="1" customFormat="1" ht="20.25" customHeight="1" x14ac:dyDescent="0.25">
      <c r="A111" s="2"/>
      <c r="B111" s="2"/>
      <c r="C111" s="2"/>
      <c r="D111" s="2">
        <f>COUNTIF(contact[[#This Row],[Bagossy]:[Szo
03:00 - 10:00]],"=~?")</f>
        <v>0</v>
      </c>
      <c r="E111" s="2">
        <f>COUNTIF(contact[[#This Row],[Bagossy]:[Szo
03:00 - 10:00]],"=x")</f>
        <v>0</v>
      </c>
      <c r="F111" s="2">
        <f>SUM(contact[[#This Row],[?]:[x]])</f>
        <v>0</v>
      </c>
      <c r="G1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" s="3" t="s">
        <v>2998</v>
      </c>
      <c r="K111" s="1" t="s">
        <v>1533</v>
      </c>
      <c r="L111" s="1" t="s">
        <v>2</v>
      </c>
      <c r="M111" s="1" t="s">
        <v>2</v>
      </c>
      <c r="O111" s="2"/>
      <c r="P111" s="2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s="1" customFormat="1" ht="20.25" customHeight="1" x14ac:dyDescent="0.25">
      <c r="A112" s="2"/>
      <c r="B112" s="2"/>
      <c r="C112" s="2"/>
      <c r="D112" s="2">
        <f>COUNTIF(contact[[#This Row],[Bagossy]:[Szo
03:00 - 10:00]],"=~?")</f>
        <v>0</v>
      </c>
      <c r="E112" s="2">
        <f>COUNTIF(contact[[#This Row],[Bagossy]:[Szo
03:00 - 10:00]],"=x")</f>
        <v>0</v>
      </c>
      <c r="F112" s="2">
        <f>SUM(contact[[#This Row],[?]:[x]])</f>
        <v>0</v>
      </c>
      <c r="G1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2" s="2"/>
      <c r="I112" s="2"/>
      <c r="J112" s="3" t="s">
        <v>1938</v>
      </c>
      <c r="K112" s="1" t="s">
        <v>1296</v>
      </c>
      <c r="L112" s="1" t="s">
        <v>2</v>
      </c>
      <c r="M112" s="1" t="s">
        <v>2</v>
      </c>
      <c r="O112" s="2"/>
      <c r="P112" s="2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s="1" customFormat="1" ht="20.25" customHeight="1" x14ac:dyDescent="0.25">
      <c r="A113" s="2"/>
      <c r="B113" s="2"/>
      <c r="C113" s="2"/>
      <c r="D113" s="2">
        <f>COUNTIF(contact[[#This Row],[Bagossy]:[Szo
03:00 - 10:00]],"=~?")</f>
        <v>0</v>
      </c>
      <c r="E113" s="2">
        <f>COUNTIF(contact[[#This Row],[Bagossy]:[Szo
03:00 - 10:00]],"=x")</f>
        <v>0</v>
      </c>
      <c r="F113" s="2">
        <f>SUM(contact[[#This Row],[?]:[x]])</f>
        <v>0</v>
      </c>
      <c r="G1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" s="3" t="s">
        <v>1938</v>
      </c>
      <c r="K113" s="1" t="s">
        <v>631</v>
      </c>
      <c r="L113" s="1" t="s">
        <v>2</v>
      </c>
      <c r="M113" s="1" t="s">
        <v>2</v>
      </c>
      <c r="O113" s="2"/>
      <c r="P113" s="2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s="1" customFormat="1" ht="20.25" customHeight="1" x14ac:dyDescent="0.25">
      <c r="A114" s="2"/>
      <c r="B114" s="2"/>
      <c r="C114" s="2"/>
      <c r="D114" s="2">
        <f>COUNTIF(contact[[#This Row],[Bagossy]:[Szo
03:00 - 10:00]],"=~?")</f>
        <v>0</v>
      </c>
      <c r="E114" s="2">
        <f>COUNTIF(contact[[#This Row],[Bagossy]:[Szo
03:00 - 10:00]],"=x")</f>
        <v>0</v>
      </c>
      <c r="F114" s="2">
        <f>SUM(contact[[#This Row],[?]:[x]])</f>
        <v>0</v>
      </c>
      <c r="G1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4" s="2"/>
      <c r="I114" s="2"/>
      <c r="J114" s="3" t="s">
        <v>1939</v>
      </c>
      <c r="K114" s="1" t="s">
        <v>6</v>
      </c>
      <c r="L114" s="1" t="s">
        <v>2</v>
      </c>
      <c r="M114" s="1" t="s">
        <v>2</v>
      </c>
      <c r="O114" s="2"/>
      <c r="P114" s="2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s="1" customFormat="1" ht="20.25" customHeight="1" x14ac:dyDescent="0.25">
      <c r="A115" s="2"/>
      <c r="B115" s="2"/>
      <c r="C115" s="2"/>
      <c r="D115" s="2">
        <f>COUNTIF(contact[[#This Row],[Bagossy]:[Szo
03:00 - 10:00]],"=~?")</f>
        <v>0</v>
      </c>
      <c r="E115" s="2">
        <f>COUNTIF(contact[[#This Row],[Bagossy]:[Szo
03:00 - 10:00]],"=x")</f>
        <v>0</v>
      </c>
      <c r="F115" s="2">
        <f>SUM(contact[[#This Row],[?]:[x]])</f>
        <v>0</v>
      </c>
      <c r="G1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" s="3" t="s">
        <v>3941</v>
      </c>
      <c r="K115" s="1" t="s">
        <v>1024</v>
      </c>
      <c r="L115" s="1" t="s">
        <v>2</v>
      </c>
      <c r="M115" s="1" t="s">
        <v>2</v>
      </c>
      <c r="O115" s="2"/>
      <c r="P115" s="2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 s="1" customFormat="1" ht="20.25" customHeight="1" x14ac:dyDescent="0.25">
      <c r="A116" s="2"/>
      <c r="B116" s="2"/>
      <c r="C116" s="2"/>
      <c r="D116" s="2">
        <f>COUNTIF(contact[[#This Row],[Bagossy]:[Szo
03:00 - 10:00]],"=~?")</f>
        <v>0</v>
      </c>
      <c r="E116" s="2">
        <f>COUNTIF(contact[[#This Row],[Bagossy]:[Szo
03:00 - 10:00]],"=x")</f>
        <v>0</v>
      </c>
      <c r="F116" s="2">
        <f>SUM(contact[[#This Row],[?]:[x]])</f>
        <v>0</v>
      </c>
      <c r="G1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" s="3" t="s">
        <v>4177</v>
      </c>
      <c r="K116" s="1" t="s">
        <v>1130</v>
      </c>
      <c r="L116" s="1" t="s">
        <v>2</v>
      </c>
      <c r="M116" s="1" t="s">
        <v>2</v>
      </c>
      <c r="O116" s="2"/>
      <c r="P116" s="2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s="1" customFormat="1" ht="20.25" customHeight="1" x14ac:dyDescent="0.25">
      <c r="A117" s="2"/>
      <c r="B117" s="2"/>
      <c r="C117" s="2"/>
      <c r="D117" s="2">
        <f>COUNTIF(contact[[#This Row],[Bagossy]:[Szo
03:00 - 10:00]],"=~?")</f>
        <v>0</v>
      </c>
      <c r="E117" s="2">
        <f>COUNTIF(contact[[#This Row],[Bagossy]:[Szo
03:00 - 10:00]],"=x")</f>
        <v>0</v>
      </c>
      <c r="F117" s="2">
        <f>SUM(contact[[#This Row],[?]:[x]])</f>
        <v>0</v>
      </c>
      <c r="G1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" s="3" t="s">
        <v>4427</v>
      </c>
      <c r="K117" s="1" t="s">
        <v>1235</v>
      </c>
      <c r="L117" s="1" t="s">
        <v>2</v>
      </c>
      <c r="M117" s="1" t="s">
        <v>2</v>
      </c>
      <c r="O117" s="2"/>
      <c r="P117" s="2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s="1" customFormat="1" ht="20.25" customHeight="1" x14ac:dyDescent="0.25">
      <c r="A118" s="2"/>
      <c r="B118" s="2"/>
      <c r="C118" s="2"/>
      <c r="D118" s="2">
        <f>COUNTIF(contact[[#This Row],[Bagossy]:[Szo
03:00 - 10:00]],"=~?")</f>
        <v>0</v>
      </c>
      <c r="E118" s="2">
        <f>COUNTIF(contact[[#This Row],[Bagossy]:[Szo
03:00 - 10:00]],"=x")</f>
        <v>0</v>
      </c>
      <c r="F118" s="2">
        <f>SUM(contact[[#This Row],[?]:[x]])</f>
        <v>0</v>
      </c>
      <c r="G1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" s="3" t="s">
        <v>134</v>
      </c>
      <c r="K118" s="1" t="s">
        <v>2</v>
      </c>
      <c r="L118" s="1" t="s">
        <v>2</v>
      </c>
      <c r="M118" s="1" t="s">
        <v>2</v>
      </c>
      <c r="O118" s="2"/>
      <c r="P118" s="2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s="1" customFormat="1" ht="20.25" customHeight="1" x14ac:dyDescent="0.25">
      <c r="A119" s="2"/>
      <c r="B119" s="2"/>
      <c r="C119" s="2"/>
      <c r="D119" s="2">
        <f>COUNTIF(contact[[#This Row],[Bagossy]:[Szo
03:00 - 10:00]],"=~?")</f>
        <v>0</v>
      </c>
      <c r="E119" s="2">
        <f>COUNTIF(contact[[#This Row],[Bagossy]:[Szo
03:00 - 10:00]],"=x")</f>
        <v>0</v>
      </c>
      <c r="F119" s="2">
        <f>SUM(contact[[#This Row],[?]:[x]])</f>
        <v>0</v>
      </c>
      <c r="G1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9" s="3" t="s">
        <v>135</v>
      </c>
      <c r="K119" s="1" t="s">
        <v>2</v>
      </c>
      <c r="L119" s="1" t="s">
        <v>2</v>
      </c>
      <c r="M119" s="1" t="s">
        <v>2</v>
      </c>
      <c r="O119" s="2"/>
      <c r="P119" s="2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s="1" customFormat="1" ht="20.25" customHeight="1" x14ac:dyDescent="0.25">
      <c r="A120" s="2"/>
      <c r="B120" s="2"/>
      <c r="C120" s="2"/>
      <c r="D120" s="2">
        <f>COUNTIF(contact[[#This Row],[Bagossy]:[Szo
03:00 - 10:00]],"=~?")</f>
        <v>0</v>
      </c>
      <c r="E120" s="2">
        <f>COUNTIF(contact[[#This Row],[Bagossy]:[Szo
03:00 - 10:00]],"=x")</f>
        <v>0</v>
      </c>
      <c r="F120" s="2">
        <f>SUM(contact[[#This Row],[?]:[x]])</f>
        <v>0</v>
      </c>
      <c r="G1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0" s="3" t="s">
        <v>136</v>
      </c>
      <c r="K120" s="1" t="s">
        <v>2</v>
      </c>
      <c r="L120" s="1" t="s">
        <v>2</v>
      </c>
      <c r="M120" s="1" t="s">
        <v>2</v>
      </c>
      <c r="O120" s="2"/>
      <c r="P120" s="2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s="1" customFormat="1" ht="20.25" customHeight="1" x14ac:dyDescent="0.25">
      <c r="A121" s="2"/>
      <c r="B121" s="2"/>
      <c r="C121" s="2"/>
      <c r="D121" s="2">
        <f>COUNTIF(contact[[#This Row],[Bagossy]:[Szo
03:00 - 10:00]],"=~?")</f>
        <v>0</v>
      </c>
      <c r="E121" s="2">
        <f>COUNTIF(contact[[#This Row],[Bagossy]:[Szo
03:00 - 10:00]],"=x")</f>
        <v>0</v>
      </c>
      <c r="F121" s="2">
        <f>SUM(contact[[#This Row],[?]:[x]])</f>
        <v>0</v>
      </c>
      <c r="G1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" s="3" t="s">
        <v>137</v>
      </c>
      <c r="K121" s="1" t="s">
        <v>2</v>
      </c>
      <c r="L121" s="1" t="s">
        <v>2</v>
      </c>
      <c r="M121" s="1" t="s">
        <v>2</v>
      </c>
      <c r="O121" s="2"/>
      <c r="P121" s="2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 s="1" customFormat="1" ht="20.25" customHeight="1" x14ac:dyDescent="0.25">
      <c r="A122" s="2"/>
      <c r="B122" s="2"/>
      <c r="C122" s="2"/>
      <c r="D122" s="2">
        <f>COUNTIF(contact[[#This Row],[Bagossy]:[Szo
03:00 - 10:00]],"=~?")</f>
        <v>0</v>
      </c>
      <c r="E122" s="2">
        <f>COUNTIF(contact[[#This Row],[Bagossy]:[Szo
03:00 - 10:00]],"=x")</f>
        <v>0</v>
      </c>
      <c r="F122" s="2">
        <f>SUM(contact[[#This Row],[?]:[x]])</f>
        <v>0</v>
      </c>
      <c r="G1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" s="3" t="s">
        <v>2516</v>
      </c>
      <c r="K122" s="1" t="s">
        <v>2</v>
      </c>
      <c r="L122" s="1" t="s">
        <v>2</v>
      </c>
      <c r="M122" s="1" t="s">
        <v>2</v>
      </c>
      <c r="O122" s="2"/>
      <c r="P122" s="2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s="1" customFormat="1" ht="20.25" customHeight="1" x14ac:dyDescent="0.25">
      <c r="A123" s="2"/>
      <c r="B123" s="2"/>
      <c r="C123" s="2"/>
      <c r="D123" s="2">
        <f>COUNTIF(contact[[#This Row],[Bagossy]:[Szo
03:00 - 10:00]],"=~?")</f>
        <v>0</v>
      </c>
      <c r="E123" s="2">
        <f>COUNTIF(contact[[#This Row],[Bagossy]:[Szo
03:00 - 10:00]],"=x")</f>
        <v>0</v>
      </c>
      <c r="F123" s="2">
        <f>SUM(contact[[#This Row],[?]:[x]])</f>
        <v>0</v>
      </c>
      <c r="G1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" s="3" t="s">
        <v>138</v>
      </c>
      <c r="K123" s="1" t="s">
        <v>2</v>
      </c>
      <c r="L123" s="1" t="s">
        <v>2</v>
      </c>
      <c r="M123" s="1" t="s">
        <v>2</v>
      </c>
      <c r="O123" s="2"/>
      <c r="P123" s="2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s="1" customFormat="1" ht="20.25" customHeight="1" x14ac:dyDescent="0.25">
      <c r="A124" s="2"/>
      <c r="B124" s="2"/>
      <c r="C124" s="2"/>
      <c r="D124" s="2">
        <f>COUNTIF(contact[[#This Row],[Bagossy]:[Szo
03:00 - 10:00]],"=~?")</f>
        <v>0</v>
      </c>
      <c r="E124" s="2">
        <f>COUNTIF(contact[[#This Row],[Bagossy]:[Szo
03:00 - 10:00]],"=x")</f>
        <v>0</v>
      </c>
      <c r="F124" s="2">
        <f>SUM(contact[[#This Row],[?]:[x]])</f>
        <v>0</v>
      </c>
      <c r="G1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" s="3" t="s">
        <v>4403</v>
      </c>
      <c r="K124" s="1" t="s">
        <v>2</v>
      </c>
      <c r="L124" s="1" t="s">
        <v>2</v>
      </c>
      <c r="M124" s="1" t="s">
        <v>2</v>
      </c>
      <c r="O124" s="2"/>
      <c r="P124" s="2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s="1" customFormat="1" ht="20.25" customHeight="1" x14ac:dyDescent="0.25">
      <c r="A125" s="2"/>
      <c r="B125" s="2"/>
      <c r="C125" s="2"/>
      <c r="D125" s="2">
        <f>COUNTIF(contact[[#This Row],[Bagossy]:[Szo
03:00 - 10:00]],"=~?")</f>
        <v>0</v>
      </c>
      <c r="E125" s="2">
        <f>COUNTIF(contact[[#This Row],[Bagossy]:[Szo
03:00 - 10:00]],"=x")</f>
        <v>0</v>
      </c>
      <c r="F125" s="2">
        <f>SUM(contact[[#This Row],[?]:[x]])</f>
        <v>0</v>
      </c>
      <c r="G1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" s="3" t="s">
        <v>3067</v>
      </c>
      <c r="K125" s="1" t="s">
        <v>391</v>
      </c>
      <c r="L125" s="1" t="s">
        <v>2</v>
      </c>
      <c r="M125" s="1" t="s">
        <v>2</v>
      </c>
      <c r="O125" s="2"/>
      <c r="P125" s="2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s="1" customFormat="1" ht="20.25" customHeight="1" x14ac:dyDescent="0.25">
      <c r="A126" s="2"/>
      <c r="B126" s="2"/>
      <c r="C126" s="2"/>
      <c r="D126" s="2">
        <f>COUNTIF(contact[[#This Row],[Bagossy]:[Szo
03:00 - 10:00]],"=~?")</f>
        <v>0</v>
      </c>
      <c r="E126" s="2">
        <f>COUNTIF(contact[[#This Row],[Bagossy]:[Szo
03:00 - 10:00]],"=x")</f>
        <v>0</v>
      </c>
      <c r="F126" s="2">
        <f>SUM(contact[[#This Row],[?]:[x]])</f>
        <v>0</v>
      </c>
      <c r="G1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" s="3" t="s">
        <v>139</v>
      </c>
      <c r="K126" s="1" t="s">
        <v>2</v>
      </c>
      <c r="L126" s="1" t="s">
        <v>2</v>
      </c>
      <c r="M126" s="1" t="s">
        <v>2</v>
      </c>
      <c r="O126" s="2"/>
      <c r="P126" s="2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 s="1" customFormat="1" ht="20.25" customHeight="1" x14ac:dyDescent="0.25">
      <c r="A127" s="2"/>
      <c r="B127" s="2"/>
      <c r="C127" s="2"/>
      <c r="D127" s="2">
        <f>COUNTIF(contact[[#This Row],[Bagossy]:[Szo
03:00 - 10:00]],"=~?")</f>
        <v>0</v>
      </c>
      <c r="E127" s="2">
        <f>COUNTIF(contact[[#This Row],[Bagossy]:[Szo
03:00 - 10:00]],"=x")</f>
        <v>0</v>
      </c>
      <c r="F127" s="2">
        <f>SUM(contact[[#This Row],[?]:[x]])</f>
        <v>0</v>
      </c>
      <c r="G1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" s="3" t="s">
        <v>140</v>
      </c>
      <c r="K127" s="1" t="s">
        <v>2</v>
      </c>
      <c r="L127" s="1" t="s">
        <v>2</v>
      </c>
      <c r="M127" s="1" t="s">
        <v>2</v>
      </c>
      <c r="O127" s="2"/>
      <c r="P127" s="2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s="1" customFormat="1" ht="20.25" customHeight="1" x14ac:dyDescent="0.25">
      <c r="A128" s="2"/>
      <c r="B128" s="2"/>
      <c r="C128" s="2"/>
      <c r="D128" s="2">
        <f>COUNTIF(contact[[#This Row],[Bagossy]:[Szo
03:00 - 10:00]],"=~?")</f>
        <v>0</v>
      </c>
      <c r="E128" s="2">
        <f>COUNTIF(contact[[#This Row],[Bagossy]:[Szo
03:00 - 10:00]],"=x")</f>
        <v>0</v>
      </c>
      <c r="F128" s="2">
        <f>SUM(contact[[#This Row],[?]:[x]])</f>
        <v>0</v>
      </c>
      <c r="G1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8" s="2"/>
      <c r="I128" s="2"/>
      <c r="J128" s="3" t="s">
        <v>1942</v>
      </c>
      <c r="K128" s="1" t="s">
        <v>438</v>
      </c>
      <c r="L128" s="1" t="s">
        <v>2</v>
      </c>
      <c r="M128" s="1" t="s">
        <v>2</v>
      </c>
      <c r="O128" s="2"/>
      <c r="P128" s="2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s="1" customFormat="1" ht="20.25" customHeight="1" x14ac:dyDescent="0.25">
      <c r="A129" s="2"/>
      <c r="B129" s="2"/>
      <c r="C129" s="2"/>
      <c r="D129" s="2">
        <f>COUNTIF(contact[[#This Row],[Bagossy]:[Szo
03:00 - 10:00]],"=~?")</f>
        <v>0</v>
      </c>
      <c r="E129" s="2">
        <f>COUNTIF(contact[[#This Row],[Bagossy]:[Szo
03:00 - 10:00]],"=x")</f>
        <v>0</v>
      </c>
      <c r="F129" s="2">
        <f>SUM(contact[[#This Row],[?]:[x]])</f>
        <v>0</v>
      </c>
      <c r="G1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" s="3" t="s">
        <v>4374</v>
      </c>
      <c r="K129" s="1" t="s">
        <v>2</v>
      </c>
      <c r="L129" s="1" t="s">
        <v>2</v>
      </c>
      <c r="M129" s="1" t="s">
        <v>2</v>
      </c>
      <c r="O129" s="2"/>
      <c r="P129" s="2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s="1" customFormat="1" ht="20.25" customHeight="1" x14ac:dyDescent="0.25">
      <c r="A130" s="2"/>
      <c r="B130" s="2"/>
      <c r="C130" s="2"/>
      <c r="D130" s="2">
        <f>COUNTIF(contact[[#This Row],[Bagossy]:[Szo
03:00 - 10:00]],"=~?")</f>
        <v>0</v>
      </c>
      <c r="E130" s="2">
        <f>COUNTIF(contact[[#This Row],[Bagossy]:[Szo
03:00 - 10:00]],"=x")</f>
        <v>0</v>
      </c>
      <c r="F130" s="2">
        <f>SUM(contact[[#This Row],[?]:[x]])</f>
        <v>0</v>
      </c>
      <c r="G1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0" s="2"/>
      <c r="I130" s="2"/>
      <c r="J130" s="3" t="s">
        <v>1943</v>
      </c>
      <c r="K130" s="1" t="s">
        <v>92</v>
      </c>
      <c r="L130" s="1" t="s">
        <v>2</v>
      </c>
      <c r="M130" s="1" t="s">
        <v>2</v>
      </c>
      <c r="O130" s="2"/>
      <c r="P130" s="2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s="1" customFormat="1" ht="20.25" customHeight="1" x14ac:dyDescent="0.25">
      <c r="A131" s="2"/>
      <c r="B131" s="2"/>
      <c r="C131" s="2"/>
      <c r="D131" s="2">
        <f>COUNTIF(contact[[#This Row],[Bagossy]:[Szo
03:00 - 10:00]],"=~?")</f>
        <v>0</v>
      </c>
      <c r="E131" s="2">
        <f>COUNTIF(contact[[#This Row],[Bagossy]:[Szo
03:00 - 10:00]],"=x")</f>
        <v>0</v>
      </c>
      <c r="F131" s="2">
        <f>SUM(contact[[#This Row],[?]:[x]])</f>
        <v>0</v>
      </c>
      <c r="G1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" s="3" t="s">
        <v>3857</v>
      </c>
      <c r="K131" s="1" t="s">
        <v>671</v>
      </c>
      <c r="L131" s="1" t="s">
        <v>2</v>
      </c>
      <c r="M131" s="1" t="s">
        <v>2</v>
      </c>
      <c r="O131" s="2"/>
      <c r="P131" s="2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s="1" customFormat="1" ht="20.25" customHeight="1" x14ac:dyDescent="0.25">
      <c r="A132" s="2"/>
      <c r="B132" s="2"/>
      <c r="C132" s="2"/>
      <c r="D132" s="2">
        <f>COUNTIF(contact[[#This Row],[Bagossy]:[Szo
03:00 - 10:00]],"=~?")</f>
        <v>0</v>
      </c>
      <c r="E132" s="2">
        <f>COUNTIF(contact[[#This Row],[Bagossy]:[Szo
03:00 - 10:00]],"=x")</f>
        <v>0</v>
      </c>
      <c r="F132" s="2">
        <f>SUM(contact[[#This Row],[?]:[x]])</f>
        <v>0</v>
      </c>
      <c r="G1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" s="3" t="s">
        <v>2478</v>
      </c>
      <c r="K132" s="1" t="s">
        <v>1420</v>
      </c>
      <c r="L132" s="1" t="s">
        <v>2</v>
      </c>
      <c r="M132" s="1" t="s">
        <v>2</v>
      </c>
      <c r="O132" s="2"/>
      <c r="P132" s="2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s="1" customFormat="1" ht="20.25" customHeight="1" x14ac:dyDescent="0.25">
      <c r="A133" s="2"/>
      <c r="B133" s="2"/>
      <c r="C133" s="2"/>
      <c r="D133" s="2">
        <f>COUNTIF(contact[[#This Row],[Bagossy]:[Szo
03:00 - 10:00]],"=~?")</f>
        <v>0</v>
      </c>
      <c r="E133" s="2">
        <f>COUNTIF(contact[[#This Row],[Bagossy]:[Szo
03:00 - 10:00]],"=x")</f>
        <v>0</v>
      </c>
      <c r="F133" s="2">
        <f>SUM(contact[[#This Row],[?]:[x]])</f>
        <v>0</v>
      </c>
      <c r="G1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" s="3" t="s">
        <v>3147</v>
      </c>
      <c r="K133" s="1" t="s">
        <v>669</v>
      </c>
      <c r="L133" s="1" t="s">
        <v>2</v>
      </c>
      <c r="M133" s="1" t="s">
        <v>2</v>
      </c>
      <c r="O133" s="2"/>
      <c r="P133" s="2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s="1" customFormat="1" ht="20.25" customHeight="1" x14ac:dyDescent="0.25">
      <c r="A134" s="2"/>
      <c r="B134" s="2"/>
      <c r="C134" s="2"/>
      <c r="D134" s="2">
        <f>COUNTIF(contact[[#This Row],[Bagossy]:[Szo
03:00 - 10:00]],"=~?")</f>
        <v>0</v>
      </c>
      <c r="E134" s="2">
        <f>COUNTIF(contact[[#This Row],[Bagossy]:[Szo
03:00 - 10:00]],"=x")</f>
        <v>0</v>
      </c>
      <c r="F134" s="2">
        <f>SUM(contact[[#This Row],[?]:[x]])</f>
        <v>0</v>
      </c>
      <c r="G1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" s="3" t="s">
        <v>141</v>
      </c>
      <c r="K134" s="1" t="s">
        <v>2</v>
      </c>
      <c r="L134" s="1" t="s">
        <v>2</v>
      </c>
      <c r="M134" s="1" t="s">
        <v>2</v>
      </c>
      <c r="O134" s="2"/>
      <c r="P134" s="2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s="1" customFormat="1" ht="20.25" customHeight="1" x14ac:dyDescent="0.25">
      <c r="A135" s="2"/>
      <c r="B135" s="2"/>
      <c r="C135" s="2"/>
      <c r="D135" s="2">
        <f>COUNTIF(contact[[#This Row],[Bagossy]:[Szo
03:00 - 10:00]],"=~?")</f>
        <v>0</v>
      </c>
      <c r="E135" s="2">
        <f>COUNTIF(contact[[#This Row],[Bagossy]:[Szo
03:00 - 10:00]],"=x")</f>
        <v>0</v>
      </c>
      <c r="F135" s="2">
        <f>SUM(contact[[#This Row],[?]:[x]])</f>
        <v>0</v>
      </c>
      <c r="G1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" s="3" t="s">
        <v>4125</v>
      </c>
      <c r="K135" s="1" t="s">
        <v>1110</v>
      </c>
      <c r="L135" s="1" t="s">
        <v>2</v>
      </c>
      <c r="M135" s="1" t="s">
        <v>2</v>
      </c>
      <c r="O135" s="2"/>
      <c r="P135" s="2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s="1" customFormat="1" ht="20.25" customHeight="1" x14ac:dyDescent="0.25">
      <c r="A136" s="2"/>
      <c r="B136" s="2"/>
      <c r="C136" s="2"/>
      <c r="D136" s="2">
        <f>COUNTIF(contact[[#This Row],[Bagossy]:[Szo
03:00 - 10:00]],"=~?")</f>
        <v>0</v>
      </c>
      <c r="E136" s="2">
        <f>COUNTIF(contact[[#This Row],[Bagossy]:[Szo
03:00 - 10:00]],"=x")</f>
        <v>0</v>
      </c>
      <c r="F136" s="2">
        <f>SUM(contact[[#This Row],[?]:[x]])</f>
        <v>0</v>
      </c>
      <c r="G1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" s="3" t="s">
        <v>2071</v>
      </c>
      <c r="K136" s="1" t="s">
        <v>1303</v>
      </c>
      <c r="L136" s="1" t="s">
        <v>2</v>
      </c>
      <c r="M136" s="1" t="s">
        <v>2</v>
      </c>
      <c r="O136" s="2"/>
      <c r="P136" s="2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s="1" customFormat="1" ht="20.25" customHeight="1" x14ac:dyDescent="0.25">
      <c r="A137" s="2"/>
      <c r="B137" s="2"/>
      <c r="C137" s="2"/>
      <c r="D137" s="2">
        <f>COUNTIF(contact[[#This Row],[Bagossy]:[Szo
03:00 - 10:00]],"=~?")</f>
        <v>0</v>
      </c>
      <c r="E137" s="2">
        <f>COUNTIF(contact[[#This Row],[Bagossy]:[Szo
03:00 - 10:00]],"=x")</f>
        <v>0</v>
      </c>
      <c r="F137" s="2">
        <f>SUM(contact[[#This Row],[?]:[x]])</f>
        <v>0</v>
      </c>
      <c r="G1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" s="3" t="s">
        <v>2223</v>
      </c>
      <c r="K137" s="1" t="s">
        <v>188</v>
      </c>
      <c r="L137" s="1" t="s">
        <v>2</v>
      </c>
      <c r="M137" s="1" t="s">
        <v>2</v>
      </c>
      <c r="O137" s="2"/>
      <c r="P137" s="2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 s="1" customFormat="1" ht="20.25" customHeight="1" x14ac:dyDescent="0.25">
      <c r="A138" s="2"/>
      <c r="B138" s="2"/>
      <c r="C138" s="2"/>
      <c r="D138" s="2">
        <f>COUNTIF(contact[[#This Row],[Bagossy]:[Szo
03:00 - 10:00]],"=~?")</f>
        <v>0</v>
      </c>
      <c r="E138" s="2">
        <f>COUNTIF(contact[[#This Row],[Bagossy]:[Szo
03:00 - 10:00]],"=x")</f>
        <v>0</v>
      </c>
      <c r="F138" s="2">
        <f>SUM(contact[[#This Row],[?]:[x]])</f>
        <v>0</v>
      </c>
      <c r="G1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" s="3" t="s">
        <v>2466</v>
      </c>
      <c r="K138" s="1" t="s">
        <v>325</v>
      </c>
      <c r="L138" s="1" t="s">
        <v>2</v>
      </c>
      <c r="M138" s="1" t="s">
        <v>2</v>
      </c>
      <c r="O138" s="2"/>
      <c r="P138" s="2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s="1" customFormat="1" ht="20.25" customHeight="1" x14ac:dyDescent="0.25">
      <c r="A139" s="2"/>
      <c r="B139" s="2"/>
      <c r="C139" s="2"/>
      <c r="D139" s="2">
        <f>COUNTIF(contact[[#This Row],[Bagossy]:[Szo
03:00 - 10:00]],"=~?")</f>
        <v>0</v>
      </c>
      <c r="E139" s="2">
        <f>COUNTIF(contact[[#This Row],[Bagossy]:[Szo
03:00 - 10:00]],"=x")</f>
        <v>0</v>
      </c>
      <c r="F139" s="2">
        <f>SUM(contact[[#This Row],[?]:[x]])</f>
        <v>0</v>
      </c>
      <c r="G1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" s="3" t="s">
        <v>2252</v>
      </c>
      <c r="K139" s="1" t="s">
        <v>1327</v>
      </c>
      <c r="L139" s="1" t="s">
        <v>2</v>
      </c>
      <c r="M139" s="1" t="s">
        <v>2</v>
      </c>
      <c r="O139" s="2"/>
      <c r="P139" s="2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 s="1" customFormat="1" ht="20.25" customHeight="1" x14ac:dyDescent="0.25">
      <c r="A140" s="2"/>
      <c r="B140" s="2"/>
      <c r="C140" s="2"/>
      <c r="D140" s="2">
        <f>COUNTIF(contact[[#This Row],[Bagossy]:[Szo
03:00 - 10:00]],"=~?")</f>
        <v>0</v>
      </c>
      <c r="E140" s="2">
        <f>COUNTIF(contact[[#This Row],[Bagossy]:[Szo
03:00 - 10:00]],"=x")</f>
        <v>0</v>
      </c>
      <c r="F140" s="2">
        <f>SUM(contact[[#This Row],[?]:[x]])</f>
        <v>0</v>
      </c>
      <c r="G1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" s="3" t="s">
        <v>3954</v>
      </c>
      <c r="K140" s="1" t="s">
        <v>2</v>
      </c>
      <c r="L140" s="1" t="s">
        <v>2</v>
      </c>
      <c r="M140" s="1" t="s">
        <v>2</v>
      </c>
      <c r="O140" s="2"/>
      <c r="P140" s="2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s="1" customFormat="1" ht="20.25" customHeight="1" x14ac:dyDescent="0.25">
      <c r="A141" s="2"/>
      <c r="B141" s="2"/>
      <c r="C141" s="2"/>
      <c r="D141" s="2">
        <f>COUNTIF(contact[[#This Row],[Bagossy]:[Szo
03:00 - 10:00]],"=~?")</f>
        <v>0</v>
      </c>
      <c r="E141" s="2">
        <f>COUNTIF(contact[[#This Row],[Bagossy]:[Szo
03:00 - 10:00]],"=x")</f>
        <v>0</v>
      </c>
      <c r="F141" s="2">
        <f>SUM(contact[[#This Row],[?]:[x]])</f>
        <v>0</v>
      </c>
      <c r="G1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" s="3" t="s">
        <v>148</v>
      </c>
      <c r="K141" s="1" t="s">
        <v>2</v>
      </c>
      <c r="L141" s="1" t="s">
        <v>2</v>
      </c>
      <c r="M141" s="1" t="s">
        <v>2</v>
      </c>
      <c r="O141" s="2"/>
      <c r="P141" s="2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s="1" customFormat="1" ht="20.25" customHeight="1" x14ac:dyDescent="0.25">
      <c r="A142" s="2"/>
      <c r="B142" s="2"/>
      <c r="C142" s="2"/>
      <c r="D142" s="2">
        <f>COUNTIF(contact[[#This Row],[Bagossy]:[Szo
03:00 - 10:00]],"=~?")</f>
        <v>0</v>
      </c>
      <c r="E142" s="2">
        <f>COUNTIF(contact[[#This Row],[Bagossy]:[Szo
03:00 - 10:00]],"=x")</f>
        <v>0</v>
      </c>
      <c r="F142" s="2">
        <f>SUM(contact[[#This Row],[?]:[x]])</f>
        <v>0</v>
      </c>
      <c r="G1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" s="3" t="s">
        <v>149</v>
      </c>
      <c r="K142" s="1" t="s">
        <v>2</v>
      </c>
      <c r="L142" s="1" t="s">
        <v>2</v>
      </c>
      <c r="M142" s="1" t="s">
        <v>2</v>
      </c>
      <c r="O142" s="2"/>
      <c r="P142" s="2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s="1" customFormat="1" ht="20.25" customHeight="1" x14ac:dyDescent="0.25">
      <c r="A143" s="2"/>
      <c r="B143" s="2"/>
      <c r="C143" s="2"/>
      <c r="D143" s="2">
        <f>COUNTIF(contact[[#This Row],[Bagossy]:[Szo
03:00 - 10:00]],"=~?")</f>
        <v>0</v>
      </c>
      <c r="E143" s="2">
        <f>COUNTIF(contact[[#This Row],[Bagossy]:[Szo
03:00 - 10:00]],"=x")</f>
        <v>0</v>
      </c>
      <c r="F143" s="2">
        <f>SUM(contact[[#This Row],[?]:[x]])</f>
        <v>0</v>
      </c>
      <c r="G1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" s="3" t="s">
        <v>2574</v>
      </c>
      <c r="K143" s="1" t="s">
        <v>2</v>
      </c>
      <c r="L143" s="1" t="s">
        <v>2</v>
      </c>
      <c r="M143" s="1" t="s">
        <v>2</v>
      </c>
      <c r="O143" s="2"/>
      <c r="P143" s="2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s="1" customFormat="1" ht="20.25" customHeight="1" x14ac:dyDescent="0.25">
      <c r="A144" s="2"/>
      <c r="B144" s="2"/>
      <c r="C144" s="2"/>
      <c r="D144" s="2">
        <f>COUNTIF(contact[[#This Row],[Bagossy]:[Szo
03:00 - 10:00]],"=~?")</f>
        <v>0</v>
      </c>
      <c r="E144" s="2">
        <f>COUNTIF(contact[[#This Row],[Bagossy]:[Szo
03:00 - 10:00]],"=x")</f>
        <v>0</v>
      </c>
      <c r="F144" s="2">
        <f>SUM(contact[[#This Row],[?]:[x]])</f>
        <v>0</v>
      </c>
      <c r="G1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" s="3" t="s">
        <v>183</v>
      </c>
      <c r="K144" s="1" t="s">
        <v>2</v>
      </c>
      <c r="L144" s="1" t="s">
        <v>2</v>
      </c>
      <c r="M144" s="1" t="s">
        <v>2</v>
      </c>
      <c r="O144" s="2"/>
      <c r="P144" s="2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 s="1" customFormat="1" ht="20.25" customHeight="1" x14ac:dyDescent="0.25">
      <c r="A145" s="2"/>
      <c r="B145" s="2"/>
      <c r="C145" s="2"/>
      <c r="D145" s="2">
        <f>COUNTIF(contact[[#This Row],[Bagossy]:[Szo
03:00 - 10:00]],"=~?")</f>
        <v>0</v>
      </c>
      <c r="E145" s="2">
        <f>COUNTIF(contact[[#This Row],[Bagossy]:[Szo
03:00 - 10:00]],"=x")</f>
        <v>0</v>
      </c>
      <c r="F145" s="2">
        <f>SUM(contact[[#This Row],[?]:[x]])</f>
        <v>0</v>
      </c>
      <c r="G1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5" s="2"/>
      <c r="I145" s="2"/>
      <c r="J145" s="3" t="s">
        <v>1945</v>
      </c>
      <c r="K145" s="1" t="s">
        <v>1297</v>
      </c>
      <c r="L145" s="1" t="s">
        <v>2</v>
      </c>
      <c r="M145" s="1" t="s">
        <v>2</v>
      </c>
      <c r="O145" s="2"/>
      <c r="P145" s="2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s="1" customFormat="1" ht="20.25" customHeight="1" x14ac:dyDescent="0.25">
      <c r="A146" s="2"/>
      <c r="B146" s="2"/>
      <c r="C146" s="2"/>
      <c r="D146" s="2">
        <f>COUNTIF(contact[[#This Row],[Bagossy]:[Szo
03:00 - 10:00]],"=~?")</f>
        <v>0</v>
      </c>
      <c r="E146" s="2">
        <f>COUNTIF(contact[[#This Row],[Bagossy]:[Szo
03:00 - 10:00]],"=x")</f>
        <v>0</v>
      </c>
      <c r="F146" s="2">
        <f>SUM(contact[[#This Row],[?]:[x]])</f>
        <v>0</v>
      </c>
      <c r="G1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" s="3" t="s">
        <v>184</v>
      </c>
      <c r="K146" s="1" t="s">
        <v>2</v>
      </c>
      <c r="L146" s="1" t="s">
        <v>2</v>
      </c>
      <c r="M146" s="1" t="s">
        <v>2</v>
      </c>
      <c r="O146" s="2"/>
      <c r="P146" s="2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s="1" customFormat="1" ht="20.25" customHeight="1" x14ac:dyDescent="0.25">
      <c r="A147" s="2"/>
      <c r="B147" s="2"/>
      <c r="C147" s="2"/>
      <c r="D147" s="2">
        <f>COUNTIF(contact[[#This Row],[Bagossy]:[Szo
03:00 - 10:00]],"=~?")</f>
        <v>0</v>
      </c>
      <c r="E147" s="2">
        <f>COUNTIF(contact[[#This Row],[Bagossy]:[Szo
03:00 - 10:00]],"=x")</f>
        <v>0</v>
      </c>
      <c r="F147" s="2">
        <f>SUM(contact[[#This Row],[?]:[x]])</f>
        <v>0</v>
      </c>
      <c r="G1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" s="3" t="s">
        <v>185</v>
      </c>
      <c r="K147" s="1" t="s">
        <v>2</v>
      </c>
      <c r="L147" s="1" t="s">
        <v>2</v>
      </c>
      <c r="M147" s="1" t="s">
        <v>2</v>
      </c>
      <c r="O147" s="2"/>
      <c r="P147" s="2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s="1" customFormat="1" ht="20.25" customHeight="1" x14ac:dyDescent="0.25">
      <c r="A148" s="2"/>
      <c r="B148" s="2"/>
      <c r="C148" s="2"/>
      <c r="D148" s="2">
        <f>COUNTIF(contact[[#This Row],[Bagossy]:[Szo
03:00 - 10:00]],"=~?")</f>
        <v>0</v>
      </c>
      <c r="E148" s="2">
        <f>COUNTIF(contact[[#This Row],[Bagossy]:[Szo
03:00 - 10:00]],"=x")</f>
        <v>0</v>
      </c>
      <c r="F148" s="2">
        <f>SUM(contact[[#This Row],[?]:[x]])</f>
        <v>0</v>
      </c>
      <c r="G1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" s="3" t="s">
        <v>4126</v>
      </c>
      <c r="K148" s="1" t="s">
        <v>1111</v>
      </c>
      <c r="L148" s="1" t="s">
        <v>2</v>
      </c>
      <c r="M148" s="1" t="s">
        <v>2</v>
      </c>
      <c r="O148" s="2"/>
      <c r="P148" s="2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s="1" customFormat="1" ht="20.25" customHeight="1" x14ac:dyDescent="0.25">
      <c r="A149" s="2"/>
      <c r="B149" s="2"/>
      <c r="C149" s="2"/>
      <c r="D149" s="2">
        <f>COUNTIF(contact[[#This Row],[Bagossy]:[Szo
03:00 - 10:00]],"=~?")</f>
        <v>0</v>
      </c>
      <c r="E149" s="2">
        <f>COUNTIF(contact[[#This Row],[Bagossy]:[Szo
03:00 - 10:00]],"=x")</f>
        <v>0</v>
      </c>
      <c r="F149" s="2">
        <f>SUM(contact[[#This Row],[?]:[x]])</f>
        <v>0</v>
      </c>
      <c r="G1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" s="3" t="s">
        <v>186</v>
      </c>
      <c r="K149" s="1" t="s">
        <v>2</v>
      </c>
      <c r="L149" s="1" t="s">
        <v>2</v>
      </c>
      <c r="M149" s="1" t="s">
        <v>2</v>
      </c>
      <c r="O149" s="2"/>
      <c r="P149" s="2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 s="1" customFormat="1" ht="20.25" customHeight="1" x14ac:dyDescent="0.25">
      <c r="A150" s="2"/>
      <c r="B150" s="2"/>
      <c r="C150" s="2"/>
      <c r="D150" s="2">
        <f>COUNTIF(contact[[#This Row],[Bagossy]:[Szo
03:00 - 10:00]],"=~?")</f>
        <v>0</v>
      </c>
      <c r="E150" s="2">
        <f>COUNTIF(contact[[#This Row],[Bagossy]:[Szo
03:00 - 10:00]],"=x")</f>
        <v>0</v>
      </c>
      <c r="F150" s="2">
        <f>SUM(contact[[#This Row],[?]:[x]])</f>
        <v>0</v>
      </c>
      <c r="G1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" s="3" t="s">
        <v>187</v>
      </c>
      <c r="K150" s="1" t="s">
        <v>2</v>
      </c>
      <c r="L150" s="1" t="s">
        <v>2</v>
      </c>
      <c r="M150" s="1" t="s">
        <v>2</v>
      </c>
      <c r="O150" s="2"/>
      <c r="P150" s="2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s="1" customFormat="1" ht="20.25" customHeight="1" x14ac:dyDescent="0.25">
      <c r="A151" s="2"/>
      <c r="B151" s="2"/>
      <c r="C151" s="2"/>
      <c r="D151" s="2">
        <f>COUNTIF(contact[[#This Row],[Bagossy]:[Szo
03:00 - 10:00]],"=~?")</f>
        <v>0</v>
      </c>
      <c r="E151" s="2">
        <f>COUNTIF(contact[[#This Row],[Bagossy]:[Szo
03:00 - 10:00]],"=x")</f>
        <v>0</v>
      </c>
      <c r="F151" s="2">
        <f>SUM(contact[[#This Row],[?]:[x]])</f>
        <v>0</v>
      </c>
      <c r="G1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" s="3" t="s">
        <v>4161</v>
      </c>
      <c r="K151" s="1" t="s">
        <v>391</v>
      </c>
      <c r="L151" s="1" t="s">
        <v>2</v>
      </c>
      <c r="M151" s="1" t="s">
        <v>2</v>
      </c>
      <c r="O151" s="2"/>
      <c r="P151" s="2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 s="1" customFormat="1" ht="20.25" customHeight="1" x14ac:dyDescent="0.25">
      <c r="A152" s="2"/>
      <c r="B152" s="2"/>
      <c r="C152" s="2"/>
      <c r="D152" s="2">
        <f>COUNTIF(contact[[#This Row],[Bagossy]:[Szo
03:00 - 10:00]],"=~?")</f>
        <v>0</v>
      </c>
      <c r="E152" s="2">
        <f>COUNTIF(contact[[#This Row],[Bagossy]:[Szo
03:00 - 10:00]],"=x")</f>
        <v>0</v>
      </c>
      <c r="F152" s="2">
        <f>SUM(contact[[#This Row],[?]:[x]])</f>
        <v>0</v>
      </c>
      <c r="G1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" s="3" t="s">
        <v>2651</v>
      </c>
      <c r="K152" s="1" t="s">
        <v>429</v>
      </c>
      <c r="L152" s="1" t="s">
        <v>2</v>
      </c>
      <c r="M152" s="1" t="s">
        <v>2</v>
      </c>
      <c r="O152" s="2"/>
      <c r="P152" s="2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s="1" customFormat="1" ht="20.25" customHeight="1" x14ac:dyDescent="0.25">
      <c r="A153" s="2"/>
      <c r="B153" s="2"/>
      <c r="C153" s="2"/>
      <c r="D153" s="2">
        <f>COUNTIF(contact[[#This Row],[Bagossy]:[Szo
03:00 - 10:00]],"=~?")</f>
        <v>0</v>
      </c>
      <c r="E153" s="2">
        <f>COUNTIF(contact[[#This Row],[Bagossy]:[Szo
03:00 - 10:00]],"=x")</f>
        <v>0</v>
      </c>
      <c r="F153" s="2">
        <f>SUM(contact[[#This Row],[?]:[x]])</f>
        <v>0</v>
      </c>
      <c r="G1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" s="3" t="s">
        <v>3279</v>
      </c>
      <c r="K153" s="1" t="s">
        <v>730</v>
      </c>
      <c r="L153" s="1" t="s">
        <v>2</v>
      </c>
      <c r="M153" s="1" t="s">
        <v>2</v>
      </c>
      <c r="O153" s="2"/>
      <c r="P153" s="2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s="1" customFormat="1" ht="20.25" customHeight="1" x14ac:dyDescent="0.25">
      <c r="A154" s="2"/>
      <c r="B154" s="2"/>
      <c r="C154" s="2"/>
      <c r="D154" s="2">
        <f>COUNTIF(contact[[#This Row],[Bagossy]:[Szo
03:00 - 10:00]],"=~?")</f>
        <v>0</v>
      </c>
      <c r="E154" s="2">
        <f>COUNTIF(contact[[#This Row],[Bagossy]:[Szo
03:00 - 10:00]],"=x")</f>
        <v>0</v>
      </c>
      <c r="F154" s="2">
        <f>SUM(contact[[#This Row],[?]:[x]])</f>
        <v>0</v>
      </c>
      <c r="G1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" s="3" t="s">
        <v>3858</v>
      </c>
      <c r="K154" s="1" t="s">
        <v>985</v>
      </c>
      <c r="L154" s="1" t="s">
        <v>2</v>
      </c>
      <c r="M154" s="1" t="s">
        <v>2</v>
      </c>
      <c r="O154" s="2"/>
      <c r="P154" s="2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s="1" customFormat="1" ht="20.25" customHeight="1" x14ac:dyDescent="0.25">
      <c r="A155" s="2"/>
      <c r="B155" s="2"/>
      <c r="C155" s="2"/>
      <c r="D155" s="2">
        <f>COUNTIF(contact[[#This Row],[Bagossy]:[Szo
03:00 - 10:00]],"=~?")</f>
        <v>0</v>
      </c>
      <c r="E155" s="2">
        <f>COUNTIF(contact[[#This Row],[Bagossy]:[Szo
03:00 - 10:00]],"=x")</f>
        <v>0</v>
      </c>
      <c r="F155" s="2">
        <f>SUM(contact[[#This Row],[?]:[x]])</f>
        <v>0</v>
      </c>
      <c r="G1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" s="3" t="s">
        <v>4269</v>
      </c>
      <c r="K155" s="1" t="s">
        <v>1828</v>
      </c>
      <c r="L155" s="1" t="s">
        <v>2</v>
      </c>
      <c r="M155" s="1" t="s">
        <v>2</v>
      </c>
      <c r="O155" s="2"/>
      <c r="P155" s="2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 s="1" customFormat="1" ht="20.25" customHeight="1" x14ac:dyDescent="0.25">
      <c r="A156" s="2"/>
      <c r="B156" s="2"/>
      <c r="C156" s="2"/>
      <c r="D156" s="2">
        <f>COUNTIF(contact[[#This Row],[Bagossy]:[Szo
03:00 - 10:00]],"=~?")</f>
        <v>0</v>
      </c>
      <c r="E156" s="2">
        <f>COUNTIF(contact[[#This Row],[Bagossy]:[Szo
03:00 - 10:00]],"=x")</f>
        <v>0</v>
      </c>
      <c r="F156" s="2">
        <f>SUM(contact[[#This Row],[?]:[x]])</f>
        <v>0</v>
      </c>
      <c r="G1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" s="3" t="s">
        <v>3859</v>
      </c>
      <c r="K156" s="1" t="s">
        <v>2</v>
      </c>
      <c r="L156" s="1" t="s">
        <v>2</v>
      </c>
      <c r="M156" s="1" t="s">
        <v>2</v>
      </c>
      <c r="O156" s="2"/>
      <c r="P156" s="2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s="1" customFormat="1" ht="20.25" customHeight="1" x14ac:dyDescent="0.25">
      <c r="A157" s="2"/>
      <c r="B157" s="2"/>
      <c r="C157" s="2"/>
      <c r="D157" s="2">
        <f>COUNTIF(contact[[#This Row],[Bagossy]:[Szo
03:00 - 10:00]],"=~?")</f>
        <v>0</v>
      </c>
      <c r="E157" s="2">
        <f>COUNTIF(contact[[#This Row],[Bagossy]:[Szo
03:00 - 10:00]],"=x")</f>
        <v>0</v>
      </c>
      <c r="F157" s="2">
        <f>SUM(contact[[#This Row],[?]:[x]])</f>
        <v>0</v>
      </c>
      <c r="G1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" s="3" t="s">
        <v>2003</v>
      </c>
      <c r="K157" s="1" t="s">
        <v>62</v>
      </c>
      <c r="L157" s="1" t="s">
        <v>2</v>
      </c>
      <c r="M157" s="1" t="s">
        <v>2</v>
      </c>
      <c r="O157" s="2"/>
      <c r="P157" s="2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s="1" customFormat="1" ht="20.25" customHeight="1" x14ac:dyDescent="0.25">
      <c r="A158" s="2"/>
      <c r="B158" s="2"/>
      <c r="C158" s="2"/>
      <c r="D158" s="2">
        <f>COUNTIF(contact[[#This Row],[Bagossy]:[Szo
03:00 - 10:00]],"=~?")</f>
        <v>0</v>
      </c>
      <c r="E158" s="2">
        <f>COUNTIF(contact[[#This Row],[Bagossy]:[Szo
03:00 - 10:00]],"=x")</f>
        <v>0</v>
      </c>
      <c r="F158" s="2">
        <f>SUM(contact[[#This Row],[?]:[x]])</f>
        <v>0</v>
      </c>
      <c r="G1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" s="3" t="s">
        <v>3575</v>
      </c>
      <c r="K158" s="1" t="s">
        <v>856</v>
      </c>
      <c r="L158" s="1" t="s">
        <v>2</v>
      </c>
      <c r="M158" s="1" t="s">
        <v>2</v>
      </c>
      <c r="O158" s="2"/>
      <c r="P158" s="2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s="1" customFormat="1" ht="20.25" customHeight="1" x14ac:dyDescent="0.25">
      <c r="A159" s="2"/>
      <c r="B159" s="2"/>
      <c r="C159" s="2"/>
      <c r="D159" s="2">
        <f>COUNTIF(contact[[#This Row],[Bagossy]:[Szo
03:00 - 10:00]],"=~?")</f>
        <v>0</v>
      </c>
      <c r="E159" s="2">
        <f>COUNTIF(contact[[#This Row],[Bagossy]:[Szo
03:00 - 10:00]],"=x")</f>
        <v>0</v>
      </c>
      <c r="F159" s="2">
        <f>SUM(contact[[#This Row],[?]:[x]])</f>
        <v>0</v>
      </c>
      <c r="G1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" s="3" t="s">
        <v>4157</v>
      </c>
      <c r="K159" s="1" t="s">
        <v>2</v>
      </c>
      <c r="L159" s="1" t="s">
        <v>2</v>
      </c>
      <c r="M159" s="1" t="s">
        <v>2</v>
      </c>
      <c r="O159" s="2"/>
      <c r="P159" s="2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s="1" customFormat="1" ht="20.25" customHeight="1" x14ac:dyDescent="0.25">
      <c r="A160" s="2"/>
      <c r="B160" s="2"/>
      <c r="C160" s="2"/>
      <c r="D160" s="2">
        <f>COUNTIF(contact[[#This Row],[Bagossy]:[Szo
03:00 - 10:00]],"=~?")</f>
        <v>0</v>
      </c>
      <c r="E160" s="2">
        <f>COUNTIF(contact[[#This Row],[Bagossy]:[Szo
03:00 - 10:00]],"=x")</f>
        <v>0</v>
      </c>
      <c r="F160" s="2">
        <f>SUM(contact[[#This Row],[?]:[x]])</f>
        <v>0</v>
      </c>
      <c r="G1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0" s="2"/>
      <c r="I160" s="2"/>
      <c r="J160" s="3" t="s">
        <v>1946</v>
      </c>
      <c r="K160" s="1" t="s">
        <v>794</v>
      </c>
      <c r="L160" s="1" t="s">
        <v>2</v>
      </c>
      <c r="M160" s="1" t="s">
        <v>2</v>
      </c>
      <c r="O160" s="2"/>
      <c r="P160" s="2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s="1" customFormat="1" ht="20.25" customHeight="1" x14ac:dyDescent="0.25">
      <c r="A161" s="2"/>
      <c r="B161" s="2"/>
      <c r="C161" s="2"/>
      <c r="D161" s="2">
        <f>COUNTIF(contact[[#This Row],[Bagossy]:[Szo
03:00 - 10:00]],"=~?")</f>
        <v>0</v>
      </c>
      <c r="E161" s="2">
        <f>COUNTIF(contact[[#This Row],[Bagossy]:[Szo
03:00 - 10:00]],"=x")</f>
        <v>0</v>
      </c>
      <c r="F161" s="2">
        <f>SUM(contact[[#This Row],[?]:[x]])</f>
        <v>0</v>
      </c>
      <c r="G1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1" s="3" t="s">
        <v>1903</v>
      </c>
      <c r="K161" s="1" t="s">
        <v>8</v>
      </c>
      <c r="L161" s="1" t="s">
        <v>2</v>
      </c>
      <c r="M161" s="1" t="s">
        <v>2</v>
      </c>
      <c r="O161" s="2"/>
      <c r="P161" s="2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 s="1" customFormat="1" ht="20.25" customHeight="1" x14ac:dyDescent="0.25">
      <c r="A162" s="2"/>
      <c r="B162" s="2"/>
      <c r="C162" s="2"/>
      <c r="D162" s="2">
        <f>COUNTIF(contact[[#This Row],[Bagossy]:[Szo
03:00 - 10:00]],"=~?")</f>
        <v>0</v>
      </c>
      <c r="E162" s="2">
        <f>COUNTIF(contact[[#This Row],[Bagossy]:[Szo
03:00 - 10:00]],"=x")</f>
        <v>0</v>
      </c>
      <c r="F162" s="2">
        <f>SUM(contact[[#This Row],[?]:[x]])</f>
        <v>0</v>
      </c>
      <c r="G1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" s="3" t="s">
        <v>3803</v>
      </c>
      <c r="K162" s="1" t="s">
        <v>1715</v>
      </c>
      <c r="L162" s="1" t="s">
        <v>2</v>
      </c>
      <c r="M162" s="1" t="s">
        <v>2</v>
      </c>
      <c r="O162" s="2"/>
      <c r="P162" s="2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s="1" customFormat="1" ht="20.25" customHeight="1" x14ac:dyDescent="0.25">
      <c r="A163" s="2"/>
      <c r="B163" s="2"/>
      <c r="C163" s="2"/>
      <c r="D163" s="2">
        <f>COUNTIF(contact[[#This Row],[Bagossy]:[Szo
03:00 - 10:00]],"=~?")</f>
        <v>0</v>
      </c>
      <c r="E163" s="2">
        <f>COUNTIF(contact[[#This Row],[Bagossy]:[Szo
03:00 - 10:00]],"=x")</f>
        <v>0</v>
      </c>
      <c r="F163" s="2">
        <f>SUM(contact[[#This Row],[?]:[x]])</f>
        <v>0</v>
      </c>
      <c r="G1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3" s="2"/>
      <c r="I163" s="2"/>
      <c r="J163" s="3" t="s">
        <v>1984</v>
      </c>
      <c r="K163" s="1" t="s">
        <v>6</v>
      </c>
      <c r="L163" s="1" t="s">
        <v>2</v>
      </c>
      <c r="M163" s="1" t="s">
        <v>2</v>
      </c>
      <c r="O163" s="2"/>
      <c r="P163" s="2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s="1" customFormat="1" ht="20.25" customHeight="1" x14ac:dyDescent="0.25">
      <c r="A164" s="2"/>
      <c r="B164" s="2"/>
      <c r="C164" s="2"/>
      <c r="D164" s="2">
        <f>COUNTIF(contact[[#This Row],[Bagossy]:[Szo
03:00 - 10:00]],"=~?")</f>
        <v>0</v>
      </c>
      <c r="E164" s="2">
        <f>COUNTIF(contact[[#This Row],[Bagossy]:[Szo
03:00 - 10:00]],"=x")</f>
        <v>0</v>
      </c>
      <c r="F164" s="2">
        <f>SUM(contact[[#This Row],[?]:[x]])</f>
        <v>0</v>
      </c>
      <c r="G1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" s="3" t="s">
        <v>4446</v>
      </c>
      <c r="K164" s="1" t="s">
        <v>2</v>
      </c>
      <c r="L164" s="1" t="s">
        <v>2</v>
      </c>
      <c r="M164" s="1" t="s">
        <v>2</v>
      </c>
      <c r="O164" s="2"/>
      <c r="P164" s="2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s="1" customFormat="1" ht="20.25" customHeight="1" x14ac:dyDescent="0.25">
      <c r="A165" s="2"/>
      <c r="B165" s="2"/>
      <c r="C165" s="2"/>
      <c r="D165" s="2">
        <f>COUNTIF(contact[[#This Row],[Bagossy]:[Szo
03:00 - 10:00]],"=~?")</f>
        <v>0</v>
      </c>
      <c r="E165" s="2">
        <f>COUNTIF(contact[[#This Row],[Bagossy]:[Szo
03:00 - 10:00]],"=x")</f>
        <v>0</v>
      </c>
      <c r="F165" s="2">
        <f>SUM(contact[[#This Row],[?]:[x]])</f>
        <v>0</v>
      </c>
      <c r="G1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5" s="2"/>
      <c r="I165" s="2"/>
      <c r="J165" s="3" t="s">
        <v>1987</v>
      </c>
      <c r="K165" s="1" t="s">
        <v>6</v>
      </c>
      <c r="L165" s="1" t="s">
        <v>2</v>
      </c>
      <c r="M165" s="1" t="s">
        <v>2</v>
      </c>
      <c r="O165" s="2"/>
      <c r="P165" s="2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s="1" customFormat="1" ht="20.25" customHeight="1" x14ac:dyDescent="0.25">
      <c r="A166" s="2"/>
      <c r="B166" s="2"/>
      <c r="C166" s="2"/>
      <c r="D166" s="2">
        <f>COUNTIF(contact[[#This Row],[Bagossy]:[Szo
03:00 - 10:00]],"=~?")</f>
        <v>0</v>
      </c>
      <c r="E166" s="2">
        <f>COUNTIF(contact[[#This Row],[Bagossy]:[Szo
03:00 - 10:00]],"=x")</f>
        <v>0</v>
      </c>
      <c r="F166" s="2">
        <f>SUM(contact[[#This Row],[?]:[x]])</f>
        <v>0</v>
      </c>
      <c r="G1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" s="3" t="s">
        <v>1987</v>
      </c>
      <c r="K166" s="1" t="s">
        <v>2</v>
      </c>
      <c r="L166" s="1" t="s">
        <v>2</v>
      </c>
      <c r="M166" s="1" t="s">
        <v>2</v>
      </c>
      <c r="O166" s="2"/>
      <c r="P166" s="2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s="1" customFormat="1" ht="20.25" customHeight="1" x14ac:dyDescent="0.25">
      <c r="A167" s="2"/>
      <c r="B167" s="2"/>
      <c r="C167" s="2"/>
      <c r="D167" s="2">
        <f>COUNTIF(contact[[#This Row],[Bagossy]:[Szo
03:00 - 10:00]],"=~?")</f>
        <v>0</v>
      </c>
      <c r="E167" s="2">
        <f>COUNTIF(contact[[#This Row],[Bagossy]:[Szo
03:00 - 10:00]],"=x")</f>
        <v>0</v>
      </c>
      <c r="F167" s="2">
        <f>SUM(contact[[#This Row],[?]:[x]])</f>
        <v>0</v>
      </c>
      <c r="G1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7" s="2"/>
      <c r="I167" s="2"/>
      <c r="J167" s="3" t="s">
        <v>1989</v>
      </c>
      <c r="K167" s="1" t="s">
        <v>1306</v>
      </c>
      <c r="L167" s="1" t="s">
        <v>2</v>
      </c>
      <c r="M167" s="1" t="s">
        <v>2</v>
      </c>
      <c r="O167" s="2"/>
      <c r="P167" s="2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s="1" customFormat="1" ht="20.25" customHeight="1" x14ac:dyDescent="0.25">
      <c r="A168" s="2"/>
      <c r="B168" s="2"/>
      <c r="C168" s="2"/>
      <c r="D168" s="2">
        <f>COUNTIF(contact[[#This Row],[Bagossy]:[Szo
03:00 - 10:00]],"=~?")</f>
        <v>0</v>
      </c>
      <c r="E168" s="2">
        <f>COUNTIF(contact[[#This Row],[Bagossy]:[Szo
03:00 - 10:00]],"=x")</f>
        <v>0</v>
      </c>
      <c r="F168" s="2">
        <f>SUM(contact[[#This Row],[?]:[x]])</f>
        <v>0</v>
      </c>
      <c r="G1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8" s="2"/>
      <c r="I168" s="2"/>
      <c r="J168" s="3" t="s">
        <v>1998</v>
      </c>
      <c r="K168" s="1" t="s">
        <v>6</v>
      </c>
      <c r="L168" s="1" t="s">
        <v>2</v>
      </c>
      <c r="M168" s="1" t="s">
        <v>2</v>
      </c>
      <c r="O168" s="2"/>
      <c r="P168" s="2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s="1" customFormat="1" ht="20.25" customHeight="1" x14ac:dyDescent="0.25">
      <c r="A169" s="2"/>
      <c r="B169" s="2"/>
      <c r="C169" s="2"/>
      <c r="D169" s="2">
        <f>COUNTIF(contact[[#This Row],[Bagossy]:[Szo
03:00 - 10:00]],"=~?")</f>
        <v>0</v>
      </c>
      <c r="E169" s="2">
        <f>COUNTIF(contact[[#This Row],[Bagossy]:[Szo
03:00 - 10:00]],"=x")</f>
        <v>0</v>
      </c>
      <c r="F169" s="2">
        <f>SUM(contact[[#This Row],[?]:[x]])</f>
        <v>0</v>
      </c>
      <c r="G1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" s="3" t="s">
        <v>3945</v>
      </c>
      <c r="K169" s="1" t="s">
        <v>1743</v>
      </c>
      <c r="L169" s="1" t="s">
        <v>2</v>
      </c>
      <c r="M169" s="1" t="s">
        <v>2</v>
      </c>
      <c r="O169" s="2"/>
      <c r="P169" s="2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s="1" customFormat="1" ht="20.25" customHeight="1" x14ac:dyDescent="0.25">
      <c r="A170" s="2"/>
      <c r="B170" s="2"/>
      <c r="C170" s="2"/>
      <c r="D170" s="2">
        <f>COUNTIF(contact[[#This Row],[Bagossy]:[Szo
03:00 - 10:00]],"=~?")</f>
        <v>0</v>
      </c>
      <c r="E170" s="2">
        <f>COUNTIF(contact[[#This Row],[Bagossy]:[Szo
03:00 - 10:00]],"=x")</f>
        <v>0</v>
      </c>
      <c r="F170" s="2">
        <f>SUM(contact[[#This Row],[?]:[x]])</f>
        <v>0</v>
      </c>
      <c r="G1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0" s="2"/>
      <c r="I170" s="2"/>
      <c r="J170" s="3" t="s">
        <v>1999</v>
      </c>
      <c r="K170" s="1" t="s">
        <v>1309</v>
      </c>
      <c r="L170" s="1" t="s">
        <v>2</v>
      </c>
      <c r="M170" s="1" t="s">
        <v>2</v>
      </c>
      <c r="O170" s="2"/>
      <c r="P170" s="2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s="1" customFormat="1" ht="20.25" customHeight="1" x14ac:dyDescent="0.25">
      <c r="A171" s="2"/>
      <c r="B171" s="2"/>
      <c r="C171" s="2"/>
      <c r="D171" s="2">
        <f>COUNTIF(contact[[#This Row],[Bagossy]:[Szo
03:00 - 10:00]],"=~?")</f>
        <v>0</v>
      </c>
      <c r="E171" s="2">
        <f>COUNTIF(contact[[#This Row],[Bagossy]:[Szo
03:00 - 10:00]],"=x")</f>
        <v>0</v>
      </c>
      <c r="F171" s="2">
        <f>SUM(contact[[#This Row],[?]:[x]])</f>
        <v>0</v>
      </c>
      <c r="G1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" s="3" t="s">
        <v>4513</v>
      </c>
      <c r="K171" s="1" t="s">
        <v>10</v>
      </c>
      <c r="L171" s="1" t="s">
        <v>2</v>
      </c>
      <c r="M171" s="1" t="s">
        <v>2</v>
      </c>
      <c r="O171" s="2"/>
      <c r="P171" s="2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s="1" customFormat="1" ht="20.25" customHeight="1" x14ac:dyDescent="0.25">
      <c r="A172" s="2"/>
      <c r="B172" s="2"/>
      <c r="C172" s="2"/>
      <c r="D172" s="2">
        <f>COUNTIF(contact[[#This Row],[Bagossy]:[Szo
03:00 - 10:00]],"=~?")</f>
        <v>0</v>
      </c>
      <c r="E172" s="2">
        <f>COUNTIF(contact[[#This Row],[Bagossy]:[Szo
03:00 - 10:00]],"=x")</f>
        <v>0</v>
      </c>
      <c r="F172" s="2">
        <f>SUM(contact[[#This Row],[?]:[x]])</f>
        <v>0</v>
      </c>
      <c r="G1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2" s="3" t="s">
        <v>2919</v>
      </c>
      <c r="K172" s="1" t="s">
        <v>1517</v>
      </c>
      <c r="L172" s="1" t="s">
        <v>2</v>
      </c>
      <c r="M172" s="1" t="s">
        <v>2</v>
      </c>
      <c r="O172" s="2"/>
      <c r="P172" s="2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s="1" customFormat="1" ht="20.25" customHeight="1" x14ac:dyDescent="0.25">
      <c r="A173" s="2"/>
      <c r="B173" s="2"/>
      <c r="C173" s="2"/>
      <c r="D173" s="2">
        <f>COUNTIF(contact[[#This Row],[Bagossy]:[Szo
03:00 - 10:00]],"=~?")</f>
        <v>0</v>
      </c>
      <c r="E173" s="2">
        <f>COUNTIF(contact[[#This Row],[Bagossy]:[Szo
03:00 - 10:00]],"=x")</f>
        <v>0</v>
      </c>
      <c r="F173" s="2">
        <f>SUM(contact[[#This Row],[?]:[x]])</f>
        <v>0</v>
      </c>
      <c r="G1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" s="3" t="s">
        <v>2282</v>
      </c>
      <c r="K173" s="1" t="s">
        <v>1327</v>
      </c>
      <c r="L173" s="1" t="s">
        <v>2</v>
      </c>
      <c r="M173" s="1" t="s">
        <v>2</v>
      </c>
      <c r="O173" s="2"/>
      <c r="P173" s="2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s="1" customFormat="1" ht="20.25" customHeight="1" x14ac:dyDescent="0.25">
      <c r="A174" s="2"/>
      <c r="B174" s="2"/>
      <c r="C174" s="2"/>
      <c r="D174" s="2">
        <f>COUNTIF(contact[[#This Row],[Bagossy]:[Szo
03:00 - 10:00]],"=~?")</f>
        <v>0</v>
      </c>
      <c r="E174" s="2">
        <f>COUNTIF(contact[[#This Row],[Bagossy]:[Szo
03:00 - 10:00]],"=x")</f>
        <v>0</v>
      </c>
      <c r="F174" s="2">
        <f>SUM(contact[[#This Row],[?]:[x]])</f>
        <v>0</v>
      </c>
      <c r="G1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" s="3" t="s">
        <v>4514</v>
      </c>
      <c r="K174" s="1" t="s">
        <v>1881</v>
      </c>
      <c r="L174" s="1" t="s">
        <v>2</v>
      </c>
      <c r="M174" s="1" t="s">
        <v>2</v>
      </c>
      <c r="O174" s="2"/>
      <c r="P174" s="2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s="1" customFormat="1" ht="20.25" customHeight="1" x14ac:dyDescent="0.25">
      <c r="A175" s="2"/>
      <c r="B175" s="2"/>
      <c r="C175" s="2"/>
      <c r="D175" s="2">
        <f>COUNTIF(contact[[#This Row],[Bagossy]:[Szo
03:00 - 10:00]],"=~?")</f>
        <v>0</v>
      </c>
      <c r="E175" s="2">
        <f>COUNTIF(contact[[#This Row],[Bagossy]:[Szo
03:00 - 10:00]],"=x")</f>
        <v>0</v>
      </c>
      <c r="F175" s="2">
        <f>SUM(contact[[#This Row],[?]:[x]])</f>
        <v>0</v>
      </c>
      <c r="G1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" s="3" t="s">
        <v>2383</v>
      </c>
      <c r="K175" s="1" t="s">
        <v>2</v>
      </c>
      <c r="L175" s="1" t="s">
        <v>2</v>
      </c>
      <c r="M175" s="1" t="s">
        <v>2</v>
      </c>
      <c r="O175" s="2"/>
      <c r="P175" s="2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s="1" customFormat="1" ht="20.25" customHeight="1" x14ac:dyDescent="0.25">
      <c r="A176" s="2"/>
      <c r="B176" s="2"/>
      <c r="C176" s="2"/>
      <c r="D176" s="2">
        <f>COUNTIF(contact[[#This Row],[Bagossy]:[Szo
03:00 - 10:00]],"=~?")</f>
        <v>0</v>
      </c>
      <c r="E176" s="2">
        <f>COUNTIF(contact[[#This Row],[Bagossy]:[Szo
03:00 - 10:00]],"=x")</f>
        <v>0</v>
      </c>
      <c r="F176" s="2">
        <f>SUM(contact[[#This Row],[?]:[x]])</f>
        <v>0</v>
      </c>
      <c r="G1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" s="3" t="s">
        <v>2959</v>
      </c>
      <c r="K176" s="1" t="s">
        <v>581</v>
      </c>
      <c r="L176" s="1" t="s">
        <v>2</v>
      </c>
      <c r="M176" s="1" t="s">
        <v>2</v>
      </c>
      <c r="O176" s="2"/>
      <c r="P176" s="2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s="1" customFormat="1" ht="20.25" customHeight="1" x14ac:dyDescent="0.25">
      <c r="A177" s="2"/>
      <c r="B177" s="2"/>
      <c r="C177" s="2"/>
      <c r="D177" s="2">
        <f>COUNTIF(contact[[#This Row],[Bagossy]:[Szo
03:00 - 10:00]],"=~?")</f>
        <v>0</v>
      </c>
      <c r="E177" s="2">
        <f>COUNTIF(contact[[#This Row],[Bagossy]:[Szo
03:00 - 10:00]],"=x")</f>
        <v>0</v>
      </c>
      <c r="F177" s="2">
        <f>SUM(contact[[#This Row],[?]:[x]])</f>
        <v>0</v>
      </c>
      <c r="G1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7" s="3" t="s">
        <v>3729</v>
      </c>
      <c r="K177" s="1" t="s">
        <v>2</v>
      </c>
      <c r="L177" s="1" t="s">
        <v>2</v>
      </c>
      <c r="M177" s="1" t="s">
        <v>2</v>
      </c>
      <c r="O177" s="2"/>
      <c r="P177" s="2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 s="1" customFormat="1" ht="20.25" customHeight="1" x14ac:dyDescent="0.25">
      <c r="A178" s="2"/>
      <c r="B178" s="2"/>
      <c r="C178" s="2"/>
      <c r="D178" s="2">
        <f>COUNTIF(contact[[#This Row],[Bagossy]:[Szo
03:00 - 10:00]],"=~?")</f>
        <v>0</v>
      </c>
      <c r="E178" s="2">
        <f>COUNTIF(contact[[#This Row],[Bagossy]:[Szo
03:00 - 10:00]],"=x")</f>
        <v>0</v>
      </c>
      <c r="F178" s="2">
        <f>SUM(contact[[#This Row],[?]:[x]])</f>
        <v>0</v>
      </c>
      <c r="G1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8" s="3" t="s">
        <v>2819</v>
      </c>
      <c r="K178" s="1" t="s">
        <v>510</v>
      </c>
      <c r="L178" s="1" t="s">
        <v>2</v>
      </c>
      <c r="M178" s="1" t="s">
        <v>2</v>
      </c>
      <c r="O178" s="2"/>
      <c r="P178" s="2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s="1" customFormat="1" ht="20.25" customHeight="1" x14ac:dyDescent="0.25">
      <c r="A179" s="2"/>
      <c r="B179" s="2"/>
      <c r="C179" s="2"/>
      <c r="D179" s="2">
        <f>COUNTIF(contact[[#This Row],[Bagossy]:[Szo
03:00 - 10:00]],"=~?")</f>
        <v>0</v>
      </c>
      <c r="E179" s="2">
        <f>COUNTIF(contact[[#This Row],[Bagossy]:[Szo
03:00 - 10:00]],"=x")</f>
        <v>0</v>
      </c>
      <c r="F179" s="2">
        <f>SUM(contact[[#This Row],[?]:[x]])</f>
        <v>0</v>
      </c>
      <c r="G1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9" s="2"/>
      <c r="I179" s="2"/>
      <c r="J179" s="3" t="s">
        <v>2002</v>
      </c>
      <c r="K179" s="1" t="s">
        <v>687</v>
      </c>
      <c r="L179" s="1" t="s">
        <v>2</v>
      </c>
      <c r="M179" s="1" t="s">
        <v>2</v>
      </c>
      <c r="O179" s="2"/>
      <c r="P179" s="2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 s="1" customFormat="1" ht="20.25" customHeight="1" x14ac:dyDescent="0.25">
      <c r="A180" s="2"/>
      <c r="B180" s="2"/>
      <c r="C180" s="2"/>
      <c r="D180" s="2">
        <f>COUNTIF(contact[[#This Row],[Bagossy]:[Szo
03:00 - 10:00]],"=~?")</f>
        <v>0</v>
      </c>
      <c r="E180" s="2">
        <f>COUNTIF(contact[[#This Row],[Bagossy]:[Szo
03:00 - 10:00]],"=x")</f>
        <v>0</v>
      </c>
      <c r="F180" s="2">
        <f>SUM(contact[[#This Row],[?]:[x]])</f>
        <v>0</v>
      </c>
      <c r="G1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" s="3" t="s">
        <v>2993</v>
      </c>
      <c r="K180" s="1" t="s">
        <v>458</v>
      </c>
      <c r="L180" s="1" t="s">
        <v>2</v>
      </c>
      <c r="M180" s="1" t="s">
        <v>2</v>
      </c>
      <c r="O180" s="2"/>
      <c r="P180" s="2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 s="1" customFormat="1" ht="20.25" customHeight="1" x14ac:dyDescent="0.25">
      <c r="A181" s="2"/>
      <c r="B181" s="2"/>
      <c r="C181" s="2"/>
      <c r="D181" s="2">
        <f>COUNTIF(contact[[#This Row],[Bagossy]:[Szo
03:00 - 10:00]],"=~?")</f>
        <v>0</v>
      </c>
      <c r="E181" s="2">
        <f>COUNTIF(contact[[#This Row],[Bagossy]:[Szo
03:00 - 10:00]],"=x")</f>
        <v>0</v>
      </c>
      <c r="F181" s="2">
        <f>SUM(contact[[#This Row],[?]:[x]])</f>
        <v>0</v>
      </c>
      <c r="G1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1" s="3" t="s">
        <v>3976</v>
      </c>
      <c r="K181" s="1" t="s">
        <v>1750</v>
      </c>
      <c r="L181" s="1" t="s">
        <v>2</v>
      </c>
      <c r="M181" s="1" t="s">
        <v>2</v>
      </c>
      <c r="O181" s="2"/>
      <c r="P181" s="2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 s="1" customFormat="1" ht="20.25" customHeight="1" x14ac:dyDescent="0.25">
      <c r="A182" s="2"/>
      <c r="B182" s="2"/>
      <c r="C182" s="2"/>
      <c r="D182" s="2">
        <f>COUNTIF(contact[[#This Row],[Bagossy]:[Szo
03:00 - 10:00]],"=~?")</f>
        <v>0</v>
      </c>
      <c r="E182" s="2">
        <f>COUNTIF(contact[[#This Row],[Bagossy]:[Szo
03:00 - 10:00]],"=x")</f>
        <v>0</v>
      </c>
      <c r="F182" s="2">
        <f>SUM(contact[[#This Row],[?]:[x]])</f>
        <v>0</v>
      </c>
      <c r="G1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" s="3" t="s">
        <v>4396</v>
      </c>
      <c r="K182" s="1" t="s">
        <v>2</v>
      </c>
      <c r="L182" s="1" t="s">
        <v>2</v>
      </c>
      <c r="M182" s="1" t="s">
        <v>2</v>
      </c>
      <c r="O182" s="2"/>
      <c r="P182" s="2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s="1" customFormat="1" ht="20.25" customHeight="1" x14ac:dyDescent="0.25">
      <c r="A183" s="2"/>
      <c r="B183" s="2"/>
      <c r="C183" s="2"/>
      <c r="D183" s="2">
        <f>COUNTIF(contact[[#This Row],[Bagossy]:[Szo
03:00 - 10:00]],"=~?")</f>
        <v>0</v>
      </c>
      <c r="E183" s="2">
        <f>COUNTIF(contact[[#This Row],[Bagossy]:[Szo
03:00 - 10:00]],"=x")</f>
        <v>0</v>
      </c>
      <c r="F183" s="2">
        <f>SUM(contact[[#This Row],[?]:[x]])</f>
        <v>0</v>
      </c>
      <c r="G1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" s="3" t="s">
        <v>3268</v>
      </c>
      <c r="K183" s="1" t="s">
        <v>1606</v>
      </c>
      <c r="L183" s="1" t="s">
        <v>2</v>
      </c>
      <c r="M183" s="1" t="s">
        <v>2</v>
      </c>
      <c r="O183" s="2"/>
      <c r="P183" s="2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s="1" customFormat="1" ht="20.25" customHeight="1" x14ac:dyDescent="0.25">
      <c r="A184" s="2"/>
      <c r="B184" s="2"/>
      <c r="C184" s="2"/>
      <c r="D184" s="2">
        <f>COUNTIF(contact[[#This Row],[Bagossy]:[Szo
03:00 - 10:00]],"=~?")</f>
        <v>0</v>
      </c>
      <c r="E184" s="2">
        <f>COUNTIF(contact[[#This Row],[Bagossy]:[Szo
03:00 - 10:00]],"=x")</f>
        <v>0</v>
      </c>
      <c r="F184" s="2">
        <f>SUM(contact[[#This Row],[?]:[x]])</f>
        <v>0</v>
      </c>
      <c r="G1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" s="3" t="s">
        <v>2375</v>
      </c>
      <c r="K184" s="1" t="s">
        <v>272</v>
      </c>
      <c r="L184" s="1" t="s">
        <v>2</v>
      </c>
      <c r="M184" s="1" t="s">
        <v>2</v>
      </c>
      <c r="O184" s="2"/>
      <c r="P184" s="2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s="1" customFormat="1" ht="20.25" customHeight="1" x14ac:dyDescent="0.25">
      <c r="A185" s="2"/>
      <c r="B185" s="2"/>
      <c r="C185" s="2"/>
      <c r="D185" s="2">
        <f>COUNTIF(contact[[#This Row],[Bagossy]:[Szo
03:00 - 10:00]],"=~?")</f>
        <v>0</v>
      </c>
      <c r="E185" s="2">
        <f>COUNTIF(contact[[#This Row],[Bagossy]:[Szo
03:00 - 10:00]],"=x")</f>
        <v>0</v>
      </c>
      <c r="F185" s="2">
        <f>SUM(contact[[#This Row],[?]:[x]])</f>
        <v>0</v>
      </c>
      <c r="G1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5" s="3" t="s">
        <v>3664</v>
      </c>
      <c r="K185" s="1" t="s">
        <v>2</v>
      </c>
      <c r="L185" s="1" t="s">
        <v>2</v>
      </c>
      <c r="M185" s="1" t="s">
        <v>2</v>
      </c>
      <c r="O185" s="2"/>
      <c r="P185" s="2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s="1" customFormat="1" ht="20.25" customHeight="1" x14ac:dyDescent="0.25">
      <c r="A186" s="2"/>
      <c r="B186" s="2"/>
      <c r="C186" s="2"/>
      <c r="D186" s="2">
        <f>COUNTIF(contact[[#This Row],[Bagossy]:[Szo
03:00 - 10:00]],"=~?")</f>
        <v>0</v>
      </c>
      <c r="E186" s="2">
        <f>COUNTIF(contact[[#This Row],[Bagossy]:[Szo
03:00 - 10:00]],"=x")</f>
        <v>0</v>
      </c>
      <c r="F186" s="2">
        <f>SUM(contact[[#This Row],[?]:[x]])</f>
        <v>0</v>
      </c>
      <c r="G1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" s="3" t="s">
        <v>2072</v>
      </c>
      <c r="K186" s="1" t="s">
        <v>1330</v>
      </c>
      <c r="L186" s="1" t="s">
        <v>2</v>
      </c>
      <c r="M186" s="1" t="s">
        <v>2</v>
      </c>
      <c r="O186" s="2"/>
      <c r="P186" s="2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s="1" customFormat="1" ht="20.25" customHeight="1" x14ac:dyDescent="0.25">
      <c r="A187" s="2"/>
      <c r="B187" s="2"/>
      <c r="C187" s="2"/>
      <c r="D187" s="2">
        <f>COUNTIF(contact[[#This Row],[Bagossy]:[Szo
03:00 - 10:00]],"=~?")</f>
        <v>0</v>
      </c>
      <c r="E187" s="2">
        <f>COUNTIF(contact[[#This Row],[Bagossy]:[Szo
03:00 - 10:00]],"=x")</f>
        <v>0</v>
      </c>
      <c r="F187" s="2">
        <f>SUM(contact[[#This Row],[?]:[x]])</f>
        <v>0</v>
      </c>
      <c r="G1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" s="3" t="s">
        <v>3860</v>
      </c>
      <c r="K187" s="1" t="s">
        <v>1728</v>
      </c>
      <c r="L187" s="1" t="s">
        <v>2</v>
      </c>
      <c r="M187" s="1" t="s">
        <v>2</v>
      </c>
      <c r="O187" s="2"/>
      <c r="P187" s="2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s="1" customFormat="1" ht="20.25" customHeight="1" x14ac:dyDescent="0.25">
      <c r="A188" s="2"/>
      <c r="B188" s="2"/>
      <c r="C188" s="2"/>
      <c r="D188" s="2">
        <f>COUNTIF(contact[[#This Row],[Bagossy]:[Szo
03:00 - 10:00]],"=~?")</f>
        <v>0</v>
      </c>
      <c r="E188" s="2">
        <f>COUNTIF(contact[[#This Row],[Bagossy]:[Szo
03:00 - 10:00]],"=x")</f>
        <v>0</v>
      </c>
      <c r="F188" s="2">
        <f>SUM(contact[[#This Row],[?]:[x]])</f>
        <v>0</v>
      </c>
      <c r="G1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" s="3" t="s">
        <v>2316</v>
      </c>
      <c r="K188" s="1" t="s">
        <v>177</v>
      </c>
      <c r="L188" s="1" t="s">
        <v>2</v>
      </c>
      <c r="M188" s="1" t="s">
        <v>2</v>
      </c>
      <c r="O188" s="2"/>
      <c r="P188" s="2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 s="1" customFormat="1" ht="20.25" customHeight="1" x14ac:dyDescent="0.25">
      <c r="A189" s="2"/>
      <c r="B189" s="2"/>
      <c r="C189" s="2"/>
      <c r="D189" s="2">
        <f>COUNTIF(contact[[#This Row],[Bagossy]:[Szo
03:00 - 10:00]],"=~?")</f>
        <v>0</v>
      </c>
      <c r="E189" s="2">
        <f>COUNTIF(contact[[#This Row],[Bagossy]:[Szo
03:00 - 10:00]],"=x")</f>
        <v>0</v>
      </c>
      <c r="F189" s="2">
        <f>SUM(contact[[#This Row],[?]:[x]])</f>
        <v>0</v>
      </c>
      <c r="G1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" s="3" t="s">
        <v>3643</v>
      </c>
      <c r="K189" s="1" t="s">
        <v>1327</v>
      </c>
      <c r="L189" s="1" t="s">
        <v>2</v>
      </c>
      <c r="M189" s="1" t="s">
        <v>2</v>
      </c>
      <c r="O189" s="2"/>
      <c r="P189" s="2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s="1" customFormat="1" ht="20.25" customHeight="1" x14ac:dyDescent="0.25">
      <c r="A190" s="2"/>
      <c r="B190" s="2"/>
      <c r="C190" s="2"/>
      <c r="D190" s="2">
        <f>COUNTIF(contact[[#This Row],[Bagossy]:[Szo
03:00 - 10:00]],"=~?")</f>
        <v>0</v>
      </c>
      <c r="E190" s="2">
        <f>COUNTIF(contact[[#This Row],[Bagossy]:[Szo
03:00 - 10:00]],"=x")</f>
        <v>0</v>
      </c>
      <c r="F190" s="2">
        <f>SUM(contact[[#This Row],[?]:[x]])</f>
        <v>0</v>
      </c>
      <c r="G1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" s="3" t="s">
        <v>1981</v>
      </c>
      <c r="K190" s="1" t="s">
        <v>2</v>
      </c>
      <c r="L190" s="1" t="s">
        <v>2</v>
      </c>
      <c r="M190" s="1" t="s">
        <v>2</v>
      </c>
      <c r="O190" s="2"/>
      <c r="P190" s="2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s="1" customFormat="1" ht="20.25" customHeight="1" x14ac:dyDescent="0.25">
      <c r="A191" s="2"/>
      <c r="B191" s="2"/>
      <c r="C191" s="2"/>
      <c r="D191" s="2">
        <f>COUNTIF(contact[[#This Row],[Bagossy]:[Szo
03:00 - 10:00]],"=~?")</f>
        <v>0</v>
      </c>
      <c r="E191" s="2">
        <f>COUNTIF(contact[[#This Row],[Bagossy]:[Szo
03:00 - 10:00]],"=x")</f>
        <v>0</v>
      </c>
      <c r="F191" s="2">
        <f>SUM(contact[[#This Row],[?]:[x]])</f>
        <v>0</v>
      </c>
      <c r="G1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" s="3" t="s">
        <v>2014</v>
      </c>
      <c r="K191" s="1" t="s">
        <v>67</v>
      </c>
      <c r="L191" s="1" t="s">
        <v>2</v>
      </c>
      <c r="M191" s="1" t="s">
        <v>2</v>
      </c>
      <c r="O191" s="2"/>
      <c r="P191" s="2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 s="1" customFormat="1" ht="20.25" customHeight="1" x14ac:dyDescent="0.25">
      <c r="A192" s="2"/>
      <c r="B192" s="2"/>
      <c r="C192" s="2"/>
      <c r="D192" s="2">
        <f>COUNTIF(contact[[#This Row],[Bagossy]:[Szo
03:00 - 10:00]],"=~?")</f>
        <v>0</v>
      </c>
      <c r="E192" s="2">
        <f>COUNTIF(contact[[#This Row],[Bagossy]:[Szo
03:00 - 10:00]],"=x")</f>
        <v>0</v>
      </c>
      <c r="F192" s="2">
        <f>SUM(contact[[#This Row],[?]:[x]])</f>
        <v>0</v>
      </c>
      <c r="G1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" s="3" t="s">
        <v>2314</v>
      </c>
      <c r="K192" s="1" t="s">
        <v>239</v>
      </c>
      <c r="L192" s="1" t="s">
        <v>2</v>
      </c>
      <c r="M192" s="1" t="s">
        <v>2</v>
      </c>
      <c r="O192" s="2"/>
      <c r="P192" s="2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 s="1" customFormat="1" ht="20.25" customHeight="1" x14ac:dyDescent="0.25">
      <c r="A193" s="2"/>
      <c r="B193" s="2"/>
      <c r="C193" s="2"/>
      <c r="D193" s="2">
        <f>COUNTIF(contact[[#This Row],[Bagossy]:[Szo
03:00 - 10:00]],"=~?")</f>
        <v>0</v>
      </c>
      <c r="E193" s="2">
        <f>COUNTIF(contact[[#This Row],[Bagossy]:[Szo
03:00 - 10:00]],"=x")</f>
        <v>0</v>
      </c>
      <c r="F193" s="2">
        <f>SUM(contact[[#This Row],[?]:[x]])</f>
        <v>0</v>
      </c>
      <c r="G1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3" s="2"/>
      <c r="I193" s="2"/>
      <c r="J193" s="3" t="s">
        <v>2006</v>
      </c>
      <c r="K193" s="1" t="s">
        <v>236</v>
      </c>
      <c r="L193" s="1" t="s">
        <v>2</v>
      </c>
      <c r="M193" s="1" t="s">
        <v>2</v>
      </c>
      <c r="O193" s="2"/>
      <c r="P193" s="2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 s="1" customFormat="1" ht="20.25" customHeight="1" x14ac:dyDescent="0.25">
      <c r="A194" s="2"/>
      <c r="B194" s="2"/>
      <c r="C194" s="2"/>
      <c r="D194" s="2">
        <f>COUNTIF(contact[[#This Row],[Bagossy]:[Szo
03:00 - 10:00]],"=~?")</f>
        <v>0</v>
      </c>
      <c r="E194" s="2">
        <f>COUNTIF(contact[[#This Row],[Bagossy]:[Szo
03:00 - 10:00]],"=x")</f>
        <v>0</v>
      </c>
      <c r="F194" s="2">
        <f>SUM(contact[[#This Row],[?]:[x]])</f>
        <v>0</v>
      </c>
      <c r="G1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4" s="3" t="s">
        <v>3353</v>
      </c>
      <c r="K194" s="1" t="s">
        <v>2</v>
      </c>
      <c r="L194" s="1" t="s">
        <v>2</v>
      </c>
      <c r="M194" s="1" t="s">
        <v>2</v>
      </c>
      <c r="O194" s="2"/>
      <c r="P194" s="2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s="1" customFormat="1" ht="20.25" customHeight="1" x14ac:dyDescent="0.25">
      <c r="A195" s="2"/>
      <c r="B195" s="2"/>
      <c r="C195" s="2"/>
      <c r="D195" s="2">
        <f>COUNTIF(contact[[#This Row],[Bagossy]:[Szo
03:00 - 10:00]],"=~?")</f>
        <v>0</v>
      </c>
      <c r="E195" s="2">
        <f>COUNTIF(contact[[#This Row],[Bagossy]:[Szo
03:00 - 10:00]],"=x")</f>
        <v>0</v>
      </c>
      <c r="F195" s="2">
        <f>SUM(contact[[#This Row],[?]:[x]])</f>
        <v>0</v>
      </c>
      <c r="G1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" s="3" t="s">
        <v>3861</v>
      </c>
      <c r="K195" s="1" t="s">
        <v>391</v>
      </c>
      <c r="L195" s="1" t="s">
        <v>2</v>
      </c>
      <c r="M195" s="1" t="s">
        <v>2</v>
      </c>
      <c r="O195" s="2"/>
      <c r="P195" s="2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s="1" customFormat="1" ht="20.25" customHeight="1" x14ac:dyDescent="0.25">
      <c r="A196" s="2"/>
      <c r="B196" s="2"/>
      <c r="C196" s="2"/>
      <c r="D196" s="2">
        <f>COUNTIF(contact[[#This Row],[Bagossy]:[Szo
03:00 - 10:00]],"=~?")</f>
        <v>0</v>
      </c>
      <c r="E196" s="2">
        <f>COUNTIF(contact[[#This Row],[Bagossy]:[Szo
03:00 - 10:00]],"=x")</f>
        <v>0</v>
      </c>
      <c r="F196" s="2">
        <f>SUM(contact[[#This Row],[?]:[x]])</f>
        <v>0</v>
      </c>
      <c r="G1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" s="3" t="s">
        <v>4447</v>
      </c>
      <c r="K196" s="1" t="s">
        <v>2</v>
      </c>
      <c r="L196" s="1" t="s">
        <v>2</v>
      </c>
      <c r="M196" s="1" t="s">
        <v>2</v>
      </c>
      <c r="O196" s="2"/>
      <c r="P196" s="2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s="1" customFormat="1" ht="20.25" customHeight="1" x14ac:dyDescent="0.25">
      <c r="A197" s="2"/>
      <c r="B197" s="2"/>
      <c r="C197" s="2"/>
      <c r="D197" s="2">
        <f>COUNTIF(contact[[#This Row],[Bagossy]:[Szo
03:00 - 10:00]],"=~?")</f>
        <v>0</v>
      </c>
      <c r="E197" s="2">
        <f>COUNTIF(contact[[#This Row],[Bagossy]:[Szo
03:00 - 10:00]],"=x")</f>
        <v>0</v>
      </c>
      <c r="F197" s="2">
        <f>SUM(contact[[#This Row],[?]:[x]])</f>
        <v>0</v>
      </c>
      <c r="G1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7" s="3" t="s">
        <v>4448</v>
      </c>
      <c r="K197" s="1" t="s">
        <v>391</v>
      </c>
      <c r="L197" s="1" t="s">
        <v>2</v>
      </c>
      <c r="M197" s="1" t="s">
        <v>2</v>
      </c>
      <c r="O197" s="2"/>
      <c r="P197" s="2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s="1" customFormat="1" ht="20.25" customHeight="1" x14ac:dyDescent="0.25">
      <c r="A198" s="2"/>
      <c r="B198" s="2"/>
      <c r="C198" s="2"/>
      <c r="D198" s="2">
        <f>COUNTIF(contact[[#This Row],[Bagossy]:[Szo
03:00 - 10:00]],"=~?")</f>
        <v>0</v>
      </c>
      <c r="E198" s="2">
        <f>COUNTIF(contact[[#This Row],[Bagossy]:[Szo
03:00 - 10:00]],"=x")</f>
        <v>0</v>
      </c>
      <c r="F198" s="2">
        <f>SUM(contact[[#This Row],[?]:[x]])</f>
        <v>0</v>
      </c>
      <c r="G1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8" s="3" t="s">
        <v>206</v>
      </c>
      <c r="K198" s="1" t="s">
        <v>2</v>
      </c>
      <c r="L198" s="1" t="s">
        <v>2</v>
      </c>
      <c r="M198" s="1" t="s">
        <v>2</v>
      </c>
      <c r="O198" s="2"/>
      <c r="P198" s="2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s="1" customFormat="1" ht="20.25" customHeight="1" x14ac:dyDescent="0.25">
      <c r="A199" s="2"/>
      <c r="B199" s="2"/>
      <c r="C199" s="2"/>
      <c r="D199" s="2">
        <f>COUNTIF(contact[[#This Row],[Bagossy]:[Szo
03:00 - 10:00]],"=~?")</f>
        <v>0</v>
      </c>
      <c r="E199" s="2">
        <f>COUNTIF(contact[[#This Row],[Bagossy]:[Szo
03:00 - 10:00]],"=x")</f>
        <v>0</v>
      </c>
      <c r="F199" s="2">
        <f>SUM(contact[[#This Row],[?]:[x]])</f>
        <v>0</v>
      </c>
      <c r="G1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" s="3" t="s">
        <v>1982</v>
      </c>
      <c r="K199" s="1" t="s">
        <v>2</v>
      </c>
      <c r="L199" s="1" t="s">
        <v>2</v>
      </c>
      <c r="M199" s="1" t="s">
        <v>2</v>
      </c>
      <c r="O199" s="2"/>
      <c r="P199" s="2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s="1" customFormat="1" ht="20.25" customHeight="1" x14ac:dyDescent="0.25">
      <c r="A200" s="2"/>
      <c r="B200" s="2"/>
      <c r="C200" s="2"/>
      <c r="D200" s="2">
        <f>COUNTIF(contact[[#This Row],[Bagossy]:[Szo
03:00 - 10:00]],"=~?")</f>
        <v>0</v>
      </c>
      <c r="E200" s="2">
        <f>COUNTIF(contact[[#This Row],[Bagossy]:[Szo
03:00 - 10:00]],"=x")</f>
        <v>0</v>
      </c>
      <c r="F200" s="2">
        <f>SUM(contact[[#This Row],[?]:[x]])</f>
        <v>0</v>
      </c>
      <c r="G2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" s="3" t="s">
        <v>2920</v>
      </c>
      <c r="K200" s="1" t="s">
        <v>558</v>
      </c>
      <c r="L200" s="1" t="s">
        <v>2</v>
      </c>
      <c r="M200" s="1" t="s">
        <v>2</v>
      </c>
      <c r="O200" s="2"/>
      <c r="P200" s="2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 s="1" customFormat="1" ht="20.25" customHeight="1" x14ac:dyDescent="0.25">
      <c r="A201" s="2"/>
      <c r="B201" s="2"/>
      <c r="C201" s="2"/>
      <c r="D201" s="2">
        <f>COUNTIF(contact[[#This Row],[Bagossy]:[Szo
03:00 - 10:00]],"=~?")</f>
        <v>0</v>
      </c>
      <c r="E201" s="2">
        <f>COUNTIF(contact[[#This Row],[Bagossy]:[Szo
03:00 - 10:00]],"=x")</f>
        <v>0</v>
      </c>
      <c r="F201" s="2">
        <f>SUM(contact[[#This Row],[?]:[x]])</f>
        <v>0</v>
      </c>
      <c r="G2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" s="3" t="s">
        <v>3068</v>
      </c>
      <c r="K201" s="1" t="s">
        <v>632</v>
      </c>
      <c r="L201" s="1" t="s">
        <v>2</v>
      </c>
      <c r="M201" s="1" t="s">
        <v>2</v>
      </c>
      <c r="O201" s="2"/>
      <c r="P201" s="2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s="1" customFormat="1" ht="20.25" customHeight="1" x14ac:dyDescent="0.25">
      <c r="A202" s="2"/>
      <c r="B202" s="2"/>
      <c r="C202" s="2"/>
      <c r="D202" s="2">
        <f>COUNTIF(contact[[#This Row],[Bagossy]:[Szo
03:00 - 10:00]],"=~?")</f>
        <v>0</v>
      </c>
      <c r="E202" s="2">
        <f>COUNTIF(contact[[#This Row],[Bagossy]:[Szo
03:00 - 10:00]],"=x")</f>
        <v>0</v>
      </c>
      <c r="F202" s="2">
        <f>SUM(contact[[#This Row],[?]:[x]])</f>
        <v>0</v>
      </c>
      <c r="G2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" s="3" t="s">
        <v>3531</v>
      </c>
      <c r="K202" s="1" t="s">
        <v>1665</v>
      </c>
      <c r="L202" s="1" t="s">
        <v>2</v>
      </c>
      <c r="M202" s="1" t="s">
        <v>2</v>
      </c>
      <c r="O202" s="2"/>
      <c r="P202" s="2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 s="1" customFormat="1" ht="20.25" customHeight="1" x14ac:dyDescent="0.25">
      <c r="A203" s="2"/>
      <c r="B203" s="2"/>
      <c r="C203" s="2"/>
      <c r="D203" s="2">
        <f>COUNTIF(contact[[#This Row],[Bagossy]:[Szo
03:00 - 10:00]],"=~?")</f>
        <v>0</v>
      </c>
      <c r="E203" s="2">
        <f>COUNTIF(contact[[#This Row],[Bagossy]:[Szo
03:00 - 10:00]],"=x")</f>
        <v>0</v>
      </c>
      <c r="F203" s="2">
        <f>SUM(contact[[#This Row],[?]:[x]])</f>
        <v>0</v>
      </c>
      <c r="G2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" s="3" t="s">
        <v>2317</v>
      </c>
      <c r="K203" s="1" t="s">
        <v>242</v>
      </c>
      <c r="L203" s="1" t="s">
        <v>2</v>
      </c>
      <c r="M203" s="1" t="s">
        <v>2</v>
      </c>
      <c r="O203" s="2"/>
      <c r="P203" s="2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 s="1" customFormat="1" ht="20.25" customHeight="1" x14ac:dyDescent="0.25">
      <c r="A204" s="2"/>
      <c r="B204" s="2"/>
      <c r="C204" s="2" t="s">
        <v>1285</v>
      </c>
      <c r="D204" s="2">
        <f>COUNTIF(contact[[#This Row],[Bagossy]:[Szo
03:00 - 10:00]],"=~?")</f>
        <v>0</v>
      </c>
      <c r="E204" s="2">
        <f>COUNTIF(contact[[#This Row],[Bagossy]:[Szo
03:00 - 10:00]],"=x")</f>
        <v>0</v>
      </c>
      <c r="F204" s="2">
        <f>SUM(contact[[#This Row],[?]:[x]])</f>
        <v>0</v>
      </c>
      <c r="G2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4" s="2"/>
      <c r="I204" s="2"/>
      <c r="J204" s="3" t="s">
        <v>2008</v>
      </c>
      <c r="K204" s="1" t="s">
        <v>1131</v>
      </c>
      <c r="L204" s="1" t="s">
        <v>2</v>
      </c>
      <c r="M204" s="1" t="s">
        <v>2</v>
      </c>
      <c r="O204" s="2"/>
      <c r="P204" s="2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 s="1" customFormat="1" ht="20.25" customHeight="1" x14ac:dyDescent="0.25">
      <c r="A205" s="2"/>
      <c r="B205" s="2"/>
      <c r="C205" s="2"/>
      <c r="D205" s="2">
        <f>COUNTIF(contact[[#This Row],[Bagossy]:[Szo
03:00 - 10:00]],"=~?")</f>
        <v>0</v>
      </c>
      <c r="E205" s="2">
        <f>COUNTIF(contact[[#This Row],[Bagossy]:[Szo
03:00 - 10:00]],"=x")</f>
        <v>0</v>
      </c>
      <c r="F205" s="2">
        <f>SUM(contact[[#This Row],[?]:[x]])</f>
        <v>0</v>
      </c>
      <c r="G2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" s="3" t="s">
        <v>1948</v>
      </c>
      <c r="K205" s="1" t="s">
        <v>2</v>
      </c>
      <c r="L205" s="1" t="s">
        <v>2</v>
      </c>
      <c r="M205" s="1" t="s">
        <v>2</v>
      </c>
      <c r="O205" s="2"/>
      <c r="P205" s="2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 s="1" customFormat="1" ht="20.25" customHeight="1" x14ac:dyDescent="0.25">
      <c r="A206" s="2"/>
      <c r="B206" s="2"/>
      <c r="C206" s="2"/>
      <c r="D206" s="2">
        <f>COUNTIF(contact[[#This Row],[Bagossy]:[Szo
03:00 - 10:00]],"=~?")</f>
        <v>0</v>
      </c>
      <c r="E206" s="2">
        <f>COUNTIF(contact[[#This Row],[Bagossy]:[Szo
03:00 - 10:00]],"=x")</f>
        <v>0</v>
      </c>
      <c r="F206" s="2">
        <f>SUM(contact[[#This Row],[?]:[x]])</f>
        <v>0</v>
      </c>
      <c r="G2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" s="3" t="s">
        <v>3551</v>
      </c>
      <c r="K206" s="1" t="s">
        <v>1669</v>
      </c>
      <c r="L206" s="1" t="s">
        <v>2</v>
      </c>
      <c r="M206" s="1" t="s">
        <v>2</v>
      </c>
      <c r="O206" s="2"/>
      <c r="P206" s="2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 s="1" customFormat="1" ht="20.25" customHeight="1" x14ac:dyDescent="0.25">
      <c r="A207" s="2"/>
      <c r="B207" s="2"/>
      <c r="C207" s="2"/>
      <c r="D207" s="2">
        <f>COUNTIF(contact[[#This Row],[Bagossy]:[Szo
03:00 - 10:00]],"=~?")</f>
        <v>0</v>
      </c>
      <c r="E207" s="2">
        <f>COUNTIF(contact[[#This Row],[Bagossy]:[Szo
03:00 - 10:00]],"=x")</f>
        <v>0</v>
      </c>
      <c r="F207" s="2">
        <f>SUM(contact[[#This Row],[?]:[x]])</f>
        <v>0</v>
      </c>
      <c r="G2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" s="3" t="s">
        <v>2035</v>
      </c>
      <c r="K207" s="1" t="s">
        <v>1321</v>
      </c>
      <c r="L207" s="1" t="s">
        <v>2</v>
      </c>
      <c r="M207" s="1" t="s">
        <v>2</v>
      </c>
      <c r="O207" s="2"/>
      <c r="P207" s="2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 s="1" customFormat="1" ht="20.25" customHeight="1" x14ac:dyDescent="0.25">
      <c r="A208" s="2"/>
      <c r="B208" s="2"/>
      <c r="C208" s="2"/>
      <c r="D208" s="2">
        <f>COUNTIF(contact[[#This Row],[Bagossy]:[Szo
03:00 - 10:00]],"=~?")</f>
        <v>0</v>
      </c>
      <c r="E208" s="2">
        <f>COUNTIF(contact[[#This Row],[Bagossy]:[Szo
03:00 - 10:00]],"=x")</f>
        <v>0</v>
      </c>
      <c r="F208" s="2">
        <f>SUM(contact[[#This Row],[?]:[x]])</f>
        <v>0</v>
      </c>
      <c r="G2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" s="3" t="s">
        <v>2036</v>
      </c>
      <c r="K208" s="1" t="s">
        <v>2</v>
      </c>
      <c r="L208" s="1" t="s">
        <v>45</v>
      </c>
      <c r="M208" s="1" t="s">
        <v>79</v>
      </c>
      <c r="O208" s="2"/>
      <c r="P208" s="2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 s="1" customFormat="1" ht="20.25" customHeight="1" x14ac:dyDescent="0.25">
      <c r="A209" s="2"/>
      <c r="B209" s="2"/>
      <c r="C209" s="2"/>
      <c r="D209" s="2">
        <f>COUNTIF(contact[[#This Row],[Bagossy]:[Szo
03:00 - 10:00]],"=~?")</f>
        <v>0</v>
      </c>
      <c r="E209" s="2">
        <f>COUNTIF(contact[[#This Row],[Bagossy]:[Szo
03:00 - 10:00]],"=x")</f>
        <v>0</v>
      </c>
      <c r="F209" s="2">
        <f>SUM(contact[[#This Row],[?]:[x]])</f>
        <v>0</v>
      </c>
      <c r="G2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9" s="2"/>
      <c r="I209" s="2"/>
      <c r="J209" s="3" t="s">
        <v>2009</v>
      </c>
      <c r="K209" s="1" t="s">
        <v>6</v>
      </c>
      <c r="L209" s="1" t="s">
        <v>2</v>
      </c>
      <c r="M209" s="1" t="s">
        <v>2</v>
      </c>
      <c r="O209" s="2"/>
      <c r="P209" s="2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 s="1" customFormat="1" ht="20.25" customHeight="1" x14ac:dyDescent="0.25">
      <c r="A210" s="2"/>
      <c r="B210" s="2"/>
      <c r="C210" s="2"/>
      <c r="D210" s="2">
        <f>COUNTIF(contact[[#This Row],[Bagossy]:[Szo
03:00 - 10:00]],"=~?")</f>
        <v>0</v>
      </c>
      <c r="E210" s="2">
        <f>COUNTIF(contact[[#This Row],[Bagossy]:[Szo
03:00 - 10:00]],"=x")</f>
        <v>0</v>
      </c>
      <c r="F210" s="2">
        <f>SUM(contact[[#This Row],[?]:[x]])</f>
        <v>0</v>
      </c>
      <c r="G2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" s="3" t="s">
        <v>2353</v>
      </c>
      <c r="K210" s="1" t="s">
        <v>258</v>
      </c>
      <c r="L210" s="1" t="s">
        <v>2</v>
      </c>
      <c r="M210" s="1" t="s">
        <v>2</v>
      </c>
      <c r="O210" s="2"/>
      <c r="P210" s="2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 s="1" customFormat="1" ht="20.25" customHeight="1" x14ac:dyDescent="0.25">
      <c r="A211" s="2"/>
      <c r="B211" s="2"/>
      <c r="C211" s="2"/>
      <c r="D211" s="2">
        <f>COUNTIF(contact[[#This Row],[Bagossy]:[Szo
03:00 - 10:00]],"=~?")</f>
        <v>0</v>
      </c>
      <c r="E211" s="2">
        <f>COUNTIF(contact[[#This Row],[Bagossy]:[Szo
03:00 - 10:00]],"=x")</f>
        <v>0</v>
      </c>
      <c r="F211" s="2">
        <f>SUM(contact[[#This Row],[?]:[x]])</f>
        <v>0</v>
      </c>
      <c r="G2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1" s="2"/>
      <c r="I211" s="2"/>
      <c r="J211" s="3" t="s">
        <v>2046</v>
      </c>
      <c r="K211" s="1" t="s">
        <v>337</v>
      </c>
      <c r="L211" s="1" t="s">
        <v>2</v>
      </c>
      <c r="M211" s="1" t="s">
        <v>2</v>
      </c>
      <c r="O211" s="2"/>
      <c r="P211" s="2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 s="1" customFormat="1" ht="20.25" customHeight="1" x14ac:dyDescent="0.25">
      <c r="A212" s="2"/>
      <c r="B212" s="2"/>
      <c r="C212" s="2"/>
      <c r="D212" s="2">
        <f>COUNTIF(contact[[#This Row],[Bagossy]:[Szo
03:00 - 10:00]],"=~?")</f>
        <v>0</v>
      </c>
      <c r="E212" s="2">
        <f>COUNTIF(contact[[#This Row],[Bagossy]:[Szo
03:00 - 10:00]],"=x")</f>
        <v>0</v>
      </c>
      <c r="F212" s="2">
        <f>SUM(contact[[#This Row],[?]:[x]])</f>
        <v>0</v>
      </c>
      <c r="G2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2" s="2"/>
      <c r="I212" s="2"/>
      <c r="J212" s="3" t="s">
        <v>2046</v>
      </c>
      <c r="K212" s="1" t="s">
        <v>338</v>
      </c>
      <c r="L212" s="1" t="s">
        <v>2</v>
      </c>
      <c r="M212" s="1" t="s">
        <v>2</v>
      </c>
      <c r="O212" s="2"/>
      <c r="P212" s="2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 s="1" customFormat="1" ht="20.25" customHeight="1" x14ac:dyDescent="0.25">
      <c r="A213" s="2"/>
      <c r="B213" s="2"/>
      <c r="C213" s="2"/>
      <c r="D213" s="2">
        <f>COUNTIF(contact[[#This Row],[Bagossy]:[Szo
03:00 - 10:00]],"=~?")</f>
        <v>0</v>
      </c>
      <c r="E213" s="2">
        <f>COUNTIF(contact[[#This Row],[Bagossy]:[Szo
03:00 - 10:00]],"=x")</f>
        <v>0</v>
      </c>
      <c r="F213" s="2">
        <f>SUM(contact[[#This Row],[?]:[x]])</f>
        <v>0</v>
      </c>
      <c r="G2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" s="3" t="s">
        <v>2629</v>
      </c>
      <c r="K213" s="1" t="s">
        <v>1460</v>
      </c>
      <c r="L213" s="1" t="s">
        <v>2</v>
      </c>
      <c r="M213" s="1" t="s">
        <v>2</v>
      </c>
      <c r="O213" s="2"/>
      <c r="P213" s="2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 s="1" customFormat="1" ht="20.25" customHeight="1" x14ac:dyDescent="0.25">
      <c r="A214" s="2"/>
      <c r="B214" s="2"/>
      <c r="C214" s="2"/>
      <c r="D214" s="2">
        <f>COUNTIF(contact[[#This Row],[Bagossy]:[Szo
03:00 - 10:00]],"=~?")</f>
        <v>0</v>
      </c>
      <c r="E214" s="2">
        <f>COUNTIF(contact[[#This Row],[Bagossy]:[Szo
03:00 - 10:00]],"=x")</f>
        <v>0</v>
      </c>
      <c r="F214" s="2">
        <f>SUM(contact[[#This Row],[?]:[x]])</f>
        <v>0</v>
      </c>
      <c r="G2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" s="3" t="s">
        <v>3255</v>
      </c>
      <c r="K214" s="1" t="s">
        <v>1602</v>
      </c>
      <c r="L214" s="1" t="s">
        <v>2</v>
      </c>
      <c r="M214" s="1" t="s">
        <v>2</v>
      </c>
      <c r="O214" s="2"/>
      <c r="P214" s="2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 s="1" customFormat="1" ht="20.25" customHeight="1" x14ac:dyDescent="0.25">
      <c r="A215" s="2"/>
      <c r="B215" s="2"/>
      <c r="C215" s="2"/>
      <c r="D215" s="2">
        <f>COUNTIF(contact[[#This Row],[Bagossy]:[Szo
03:00 - 10:00]],"=~?")</f>
        <v>0</v>
      </c>
      <c r="E215" s="2">
        <f>COUNTIF(contact[[#This Row],[Bagossy]:[Szo
03:00 - 10:00]],"=x")</f>
        <v>0</v>
      </c>
      <c r="F215" s="2">
        <f>SUM(contact[[#This Row],[?]:[x]])</f>
        <v>0</v>
      </c>
      <c r="G2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" s="3" t="s">
        <v>3269</v>
      </c>
      <c r="K215" s="1" t="s">
        <v>1607</v>
      </c>
      <c r="L215" s="1" t="s">
        <v>2</v>
      </c>
      <c r="M215" s="1" t="s">
        <v>2</v>
      </c>
      <c r="O215" s="2"/>
      <c r="P215" s="2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 s="1" customFormat="1" ht="20.25" customHeight="1" x14ac:dyDescent="0.25">
      <c r="A216" s="2"/>
      <c r="B216" s="2"/>
      <c r="C216" s="2"/>
      <c r="D216" s="2">
        <f>COUNTIF(contact[[#This Row],[Bagossy]:[Szo
03:00 - 10:00]],"=~?")</f>
        <v>0</v>
      </c>
      <c r="E216" s="2">
        <f>COUNTIF(contact[[#This Row],[Bagossy]:[Szo
03:00 - 10:00]],"=x")</f>
        <v>0</v>
      </c>
      <c r="F216" s="2">
        <f>SUM(contact[[#This Row],[?]:[x]])</f>
        <v>0</v>
      </c>
      <c r="G2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" s="3" t="s">
        <v>3532</v>
      </c>
      <c r="K216" s="1" t="s">
        <v>828</v>
      </c>
      <c r="L216" s="1" t="s">
        <v>2</v>
      </c>
      <c r="M216" s="1" t="s">
        <v>2</v>
      </c>
      <c r="O216" s="2"/>
      <c r="P216" s="2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1:32" s="1" customFormat="1" ht="20.25" customHeight="1" x14ac:dyDescent="0.25">
      <c r="A217" s="2"/>
      <c r="B217" s="2"/>
      <c r="C217" s="2"/>
      <c r="D217" s="2">
        <f>COUNTIF(contact[[#This Row],[Bagossy]:[Szo
03:00 - 10:00]],"=~?")</f>
        <v>0</v>
      </c>
      <c r="E217" s="2">
        <f>COUNTIF(contact[[#This Row],[Bagossy]:[Szo
03:00 - 10:00]],"=x")</f>
        <v>0</v>
      </c>
      <c r="F217" s="2">
        <f>SUM(contact[[#This Row],[?]:[x]])</f>
        <v>0</v>
      </c>
      <c r="G2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" s="3" t="s">
        <v>3805</v>
      </c>
      <c r="K217" s="1" t="s">
        <v>2</v>
      </c>
      <c r="L217" s="1" t="s">
        <v>2</v>
      </c>
      <c r="M217" s="1" t="s">
        <v>2</v>
      </c>
      <c r="O217" s="2"/>
      <c r="P217" s="2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1:32" s="1" customFormat="1" ht="20.25" customHeight="1" x14ac:dyDescent="0.25">
      <c r="A218" s="2"/>
      <c r="B218" s="2"/>
      <c r="C218" s="2"/>
      <c r="D218" s="2">
        <f>COUNTIF(contact[[#This Row],[Bagossy]:[Szo
03:00 - 10:00]],"=~?")</f>
        <v>0</v>
      </c>
      <c r="E218" s="2">
        <f>COUNTIF(contact[[#This Row],[Bagossy]:[Szo
03:00 - 10:00]],"=x")</f>
        <v>0</v>
      </c>
      <c r="F218" s="2">
        <f>SUM(contact[[#This Row],[?]:[x]])</f>
        <v>0</v>
      </c>
      <c r="G2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" s="3" t="s">
        <v>3915</v>
      </c>
      <c r="K218" s="1" t="s">
        <v>568</v>
      </c>
      <c r="L218" s="1" t="s">
        <v>2</v>
      </c>
      <c r="M218" s="1" t="s">
        <v>2</v>
      </c>
      <c r="O218" s="2"/>
      <c r="P218" s="2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 s="1" customFormat="1" ht="20.25" customHeight="1" x14ac:dyDescent="0.25">
      <c r="A219" s="2"/>
      <c r="B219" s="2"/>
      <c r="C219" s="2"/>
      <c r="D219" s="2">
        <f>COUNTIF(contact[[#This Row],[Bagossy]:[Szo
03:00 - 10:00]],"=~?")</f>
        <v>0</v>
      </c>
      <c r="E219" s="2">
        <f>COUNTIF(contact[[#This Row],[Bagossy]:[Szo
03:00 - 10:00]],"=x")</f>
        <v>0</v>
      </c>
      <c r="F219" s="2">
        <f>SUM(contact[[#This Row],[?]:[x]])</f>
        <v>0</v>
      </c>
      <c r="G2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" s="3" t="s">
        <v>4043</v>
      </c>
      <c r="K219" s="1" t="s">
        <v>1768</v>
      </c>
      <c r="L219" s="1" t="s">
        <v>2</v>
      </c>
      <c r="M219" s="1" t="s">
        <v>2</v>
      </c>
      <c r="O219" s="2"/>
      <c r="P219" s="2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 s="1" customFormat="1" ht="20.25" customHeight="1" x14ac:dyDescent="0.25">
      <c r="A220" s="2"/>
      <c r="B220" s="2"/>
      <c r="C220" s="2"/>
      <c r="D220" s="2">
        <f>COUNTIF(contact[[#This Row],[Bagossy]:[Szo
03:00 - 10:00]],"=~?")</f>
        <v>0</v>
      </c>
      <c r="E220" s="2">
        <f>COUNTIF(contact[[#This Row],[Bagossy]:[Szo
03:00 - 10:00]],"=x")</f>
        <v>0</v>
      </c>
      <c r="F220" s="2">
        <f>SUM(contact[[#This Row],[?]:[x]])</f>
        <v>0</v>
      </c>
      <c r="G2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0" s="3" t="s">
        <v>4375</v>
      </c>
      <c r="K220" s="1" t="s">
        <v>1332</v>
      </c>
      <c r="L220" s="1" t="s">
        <v>2</v>
      </c>
      <c r="M220" s="1" t="s">
        <v>2</v>
      </c>
      <c r="O220" s="2"/>
      <c r="P220" s="2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s="1" customFormat="1" ht="20.25" customHeight="1" x14ac:dyDescent="0.25">
      <c r="A221" s="2"/>
      <c r="B221" s="2"/>
      <c r="C221" s="2"/>
      <c r="D221" s="2">
        <f>COUNTIF(contact[[#This Row],[Bagossy]:[Szo
03:00 - 10:00]],"=~?")</f>
        <v>0</v>
      </c>
      <c r="E221" s="2">
        <f>COUNTIF(contact[[#This Row],[Bagossy]:[Szo
03:00 - 10:00]],"=x")</f>
        <v>0</v>
      </c>
      <c r="F221" s="2">
        <f>SUM(contact[[#This Row],[?]:[x]])</f>
        <v>0</v>
      </c>
      <c r="G2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" s="3" t="s">
        <v>3706</v>
      </c>
      <c r="K221" s="1" t="s">
        <v>2</v>
      </c>
      <c r="L221" s="1" t="s">
        <v>2</v>
      </c>
      <c r="M221" s="1" t="s">
        <v>2</v>
      </c>
      <c r="O221" s="2"/>
      <c r="P221" s="2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s="1" customFormat="1" ht="20.25" customHeight="1" x14ac:dyDescent="0.25">
      <c r="A222" s="2"/>
      <c r="B222" s="2"/>
      <c r="C222" s="2"/>
      <c r="D222" s="2">
        <f>COUNTIF(contact[[#This Row],[Bagossy]:[Szo
03:00 - 10:00]],"=~?")</f>
        <v>0</v>
      </c>
      <c r="E222" s="2">
        <f>COUNTIF(contact[[#This Row],[Bagossy]:[Szo
03:00 - 10:00]],"=x")</f>
        <v>0</v>
      </c>
      <c r="F222" s="2">
        <f>SUM(contact[[#This Row],[?]:[x]])</f>
        <v>0</v>
      </c>
      <c r="G2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" s="3" t="s">
        <v>2278</v>
      </c>
      <c r="K222" s="1" t="s">
        <v>2</v>
      </c>
      <c r="L222" s="1" t="s">
        <v>2</v>
      </c>
      <c r="M222" s="1" t="s">
        <v>2</v>
      </c>
      <c r="O222" s="2"/>
      <c r="P222" s="2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s="1" customFormat="1" ht="20.25" customHeight="1" x14ac:dyDescent="0.25">
      <c r="A223" s="2"/>
      <c r="B223" s="2"/>
      <c r="C223" s="2"/>
      <c r="D223" s="2">
        <f>COUNTIF(contact[[#This Row],[Bagossy]:[Szo
03:00 - 10:00]],"=~?")</f>
        <v>0</v>
      </c>
      <c r="E223" s="2">
        <f>COUNTIF(contact[[#This Row],[Bagossy]:[Szo
03:00 - 10:00]],"=x")</f>
        <v>0</v>
      </c>
      <c r="F223" s="2">
        <f>SUM(contact[[#This Row],[?]:[x]])</f>
        <v>0</v>
      </c>
      <c r="G2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3" s="2"/>
      <c r="I223" s="2"/>
      <c r="J223" s="3" t="s">
        <v>2050</v>
      </c>
      <c r="K223" s="1" t="s">
        <v>6</v>
      </c>
      <c r="L223" s="1" t="s">
        <v>2</v>
      </c>
      <c r="M223" s="1" t="s">
        <v>2</v>
      </c>
      <c r="O223" s="2"/>
      <c r="P223" s="2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s="1" customFormat="1" ht="20.25" customHeight="1" x14ac:dyDescent="0.25">
      <c r="A224" s="2"/>
      <c r="B224" s="2"/>
      <c r="C224" s="2"/>
      <c r="D224" s="2">
        <f>COUNTIF(contact[[#This Row],[Bagossy]:[Szo
03:00 - 10:00]],"=~?")</f>
        <v>0</v>
      </c>
      <c r="E224" s="2">
        <f>COUNTIF(contact[[#This Row],[Bagossy]:[Szo
03:00 - 10:00]],"=x")</f>
        <v>0</v>
      </c>
      <c r="F224" s="2">
        <f>SUM(contact[[#This Row],[?]:[x]])</f>
        <v>0</v>
      </c>
      <c r="G2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4" s="2"/>
      <c r="I224" s="2"/>
      <c r="J224" s="3" t="s">
        <v>2052</v>
      </c>
      <c r="K224" s="1" t="s">
        <v>6</v>
      </c>
      <c r="L224" s="1" t="s">
        <v>2</v>
      </c>
      <c r="M224" s="1" t="s">
        <v>2</v>
      </c>
      <c r="O224" s="2"/>
      <c r="P224" s="2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s="1" customFormat="1" ht="20.25" customHeight="1" x14ac:dyDescent="0.25">
      <c r="A225" s="2"/>
      <c r="B225" s="2"/>
      <c r="C225" s="2"/>
      <c r="D225" s="2">
        <f>COUNTIF(contact[[#This Row],[Bagossy]:[Szo
03:00 - 10:00]],"=~?")</f>
        <v>0</v>
      </c>
      <c r="E225" s="2">
        <f>COUNTIF(contact[[#This Row],[Bagossy]:[Szo
03:00 - 10:00]],"=x")</f>
        <v>0</v>
      </c>
      <c r="F225" s="2">
        <f>SUM(contact[[#This Row],[?]:[x]])</f>
        <v>0</v>
      </c>
      <c r="G2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" s="3" t="s">
        <v>4270</v>
      </c>
      <c r="K225" s="1" t="s">
        <v>39</v>
      </c>
      <c r="L225" s="1" t="s">
        <v>2</v>
      </c>
      <c r="M225" s="1" t="s">
        <v>2</v>
      </c>
      <c r="O225" s="2"/>
      <c r="P225" s="2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s="1" customFormat="1" ht="20.25" customHeight="1" x14ac:dyDescent="0.25">
      <c r="A226" s="2"/>
      <c r="B226" s="2"/>
      <c r="C226" s="2"/>
      <c r="D226" s="2">
        <f>COUNTIF(contact[[#This Row],[Bagossy]:[Szo
03:00 - 10:00]],"=~?")</f>
        <v>0</v>
      </c>
      <c r="E226" s="2">
        <f>COUNTIF(contact[[#This Row],[Bagossy]:[Szo
03:00 - 10:00]],"=x")</f>
        <v>0</v>
      </c>
      <c r="F226" s="2">
        <f>SUM(contact[[#This Row],[?]:[x]])</f>
        <v>0</v>
      </c>
      <c r="G2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" s="3" t="s">
        <v>2471</v>
      </c>
      <c r="K226" s="1" t="s">
        <v>328</v>
      </c>
      <c r="L226" s="1" t="s">
        <v>2</v>
      </c>
      <c r="M226" s="1" t="s">
        <v>2</v>
      </c>
      <c r="O226" s="2"/>
      <c r="P226" s="2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s="1" customFormat="1" ht="20.25" customHeight="1" x14ac:dyDescent="0.25">
      <c r="A227" s="2"/>
      <c r="B227" s="2"/>
      <c r="C227" s="2"/>
      <c r="D227" s="2">
        <f>COUNTIF(contact[[#This Row],[Bagossy]:[Szo
03:00 - 10:00]],"=~?")</f>
        <v>0</v>
      </c>
      <c r="E227" s="2">
        <f>COUNTIF(contact[[#This Row],[Bagossy]:[Szo
03:00 - 10:00]],"=x")</f>
        <v>0</v>
      </c>
      <c r="F227" s="2">
        <f>SUM(contact[[#This Row],[?]:[x]])</f>
        <v>0</v>
      </c>
      <c r="G2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" s="3" t="s">
        <v>2602</v>
      </c>
      <c r="K227" s="1" t="s">
        <v>2</v>
      </c>
      <c r="L227" s="1" t="s">
        <v>2</v>
      </c>
      <c r="M227" s="1" t="s">
        <v>2</v>
      </c>
      <c r="O227" s="2"/>
      <c r="P227" s="2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s="1" customFormat="1" ht="20.25" customHeight="1" x14ac:dyDescent="0.25">
      <c r="A228" s="2"/>
      <c r="B228" s="2"/>
      <c r="C228" s="2"/>
      <c r="D228" s="2">
        <f>COUNTIF(contact[[#This Row],[Bagossy]:[Szo
03:00 - 10:00]],"=~?")</f>
        <v>0</v>
      </c>
      <c r="E228" s="2">
        <f>COUNTIF(contact[[#This Row],[Bagossy]:[Szo
03:00 - 10:00]],"=x")</f>
        <v>0</v>
      </c>
      <c r="F228" s="2">
        <f>SUM(contact[[#This Row],[?]:[x]])</f>
        <v>0</v>
      </c>
      <c r="G2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" s="3" t="s">
        <v>211</v>
      </c>
      <c r="K228" s="1" t="s">
        <v>2</v>
      </c>
      <c r="L228" s="1" t="s">
        <v>2</v>
      </c>
      <c r="M228" s="1" t="s">
        <v>2</v>
      </c>
      <c r="O228" s="2"/>
      <c r="P228" s="2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s="1" customFormat="1" ht="20.25" customHeight="1" x14ac:dyDescent="0.25">
      <c r="A229" s="2"/>
      <c r="B229" s="2"/>
      <c r="C229" s="2"/>
      <c r="D229" s="2">
        <f>COUNTIF(contact[[#This Row],[Bagossy]:[Szo
03:00 - 10:00]],"=~?")</f>
        <v>0</v>
      </c>
      <c r="E229" s="2">
        <f>COUNTIF(contact[[#This Row],[Bagossy]:[Szo
03:00 - 10:00]],"=x")</f>
        <v>0</v>
      </c>
      <c r="F229" s="2">
        <f>SUM(contact[[#This Row],[?]:[x]])</f>
        <v>0</v>
      </c>
      <c r="G2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" s="3" t="s">
        <v>2362</v>
      </c>
      <c r="K229" s="1" t="s">
        <v>2</v>
      </c>
      <c r="L229" s="1" t="s">
        <v>2</v>
      </c>
      <c r="M229" s="1" t="s">
        <v>2</v>
      </c>
      <c r="O229" s="2"/>
      <c r="P229" s="2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 s="1" customFormat="1" ht="20.25" customHeight="1" x14ac:dyDescent="0.25">
      <c r="A230" s="2"/>
      <c r="B230" s="2"/>
      <c r="C230" s="2"/>
      <c r="D230" s="2">
        <f>COUNTIF(contact[[#This Row],[Bagossy]:[Szo
03:00 - 10:00]],"=~?")</f>
        <v>0</v>
      </c>
      <c r="E230" s="2">
        <f>COUNTIF(contact[[#This Row],[Bagossy]:[Szo
03:00 - 10:00]],"=x")</f>
        <v>0</v>
      </c>
      <c r="F230" s="2">
        <f>SUM(contact[[#This Row],[?]:[x]])</f>
        <v>0</v>
      </c>
      <c r="G2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" s="3" t="s">
        <v>3526</v>
      </c>
      <c r="K230" s="1" t="s">
        <v>2</v>
      </c>
      <c r="L230" s="1" t="s">
        <v>2</v>
      </c>
      <c r="M230" s="1" t="s">
        <v>2</v>
      </c>
      <c r="O230" s="2"/>
      <c r="P230" s="2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 s="1" customFormat="1" ht="20.25" customHeight="1" x14ac:dyDescent="0.25">
      <c r="A231" s="2"/>
      <c r="B231" s="2"/>
      <c r="C231" s="2"/>
      <c r="D231" s="2">
        <f>COUNTIF(contact[[#This Row],[Bagossy]:[Szo
03:00 - 10:00]],"=~?")</f>
        <v>0</v>
      </c>
      <c r="E231" s="2">
        <f>COUNTIF(contact[[#This Row],[Bagossy]:[Szo
03:00 - 10:00]],"=x")</f>
        <v>0</v>
      </c>
      <c r="F231" s="2">
        <f>SUM(contact[[#This Row],[?]:[x]])</f>
        <v>0</v>
      </c>
      <c r="G2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1" s="2"/>
      <c r="I231" s="2"/>
      <c r="J231" s="3" t="s">
        <v>2057</v>
      </c>
      <c r="K231" s="1" t="s">
        <v>664</v>
      </c>
      <c r="L231" s="1" t="s">
        <v>2</v>
      </c>
      <c r="M231" s="1" t="s">
        <v>2</v>
      </c>
      <c r="O231" s="2"/>
      <c r="P231" s="2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 s="1" customFormat="1" ht="20.25" customHeight="1" x14ac:dyDescent="0.25">
      <c r="A232" s="2"/>
      <c r="B232" s="2"/>
      <c r="C232" s="2"/>
      <c r="D232" s="2">
        <f>COUNTIF(contact[[#This Row],[Bagossy]:[Szo
03:00 - 10:00]],"=~?")</f>
        <v>0</v>
      </c>
      <c r="E232" s="2">
        <f>COUNTIF(contact[[#This Row],[Bagossy]:[Szo
03:00 - 10:00]],"=x")</f>
        <v>0</v>
      </c>
      <c r="F232" s="2">
        <f>SUM(contact[[#This Row],[?]:[x]])</f>
        <v>0</v>
      </c>
      <c r="G2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2" s="3" t="s">
        <v>2697</v>
      </c>
      <c r="K232" s="1" t="s">
        <v>449</v>
      </c>
      <c r="L232" s="1" t="s">
        <v>2</v>
      </c>
      <c r="M232" s="1" t="s">
        <v>2</v>
      </c>
      <c r="O232" s="2"/>
      <c r="P232" s="2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 s="1" customFormat="1" ht="20.25" customHeight="1" x14ac:dyDescent="0.25">
      <c r="A233" s="2"/>
      <c r="B233" s="2"/>
      <c r="C233" s="2"/>
      <c r="D233" s="2">
        <f>COUNTIF(contact[[#This Row],[Bagossy]:[Szo
03:00 - 10:00]],"=~?")</f>
        <v>0</v>
      </c>
      <c r="E233" s="2">
        <f>COUNTIF(contact[[#This Row],[Bagossy]:[Szo
03:00 - 10:00]],"=x")</f>
        <v>0</v>
      </c>
      <c r="F233" s="2">
        <f>SUM(contact[[#This Row],[?]:[x]])</f>
        <v>0</v>
      </c>
      <c r="G2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" s="3" t="s">
        <v>4516</v>
      </c>
      <c r="K233" s="1" t="s">
        <v>1262</v>
      </c>
      <c r="L233" s="1" t="s">
        <v>2</v>
      </c>
      <c r="M233" s="1" t="s">
        <v>2</v>
      </c>
      <c r="O233" s="2"/>
      <c r="P233" s="2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 s="1" customFormat="1" ht="20.25" customHeight="1" x14ac:dyDescent="0.25">
      <c r="A234" s="2"/>
      <c r="B234" s="2"/>
      <c r="C234" s="2"/>
      <c r="D234" s="2">
        <f>COUNTIF(contact[[#This Row],[Bagossy]:[Szo
03:00 - 10:00]],"=~?")</f>
        <v>0</v>
      </c>
      <c r="E234" s="2">
        <f>COUNTIF(contact[[#This Row],[Bagossy]:[Szo
03:00 - 10:00]],"=x")</f>
        <v>0</v>
      </c>
      <c r="F234" s="2">
        <f>SUM(contact[[#This Row],[?]:[x]])</f>
        <v>0</v>
      </c>
      <c r="G2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" s="3" t="s">
        <v>3774</v>
      </c>
      <c r="K234" s="1" t="s">
        <v>937</v>
      </c>
      <c r="L234" s="1" t="s">
        <v>2</v>
      </c>
      <c r="M234" s="1" t="s">
        <v>2</v>
      </c>
      <c r="O234" s="2"/>
      <c r="P234" s="2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 s="1" customFormat="1" ht="20.25" customHeight="1" x14ac:dyDescent="0.25">
      <c r="A235" s="2"/>
      <c r="B235" s="2"/>
      <c r="C235" s="2"/>
      <c r="D235" s="2">
        <f>COUNTIF(contact[[#This Row],[Bagossy]:[Szo
03:00 - 10:00]],"=~?")</f>
        <v>0</v>
      </c>
      <c r="E235" s="2">
        <f>COUNTIF(contact[[#This Row],[Bagossy]:[Szo
03:00 - 10:00]],"=x")</f>
        <v>0</v>
      </c>
      <c r="F235" s="2">
        <f>SUM(contact[[#This Row],[?]:[x]])</f>
        <v>0</v>
      </c>
      <c r="G2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" s="3" t="s">
        <v>1904</v>
      </c>
      <c r="K235" s="1" t="s">
        <v>1287</v>
      </c>
      <c r="L235" s="1" t="s">
        <v>2</v>
      </c>
      <c r="M235" s="1" t="s">
        <v>2</v>
      </c>
      <c r="O235" s="2"/>
      <c r="P235" s="2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 s="1" customFormat="1" ht="20.25" customHeight="1" x14ac:dyDescent="0.25">
      <c r="A236" s="2"/>
      <c r="B236" s="2"/>
      <c r="C236" s="2"/>
      <c r="D236" s="2">
        <f>COUNTIF(contact[[#This Row],[Bagossy]:[Szo
03:00 - 10:00]],"=~?")</f>
        <v>0</v>
      </c>
      <c r="E236" s="2">
        <f>COUNTIF(contact[[#This Row],[Bagossy]:[Szo
03:00 - 10:00]],"=x")</f>
        <v>0</v>
      </c>
      <c r="F236" s="2">
        <f>SUM(contact[[#This Row],[?]:[x]])</f>
        <v>0</v>
      </c>
      <c r="G2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" s="3" t="s">
        <v>2595</v>
      </c>
      <c r="K236" s="1" t="s">
        <v>1451</v>
      </c>
      <c r="L236" s="1" t="s">
        <v>2</v>
      </c>
      <c r="M236" s="1" t="s">
        <v>2</v>
      </c>
      <c r="O236" s="2"/>
      <c r="P236" s="2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 s="1" customFormat="1" ht="20.25" customHeight="1" x14ac:dyDescent="0.25">
      <c r="A237" s="2"/>
      <c r="B237" s="2"/>
      <c r="C237" s="2"/>
      <c r="D237" s="2">
        <f>COUNTIF(contact[[#This Row],[Bagossy]:[Szo
03:00 - 10:00]],"=~?")</f>
        <v>0</v>
      </c>
      <c r="E237" s="2">
        <f>COUNTIF(contact[[#This Row],[Bagossy]:[Szo
03:00 - 10:00]],"=x")</f>
        <v>0</v>
      </c>
      <c r="F237" s="2">
        <f>SUM(contact[[#This Row],[?]:[x]])</f>
        <v>0</v>
      </c>
      <c r="G2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" s="3" t="s">
        <v>2698</v>
      </c>
      <c r="K237" s="1" t="s">
        <v>450</v>
      </c>
      <c r="L237" s="1" t="s">
        <v>2</v>
      </c>
      <c r="M237" s="1" t="s">
        <v>2</v>
      </c>
      <c r="O237" s="2"/>
      <c r="P237" s="2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 s="1" customFormat="1" ht="20.25" customHeight="1" x14ac:dyDescent="0.25">
      <c r="A238" s="2"/>
      <c r="B238" s="2"/>
      <c r="C238" s="2"/>
      <c r="D238" s="2">
        <f>COUNTIF(contact[[#This Row],[Bagossy]:[Szo
03:00 - 10:00]],"=~?")</f>
        <v>0</v>
      </c>
      <c r="E238" s="2">
        <f>COUNTIF(contact[[#This Row],[Bagossy]:[Szo
03:00 - 10:00]],"=x")</f>
        <v>0</v>
      </c>
      <c r="F238" s="2">
        <f>SUM(contact[[#This Row],[?]:[x]])</f>
        <v>0</v>
      </c>
      <c r="G2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" s="3" t="s">
        <v>3188</v>
      </c>
      <c r="K238" s="1" t="s">
        <v>682</v>
      </c>
      <c r="L238" s="1" t="s">
        <v>2</v>
      </c>
      <c r="M238" s="1" t="s">
        <v>2</v>
      </c>
      <c r="O238" s="2"/>
      <c r="P238" s="2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 s="1" customFormat="1" ht="20.25" customHeight="1" x14ac:dyDescent="0.25">
      <c r="A239" s="2"/>
      <c r="B239" s="2"/>
      <c r="C239" s="2"/>
      <c r="D239" s="2">
        <f>COUNTIF(contact[[#This Row],[Bagossy]:[Szo
03:00 - 10:00]],"=~?")</f>
        <v>0</v>
      </c>
      <c r="E239" s="2">
        <f>COUNTIF(contact[[#This Row],[Bagossy]:[Szo
03:00 - 10:00]],"=x")</f>
        <v>0</v>
      </c>
      <c r="F239" s="2">
        <f>SUM(contact[[#This Row],[?]:[x]])</f>
        <v>0</v>
      </c>
      <c r="G2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9" s="3" t="s">
        <v>3834</v>
      </c>
      <c r="K239" s="1" t="s">
        <v>2</v>
      </c>
      <c r="L239" s="1" t="s">
        <v>2</v>
      </c>
      <c r="M239" s="1" t="s">
        <v>2</v>
      </c>
      <c r="O239" s="2"/>
      <c r="P239" s="2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 s="1" customFormat="1" ht="20.25" customHeight="1" x14ac:dyDescent="0.25">
      <c r="A240" s="2"/>
      <c r="B240" s="2"/>
      <c r="C240" s="2"/>
      <c r="D240" s="2">
        <f>COUNTIF(contact[[#This Row],[Bagossy]:[Szo
03:00 - 10:00]],"=~?")</f>
        <v>0</v>
      </c>
      <c r="E240" s="2">
        <f>COUNTIF(contact[[#This Row],[Bagossy]:[Szo
03:00 - 10:00]],"=x")</f>
        <v>0</v>
      </c>
      <c r="F240" s="2">
        <f>SUM(contact[[#This Row],[?]:[x]])</f>
        <v>0</v>
      </c>
      <c r="G2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" s="3" t="s">
        <v>4016</v>
      </c>
      <c r="K240" s="1" t="s">
        <v>1065</v>
      </c>
      <c r="L240" s="1" t="s">
        <v>2</v>
      </c>
      <c r="M240" s="1" t="s">
        <v>2</v>
      </c>
      <c r="O240" s="2"/>
      <c r="P240" s="2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 s="1" customFormat="1" ht="20.25" customHeight="1" x14ac:dyDescent="0.25">
      <c r="A241" s="2"/>
      <c r="B241" s="2"/>
      <c r="C241" s="2"/>
      <c r="D241" s="2">
        <f>COUNTIF(contact[[#This Row],[Bagossy]:[Szo
03:00 - 10:00]],"=~?")</f>
        <v>0</v>
      </c>
      <c r="E241" s="2">
        <f>COUNTIF(contact[[#This Row],[Bagossy]:[Szo
03:00 - 10:00]],"=x")</f>
        <v>0</v>
      </c>
      <c r="F241" s="2">
        <f>SUM(contact[[#This Row],[?]:[x]])</f>
        <v>0</v>
      </c>
      <c r="G2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" s="3" t="s">
        <v>4449</v>
      </c>
      <c r="K241" s="1" t="s">
        <v>1862</v>
      </c>
      <c r="L241" s="1" t="s">
        <v>2</v>
      </c>
      <c r="M241" s="1" t="s">
        <v>2</v>
      </c>
      <c r="O241" s="2"/>
      <c r="P241" s="2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 s="1" customFormat="1" ht="20.25" customHeight="1" x14ac:dyDescent="0.25">
      <c r="A242" s="2"/>
      <c r="B242" s="2"/>
      <c r="C242" s="2"/>
      <c r="D242" s="2">
        <f>COUNTIF(contact[[#This Row],[Bagossy]:[Szo
03:00 - 10:00]],"=~?")</f>
        <v>0</v>
      </c>
      <c r="E242" s="2">
        <f>COUNTIF(contact[[#This Row],[Bagossy]:[Szo
03:00 - 10:00]],"=x")</f>
        <v>0</v>
      </c>
      <c r="F242" s="2">
        <f>SUM(contact[[#This Row],[?]:[x]])</f>
        <v>0</v>
      </c>
      <c r="G2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2" s="2"/>
      <c r="I242" s="2"/>
      <c r="J242" s="3" t="s">
        <v>2058</v>
      </c>
      <c r="K242" s="1" t="s">
        <v>6</v>
      </c>
      <c r="L242" s="1" t="s">
        <v>2</v>
      </c>
      <c r="M242" s="1" t="s">
        <v>2</v>
      </c>
      <c r="O242" s="2"/>
      <c r="P242" s="2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 s="1" customFormat="1" ht="20.25" customHeight="1" x14ac:dyDescent="0.25">
      <c r="A243" s="2"/>
      <c r="B243" s="2"/>
      <c r="C243" s="2"/>
      <c r="D243" s="2">
        <f>COUNTIF(contact[[#This Row],[Bagossy]:[Szo
03:00 - 10:00]],"=~?")</f>
        <v>0</v>
      </c>
      <c r="E243" s="2">
        <f>COUNTIF(contact[[#This Row],[Bagossy]:[Szo
03:00 - 10:00]],"=x")</f>
        <v>0</v>
      </c>
      <c r="F243" s="2">
        <f>SUM(contact[[#This Row],[?]:[x]])</f>
        <v>0</v>
      </c>
      <c r="G2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" s="3" t="s">
        <v>223</v>
      </c>
      <c r="K243" s="1" t="s">
        <v>2</v>
      </c>
      <c r="L243" s="1" t="s">
        <v>2</v>
      </c>
      <c r="M243" s="1" t="s">
        <v>2</v>
      </c>
      <c r="O243" s="2"/>
      <c r="P243" s="2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 s="1" customFormat="1" ht="20.25" customHeight="1" x14ac:dyDescent="0.25">
      <c r="A244" s="2"/>
      <c r="B244" s="2"/>
      <c r="C244" s="2"/>
      <c r="D244" s="2">
        <f>COUNTIF(contact[[#This Row],[Bagossy]:[Szo
03:00 - 10:00]],"=~?")</f>
        <v>0</v>
      </c>
      <c r="E244" s="2">
        <f>COUNTIF(contact[[#This Row],[Bagossy]:[Szo
03:00 - 10:00]],"=x")</f>
        <v>0</v>
      </c>
      <c r="F244" s="2">
        <f>SUM(contact[[#This Row],[?]:[x]])</f>
        <v>0</v>
      </c>
      <c r="G2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" s="3" t="s">
        <v>4063</v>
      </c>
      <c r="K244" s="1" t="s">
        <v>2</v>
      </c>
      <c r="L244" s="1" t="s">
        <v>2</v>
      </c>
      <c r="M244" s="1" t="s">
        <v>2</v>
      </c>
      <c r="O244" s="2"/>
      <c r="P244" s="2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 s="1" customFormat="1" ht="20.25" customHeight="1" x14ac:dyDescent="0.25">
      <c r="A245" s="2"/>
      <c r="B245" s="2"/>
      <c r="C245" s="2"/>
      <c r="D245" s="2">
        <f>COUNTIF(contact[[#This Row],[Bagossy]:[Szo
03:00 - 10:00]],"=~?")</f>
        <v>0</v>
      </c>
      <c r="E245" s="2">
        <f>COUNTIF(contact[[#This Row],[Bagossy]:[Szo
03:00 - 10:00]],"=x")</f>
        <v>0</v>
      </c>
      <c r="F245" s="2">
        <f>SUM(contact[[#This Row],[?]:[x]])</f>
        <v>0</v>
      </c>
      <c r="G2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" s="3" t="s">
        <v>224</v>
      </c>
      <c r="K245" s="1" t="s">
        <v>2</v>
      </c>
      <c r="L245" s="1" t="s">
        <v>2</v>
      </c>
      <c r="M245" s="1" t="s">
        <v>2</v>
      </c>
      <c r="O245" s="2"/>
      <c r="P245" s="2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 s="1" customFormat="1" ht="20.25" customHeight="1" x14ac:dyDescent="0.25">
      <c r="A246" s="2"/>
      <c r="B246" s="2"/>
      <c r="C246" s="2"/>
      <c r="D246" s="2">
        <f>COUNTIF(contact[[#This Row],[Bagossy]:[Szo
03:00 - 10:00]],"=~?")</f>
        <v>0</v>
      </c>
      <c r="E246" s="2">
        <f>COUNTIF(contact[[#This Row],[Bagossy]:[Szo
03:00 - 10:00]],"=x")</f>
        <v>0</v>
      </c>
      <c r="F246" s="2">
        <f>SUM(contact[[#This Row],[?]:[x]])</f>
        <v>0</v>
      </c>
      <c r="G2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" s="3" t="s">
        <v>2820</v>
      </c>
      <c r="K246" s="1" t="s">
        <v>2</v>
      </c>
      <c r="L246" s="1" t="s">
        <v>2</v>
      </c>
      <c r="M246" s="1" t="s">
        <v>2</v>
      </c>
      <c r="O246" s="2"/>
      <c r="P246" s="2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 s="1" customFormat="1" ht="20.25" customHeight="1" x14ac:dyDescent="0.25">
      <c r="A247" s="2"/>
      <c r="B247" s="2"/>
      <c r="C247" s="2"/>
      <c r="D247" s="2">
        <f>COUNTIF(contact[[#This Row],[Bagossy]:[Szo
03:00 - 10:00]],"=~?")</f>
        <v>0</v>
      </c>
      <c r="E247" s="2">
        <f>COUNTIF(contact[[#This Row],[Bagossy]:[Szo
03:00 - 10:00]],"=x")</f>
        <v>0</v>
      </c>
      <c r="F247" s="2">
        <f>SUM(contact[[#This Row],[?]:[x]])</f>
        <v>0</v>
      </c>
      <c r="G2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" s="3" t="s">
        <v>4518</v>
      </c>
      <c r="K247" s="1" t="s">
        <v>2</v>
      </c>
      <c r="L247" s="1" t="s">
        <v>2</v>
      </c>
      <c r="M247" s="1" t="s">
        <v>2</v>
      </c>
      <c r="O247" s="2"/>
      <c r="P247" s="2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 s="1" customFormat="1" ht="20.25" customHeight="1" x14ac:dyDescent="0.25">
      <c r="A248" s="2"/>
      <c r="B248" s="2"/>
      <c r="C248" s="2"/>
      <c r="D248" s="2">
        <f>COUNTIF(contact[[#This Row],[Bagossy]:[Szo
03:00 - 10:00]],"=~?")</f>
        <v>0</v>
      </c>
      <c r="E248" s="2">
        <f>COUNTIF(contact[[#This Row],[Bagossy]:[Szo
03:00 - 10:00]],"=x")</f>
        <v>0</v>
      </c>
      <c r="F248" s="2">
        <f>SUM(contact[[#This Row],[?]:[x]])</f>
        <v>0</v>
      </c>
      <c r="G2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" s="3" t="s">
        <v>2015</v>
      </c>
      <c r="K248" s="1" t="s">
        <v>2</v>
      </c>
      <c r="L248" s="1" t="s">
        <v>2</v>
      </c>
      <c r="M248" s="1" t="s">
        <v>2</v>
      </c>
      <c r="O248" s="2"/>
      <c r="P248" s="2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 s="1" customFormat="1" ht="20.25" customHeight="1" x14ac:dyDescent="0.25">
      <c r="A249" s="2"/>
      <c r="B249" s="2"/>
      <c r="C249" s="2"/>
      <c r="D249" s="2">
        <f>COUNTIF(contact[[#This Row],[Bagossy]:[Szo
03:00 - 10:00]],"=~?")</f>
        <v>0</v>
      </c>
      <c r="E249" s="2">
        <f>COUNTIF(contact[[#This Row],[Bagossy]:[Szo
03:00 - 10:00]],"=x")</f>
        <v>0</v>
      </c>
      <c r="F249" s="2">
        <f>SUM(contact[[#This Row],[?]:[x]])</f>
        <v>0</v>
      </c>
      <c r="G2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9" s="2"/>
      <c r="I249" s="2"/>
      <c r="J249" s="3" t="s">
        <v>2063</v>
      </c>
      <c r="K249" s="1" t="s">
        <v>1329</v>
      </c>
      <c r="L249" s="1" t="s">
        <v>2</v>
      </c>
      <c r="M249" s="1" t="s">
        <v>2</v>
      </c>
      <c r="O249" s="2"/>
      <c r="P249" s="2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 s="1" customFormat="1" ht="20.25" customHeight="1" x14ac:dyDescent="0.25">
      <c r="A250" s="2"/>
      <c r="B250" s="2"/>
      <c r="C250" s="2"/>
      <c r="D250" s="2">
        <f>COUNTIF(contact[[#This Row],[Bagossy]:[Szo
03:00 - 10:00]],"=~?")</f>
        <v>0</v>
      </c>
      <c r="E250" s="2">
        <f>COUNTIF(contact[[#This Row],[Bagossy]:[Szo
03:00 - 10:00]],"=x")</f>
        <v>0</v>
      </c>
      <c r="F250" s="2">
        <f>SUM(contact[[#This Row],[?]:[x]])</f>
        <v>0</v>
      </c>
      <c r="G2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0" s="2"/>
      <c r="I250" s="2"/>
      <c r="J250" s="3" t="s">
        <v>2065</v>
      </c>
      <c r="K250" s="1" t="s">
        <v>6</v>
      </c>
      <c r="L250" s="1" t="s">
        <v>2</v>
      </c>
      <c r="M250" s="1" t="s">
        <v>2</v>
      </c>
      <c r="O250" s="2"/>
      <c r="P250" s="2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 s="1" customFormat="1" ht="20.25" customHeight="1" x14ac:dyDescent="0.25">
      <c r="A251" s="2"/>
      <c r="B251" s="2"/>
      <c r="C251" s="2"/>
      <c r="D251" s="2">
        <f>COUNTIF(contact[[#This Row],[Bagossy]:[Szo
03:00 - 10:00]],"=~?")</f>
        <v>0</v>
      </c>
      <c r="E251" s="2">
        <f>COUNTIF(contact[[#This Row],[Bagossy]:[Szo
03:00 - 10:00]],"=x")</f>
        <v>0</v>
      </c>
      <c r="F251" s="2">
        <f>SUM(contact[[#This Row],[?]:[x]])</f>
        <v>0</v>
      </c>
      <c r="G2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1" s="2"/>
      <c r="I251" s="2"/>
      <c r="J251" s="3" t="s">
        <v>2066</v>
      </c>
      <c r="K251" s="1" t="s">
        <v>6</v>
      </c>
      <c r="L251" s="1" t="s">
        <v>2</v>
      </c>
      <c r="M251" s="1" t="s">
        <v>2</v>
      </c>
      <c r="O251" s="2"/>
      <c r="P251" s="2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 s="1" customFormat="1" ht="20.25" customHeight="1" x14ac:dyDescent="0.25">
      <c r="A252" s="2"/>
      <c r="B252" s="2"/>
      <c r="C252" s="2"/>
      <c r="D252" s="2">
        <f>COUNTIF(contact[[#This Row],[Bagossy]:[Szo
03:00 - 10:00]],"=~?")</f>
        <v>0</v>
      </c>
      <c r="E252" s="2">
        <f>COUNTIF(contact[[#This Row],[Bagossy]:[Szo
03:00 - 10:00]],"=x")</f>
        <v>0</v>
      </c>
      <c r="F252" s="2">
        <f>SUM(contact[[#This Row],[?]:[x]])</f>
        <v>0</v>
      </c>
      <c r="G2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" s="3" t="s">
        <v>4450</v>
      </c>
      <c r="K252" s="1" t="s">
        <v>1244</v>
      </c>
      <c r="L252" s="1" t="s">
        <v>2</v>
      </c>
      <c r="M252" s="1" t="s">
        <v>2</v>
      </c>
      <c r="O252" s="2"/>
      <c r="P252" s="2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 s="1" customFormat="1" ht="20.25" customHeight="1" x14ac:dyDescent="0.25">
      <c r="A253" s="2"/>
      <c r="B253" s="2"/>
      <c r="C253" s="2"/>
      <c r="D253" s="2">
        <f>COUNTIF(contact[[#This Row],[Bagossy]:[Szo
03:00 - 10:00]],"=~?")</f>
        <v>0</v>
      </c>
      <c r="E253" s="2">
        <f>COUNTIF(contact[[#This Row],[Bagossy]:[Szo
03:00 - 10:00]],"=x")</f>
        <v>0</v>
      </c>
      <c r="F253" s="2">
        <f>SUM(contact[[#This Row],[?]:[x]])</f>
        <v>0</v>
      </c>
      <c r="G2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" s="3" t="s">
        <v>4080</v>
      </c>
      <c r="K253" s="1" t="s">
        <v>2</v>
      </c>
      <c r="L253" s="1" t="s">
        <v>2</v>
      </c>
      <c r="M253" s="1" t="s">
        <v>2</v>
      </c>
      <c r="O253" s="2"/>
      <c r="P253" s="2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 s="1" customFormat="1" ht="20.25" customHeight="1" x14ac:dyDescent="0.25">
      <c r="A254" s="2"/>
      <c r="B254" s="2"/>
      <c r="C254" s="2"/>
      <c r="D254" s="2">
        <f>COUNTIF(contact[[#This Row],[Bagossy]:[Szo
03:00 - 10:00]],"=~?")</f>
        <v>0</v>
      </c>
      <c r="E254" s="2">
        <f>COUNTIF(contact[[#This Row],[Bagossy]:[Szo
03:00 - 10:00]],"=x")</f>
        <v>0</v>
      </c>
      <c r="F254" s="2">
        <f>SUM(contact[[#This Row],[?]:[x]])</f>
        <v>0</v>
      </c>
      <c r="G2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" s="3" t="s">
        <v>2000</v>
      </c>
      <c r="K254" s="1" t="s">
        <v>1310</v>
      </c>
      <c r="L254" s="1" t="s">
        <v>2</v>
      </c>
      <c r="M254" s="1" t="s">
        <v>2</v>
      </c>
      <c r="O254" s="2"/>
      <c r="P254" s="2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 s="1" customFormat="1" ht="20.25" customHeight="1" x14ac:dyDescent="0.25">
      <c r="A255" s="2"/>
      <c r="B255" s="2"/>
      <c r="C255" s="2"/>
      <c r="D255" s="2">
        <f>COUNTIF(contact[[#This Row],[Bagossy]:[Szo
03:00 - 10:00]],"=~?")</f>
        <v>0</v>
      </c>
      <c r="E255" s="2">
        <f>COUNTIF(contact[[#This Row],[Bagossy]:[Szo
03:00 - 10:00]],"=x")</f>
        <v>0</v>
      </c>
      <c r="F255" s="2">
        <f>SUM(contact[[#This Row],[?]:[x]])</f>
        <v>0</v>
      </c>
      <c r="G2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" s="3" t="s">
        <v>2107</v>
      </c>
      <c r="K255" s="1" t="s">
        <v>2</v>
      </c>
      <c r="L255" s="1" t="s">
        <v>2</v>
      </c>
      <c r="M255" s="1" t="s">
        <v>2</v>
      </c>
      <c r="O255" s="2"/>
      <c r="P255" s="2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 s="1" customFormat="1" ht="20.25" customHeight="1" x14ac:dyDescent="0.25">
      <c r="A256" s="2"/>
      <c r="B256" s="2"/>
      <c r="C256" s="2"/>
      <c r="D256" s="2">
        <f>COUNTIF(contact[[#This Row],[Bagossy]:[Szo
03:00 - 10:00]],"=~?")</f>
        <v>0</v>
      </c>
      <c r="E256" s="2">
        <f>COUNTIF(contact[[#This Row],[Bagossy]:[Szo
03:00 - 10:00]],"=x")</f>
        <v>0</v>
      </c>
      <c r="F256" s="2">
        <f>SUM(contact[[#This Row],[?]:[x]])</f>
        <v>0</v>
      </c>
      <c r="G2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" s="3" t="s">
        <v>1980</v>
      </c>
      <c r="K256" s="1" t="s">
        <v>2</v>
      </c>
      <c r="L256" s="1" t="s">
        <v>2</v>
      </c>
      <c r="M256" s="1" t="s">
        <v>2</v>
      </c>
      <c r="O256" s="2"/>
      <c r="P256" s="2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 s="1" customFormat="1" ht="20.25" customHeight="1" x14ac:dyDescent="0.25">
      <c r="A257" s="2"/>
      <c r="B257" s="2"/>
      <c r="C257" s="2"/>
      <c r="D257" s="2">
        <f>COUNTIF(contact[[#This Row],[Bagossy]:[Szo
03:00 - 10:00]],"=~?")</f>
        <v>0</v>
      </c>
      <c r="E257" s="2">
        <f>COUNTIF(contact[[#This Row],[Bagossy]:[Szo
03:00 - 10:00]],"=x")</f>
        <v>0</v>
      </c>
      <c r="F257" s="2">
        <f>SUM(contact[[#This Row],[?]:[x]])</f>
        <v>0</v>
      </c>
      <c r="G2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" s="3" t="s">
        <v>2638</v>
      </c>
      <c r="K257" s="1" t="s">
        <v>1327</v>
      </c>
      <c r="L257" s="1" t="s">
        <v>2</v>
      </c>
      <c r="M257" s="1" t="s">
        <v>2</v>
      </c>
      <c r="O257" s="2"/>
      <c r="P257" s="2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 s="1" customFormat="1" ht="20.25" customHeight="1" x14ac:dyDescent="0.25">
      <c r="A258" s="2"/>
      <c r="B258" s="2"/>
      <c r="C258" s="2"/>
      <c r="D258" s="2">
        <f>COUNTIF(contact[[#This Row],[Bagossy]:[Szo
03:00 - 10:00]],"=~?")</f>
        <v>0</v>
      </c>
      <c r="E258" s="2">
        <f>COUNTIF(contact[[#This Row],[Bagossy]:[Szo
03:00 - 10:00]],"=x")</f>
        <v>0</v>
      </c>
      <c r="F258" s="2">
        <f>SUM(contact[[#This Row],[?]:[x]])</f>
        <v>0</v>
      </c>
      <c r="G2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" s="3" t="s">
        <v>2168</v>
      </c>
      <c r="K258" s="1" t="s">
        <v>1356</v>
      </c>
      <c r="L258" s="1" t="s">
        <v>2</v>
      </c>
      <c r="M258" s="1" t="s">
        <v>2</v>
      </c>
      <c r="O258" s="2"/>
      <c r="P258" s="2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 s="1" customFormat="1" ht="20.25" customHeight="1" x14ac:dyDescent="0.25">
      <c r="A259" s="2"/>
      <c r="B259" s="2"/>
      <c r="C259" s="2"/>
      <c r="D259" s="2">
        <f>COUNTIF(contact[[#This Row],[Bagossy]:[Szo
03:00 - 10:00]],"=~?")</f>
        <v>0</v>
      </c>
      <c r="E259" s="2">
        <f>COUNTIF(contact[[#This Row],[Bagossy]:[Szo
03:00 - 10:00]],"=x")</f>
        <v>0</v>
      </c>
      <c r="F259" s="2">
        <f>SUM(contact[[#This Row],[?]:[x]])</f>
        <v>0</v>
      </c>
      <c r="G2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9" s="2"/>
      <c r="I259" s="2"/>
      <c r="J259" s="3" t="s">
        <v>2068</v>
      </c>
      <c r="K259" s="1" t="s">
        <v>986</v>
      </c>
      <c r="L259" s="1" t="s">
        <v>2</v>
      </c>
      <c r="M259" s="1" t="s">
        <v>2</v>
      </c>
      <c r="O259" s="2"/>
      <c r="P259" s="2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 s="1" customFormat="1" ht="20.25" customHeight="1" x14ac:dyDescent="0.25">
      <c r="A260" s="2"/>
      <c r="B260" s="2"/>
      <c r="C260" s="2"/>
      <c r="D260" s="2">
        <f>COUNTIF(contact[[#This Row],[Bagossy]:[Szo
03:00 - 10:00]],"=~?")</f>
        <v>0</v>
      </c>
      <c r="E260" s="2">
        <f>COUNTIF(contact[[#This Row],[Bagossy]:[Szo
03:00 - 10:00]],"=x")</f>
        <v>0</v>
      </c>
      <c r="F260" s="2">
        <f>SUM(contact[[#This Row],[?]:[x]])</f>
        <v>0</v>
      </c>
      <c r="G2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" s="3" t="s">
        <v>3533</v>
      </c>
      <c r="K260" s="1" t="s">
        <v>829</v>
      </c>
      <c r="L260" s="1" t="s">
        <v>2</v>
      </c>
      <c r="M260" s="1" t="s">
        <v>2</v>
      </c>
      <c r="O260" s="2"/>
      <c r="P260" s="2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 s="1" customFormat="1" ht="20.25" customHeight="1" x14ac:dyDescent="0.25">
      <c r="A261" s="2"/>
      <c r="B261" s="2"/>
      <c r="C261" s="2"/>
      <c r="D261" s="2">
        <f>COUNTIF(contact[[#This Row],[Bagossy]:[Szo
03:00 - 10:00]],"=~?")</f>
        <v>0</v>
      </c>
      <c r="E261" s="2">
        <f>COUNTIF(contact[[#This Row],[Bagossy]:[Szo
03:00 - 10:00]],"=x")</f>
        <v>0</v>
      </c>
      <c r="F261" s="2">
        <f>SUM(contact[[#This Row],[?]:[x]])</f>
        <v>0</v>
      </c>
      <c r="G2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1" s="3" t="s">
        <v>2521</v>
      </c>
      <c r="K261" s="1" t="s">
        <v>39</v>
      </c>
      <c r="L261" s="1" t="s">
        <v>2</v>
      </c>
      <c r="M261" s="1" t="s">
        <v>2</v>
      </c>
      <c r="O261" s="2"/>
      <c r="P261" s="2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 s="1" customFormat="1" ht="20.25" customHeight="1" x14ac:dyDescent="0.25">
      <c r="A262" s="2"/>
      <c r="B262" s="2"/>
      <c r="C262" s="2"/>
      <c r="D262" s="2">
        <f>COUNTIF(contact[[#This Row],[Bagossy]:[Szo
03:00 - 10:00]],"=~?")</f>
        <v>0</v>
      </c>
      <c r="E262" s="2">
        <f>COUNTIF(contact[[#This Row],[Bagossy]:[Szo
03:00 - 10:00]],"=x")</f>
        <v>0</v>
      </c>
      <c r="F262" s="2">
        <f>SUM(contact[[#This Row],[?]:[x]])</f>
        <v>0</v>
      </c>
      <c r="G2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" s="3" t="s">
        <v>4492</v>
      </c>
      <c r="K262" s="1" t="s">
        <v>2</v>
      </c>
      <c r="L262" s="1" t="s">
        <v>2</v>
      </c>
      <c r="M262" s="1" t="s">
        <v>2</v>
      </c>
      <c r="O262" s="2"/>
      <c r="P262" s="2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 s="1" customFormat="1" ht="20.25" customHeight="1" x14ac:dyDescent="0.25">
      <c r="A263" s="2"/>
      <c r="B263" s="2"/>
      <c r="C263" s="2"/>
      <c r="D263" s="2">
        <f>COUNTIF(contact[[#This Row],[Bagossy]:[Szo
03:00 - 10:00]],"=~?")</f>
        <v>0</v>
      </c>
      <c r="E263" s="2">
        <f>COUNTIF(contact[[#This Row],[Bagossy]:[Szo
03:00 - 10:00]],"=x")</f>
        <v>0</v>
      </c>
      <c r="F263" s="2">
        <f>SUM(contact[[#This Row],[?]:[x]])</f>
        <v>0</v>
      </c>
      <c r="G2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" s="3" t="s">
        <v>2283</v>
      </c>
      <c r="K263" s="1" t="s">
        <v>2</v>
      </c>
      <c r="L263" s="1" t="s">
        <v>2</v>
      </c>
      <c r="M263" s="1" t="s">
        <v>2</v>
      </c>
      <c r="O263" s="2"/>
      <c r="P263" s="2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 s="1" customFormat="1" ht="20.25" customHeight="1" x14ac:dyDescent="0.25">
      <c r="A264" s="2"/>
      <c r="B264" s="2"/>
      <c r="C264" s="2"/>
      <c r="D264" s="2">
        <f>COUNTIF(contact[[#This Row],[Bagossy]:[Szo
03:00 - 10:00]],"=~?")</f>
        <v>0</v>
      </c>
      <c r="E264" s="2">
        <f>COUNTIF(contact[[#This Row],[Bagossy]:[Szo
03:00 - 10:00]],"=x")</f>
        <v>0</v>
      </c>
      <c r="F264" s="2">
        <f>SUM(contact[[#This Row],[?]:[x]])</f>
        <v>0</v>
      </c>
      <c r="G2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" s="3" t="s">
        <v>4574</v>
      </c>
      <c r="K264" s="1" t="s">
        <v>284</v>
      </c>
      <c r="L264" s="1" t="s">
        <v>2</v>
      </c>
      <c r="M264" s="1" t="s">
        <v>2</v>
      </c>
      <c r="O264" s="2"/>
      <c r="P264" s="2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 s="1" customFormat="1" ht="20.25" customHeight="1" x14ac:dyDescent="0.25">
      <c r="A265" s="2"/>
      <c r="B265" s="2"/>
      <c r="C265" s="2"/>
      <c r="D265" s="2">
        <f>COUNTIF(contact[[#This Row],[Bagossy]:[Szo
03:00 - 10:00]],"=~?")</f>
        <v>0</v>
      </c>
      <c r="E265" s="2">
        <f>COUNTIF(contact[[#This Row],[Bagossy]:[Szo
03:00 - 10:00]],"=x")</f>
        <v>0</v>
      </c>
      <c r="F265" s="2">
        <f>SUM(contact[[#This Row],[?]:[x]])</f>
        <v>0</v>
      </c>
      <c r="G2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5" s="2"/>
      <c r="I265" s="2"/>
      <c r="J265" s="3" t="s">
        <v>2105</v>
      </c>
      <c r="K265" s="1" t="s">
        <v>371</v>
      </c>
      <c r="L265" s="1" t="s">
        <v>2</v>
      </c>
      <c r="M265" s="1" t="s">
        <v>2</v>
      </c>
      <c r="O265" s="2"/>
      <c r="P265" s="2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 s="1" customFormat="1" ht="20.25" customHeight="1" x14ac:dyDescent="0.25">
      <c r="A266" s="2"/>
      <c r="B266" s="2"/>
      <c r="C266" s="2"/>
      <c r="D266" s="2">
        <f>COUNTIF(contact[[#This Row],[Bagossy]:[Szo
03:00 - 10:00]],"=~?")</f>
        <v>0</v>
      </c>
      <c r="E266" s="2">
        <f>COUNTIF(contact[[#This Row],[Bagossy]:[Szo
03:00 - 10:00]],"=x")</f>
        <v>0</v>
      </c>
      <c r="F266" s="2">
        <f>SUM(contact[[#This Row],[?]:[x]])</f>
        <v>0</v>
      </c>
      <c r="G2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6" s="2"/>
      <c r="I266" s="2"/>
      <c r="J266" s="3" t="s">
        <v>2143</v>
      </c>
      <c r="K266" s="1" t="s">
        <v>718</v>
      </c>
      <c r="L266" s="1" t="s">
        <v>2</v>
      </c>
      <c r="M266" s="1" t="s">
        <v>2</v>
      </c>
      <c r="O266" s="2"/>
      <c r="P266" s="2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 s="1" customFormat="1" ht="20.25" customHeight="1" x14ac:dyDescent="0.25">
      <c r="A267" s="2"/>
      <c r="B267" s="2"/>
      <c r="C267" s="2"/>
      <c r="D267" s="2">
        <f>COUNTIF(contact[[#This Row],[Bagossy]:[Szo
03:00 - 10:00]],"=~?")</f>
        <v>0</v>
      </c>
      <c r="E267" s="2">
        <f>COUNTIF(contact[[#This Row],[Bagossy]:[Szo
03:00 - 10:00]],"=x")</f>
        <v>0</v>
      </c>
      <c r="F267" s="2">
        <f>SUM(contact[[#This Row],[?]:[x]])</f>
        <v>0</v>
      </c>
      <c r="G2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" s="3" t="s">
        <v>2403</v>
      </c>
      <c r="K267" s="1" t="s">
        <v>287</v>
      </c>
      <c r="L267" s="1" t="s">
        <v>2</v>
      </c>
      <c r="M267" s="1" t="s">
        <v>2</v>
      </c>
      <c r="O267" s="2"/>
      <c r="P267" s="2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 s="1" customFormat="1" ht="20.25" customHeight="1" x14ac:dyDescent="0.25">
      <c r="A268" s="2"/>
      <c r="B268" s="2"/>
      <c r="C268" s="2"/>
      <c r="D268" s="2">
        <f>COUNTIF(contact[[#This Row],[Bagossy]:[Szo
03:00 - 10:00]],"=~?")</f>
        <v>0</v>
      </c>
      <c r="E268" s="2">
        <f>COUNTIF(contact[[#This Row],[Bagossy]:[Szo
03:00 - 10:00]],"=x")</f>
        <v>0</v>
      </c>
      <c r="F268" s="2">
        <f>SUM(contact[[#This Row],[?]:[x]])</f>
        <v>0</v>
      </c>
      <c r="G2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" s="3" t="s">
        <v>3022</v>
      </c>
      <c r="K268" s="1" t="s">
        <v>1543</v>
      </c>
      <c r="L268" s="1" t="s">
        <v>2</v>
      </c>
      <c r="M268" s="1" t="s">
        <v>2</v>
      </c>
      <c r="O268" s="2"/>
      <c r="P268" s="2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 s="1" customFormat="1" ht="20.25" customHeight="1" x14ac:dyDescent="0.25">
      <c r="A269" s="2"/>
      <c r="B269" s="2"/>
      <c r="C269" s="2"/>
      <c r="D269" s="2">
        <f>COUNTIF(contact[[#This Row],[Bagossy]:[Szo
03:00 - 10:00]],"=~?")</f>
        <v>0</v>
      </c>
      <c r="E269" s="2">
        <f>COUNTIF(contact[[#This Row],[Bagossy]:[Szo
03:00 - 10:00]],"=x")</f>
        <v>0</v>
      </c>
      <c r="F269" s="2">
        <f>SUM(contact[[#This Row],[?]:[x]])</f>
        <v>0</v>
      </c>
      <c r="G2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" s="3" t="s">
        <v>3148</v>
      </c>
      <c r="K269" s="1" t="s">
        <v>2</v>
      </c>
      <c r="L269" s="1" t="s">
        <v>2</v>
      </c>
      <c r="M269" s="1" t="s">
        <v>2</v>
      </c>
      <c r="O269" s="2"/>
      <c r="P269" s="2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 s="1" customFormat="1" ht="20.25" customHeight="1" x14ac:dyDescent="0.25">
      <c r="A270" s="2"/>
      <c r="B270" s="2"/>
      <c r="C270" s="2"/>
      <c r="D270" s="2">
        <f>COUNTIF(contact[[#This Row],[Bagossy]:[Szo
03:00 - 10:00]],"=~?")</f>
        <v>0</v>
      </c>
      <c r="E270" s="2">
        <f>COUNTIF(contact[[#This Row],[Bagossy]:[Szo
03:00 - 10:00]],"=x")</f>
        <v>0</v>
      </c>
      <c r="F270" s="2">
        <f>SUM(contact[[#This Row],[?]:[x]])</f>
        <v>0</v>
      </c>
      <c r="G2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0" s="2"/>
      <c r="I270" s="2"/>
      <c r="J270" s="3" t="s">
        <v>2147</v>
      </c>
      <c r="K270" s="1" t="s">
        <v>6</v>
      </c>
      <c r="L270" s="1" t="s">
        <v>2</v>
      </c>
      <c r="M270" s="1" t="s">
        <v>2</v>
      </c>
      <c r="O270" s="2"/>
      <c r="P270" s="2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 s="1" customFormat="1" ht="20.25" customHeight="1" x14ac:dyDescent="0.25">
      <c r="A271" s="2"/>
      <c r="B271" s="2"/>
      <c r="C271" s="2"/>
      <c r="D271" s="2">
        <f>COUNTIF(contact[[#This Row],[Bagossy]:[Szo
03:00 - 10:00]],"=~?")</f>
        <v>0</v>
      </c>
      <c r="E271" s="2">
        <f>COUNTIF(contact[[#This Row],[Bagossy]:[Szo
03:00 - 10:00]],"=x")</f>
        <v>0</v>
      </c>
      <c r="F271" s="2">
        <f>SUM(contact[[#This Row],[?]:[x]])</f>
        <v>0</v>
      </c>
      <c r="G2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1" s="2"/>
      <c r="I271" s="2"/>
      <c r="J271" s="3" t="s">
        <v>2149</v>
      </c>
      <c r="K271" s="1" t="s">
        <v>1348</v>
      </c>
      <c r="L271" s="1" t="s">
        <v>2</v>
      </c>
      <c r="M271" s="1" t="s">
        <v>2</v>
      </c>
      <c r="O271" s="2"/>
      <c r="P271" s="2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 s="1" customFormat="1" ht="20.25" customHeight="1" x14ac:dyDescent="0.25">
      <c r="A272" s="2"/>
      <c r="B272" s="2"/>
      <c r="C272" s="2"/>
      <c r="D272" s="2">
        <f>COUNTIF(contact[[#This Row],[Bagossy]:[Szo
03:00 - 10:00]],"=~?")</f>
        <v>0</v>
      </c>
      <c r="E272" s="2">
        <f>COUNTIF(contact[[#This Row],[Bagossy]:[Szo
03:00 - 10:00]],"=x")</f>
        <v>0</v>
      </c>
      <c r="F272" s="2">
        <f>SUM(contact[[#This Row],[?]:[x]])</f>
        <v>0</v>
      </c>
      <c r="G2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2" s="2"/>
      <c r="I272" s="2"/>
      <c r="J272" s="3" t="s">
        <v>2154</v>
      </c>
      <c r="K272" s="1" t="s">
        <v>1350</v>
      </c>
      <c r="L272" s="1" t="s">
        <v>2</v>
      </c>
      <c r="M272" s="1" t="s">
        <v>2</v>
      </c>
      <c r="O272" s="2"/>
      <c r="P272" s="2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 s="1" customFormat="1" ht="20.25" customHeight="1" x14ac:dyDescent="0.25">
      <c r="A273" s="2"/>
      <c r="B273" s="2"/>
      <c r="C273" s="2"/>
      <c r="D273" s="2">
        <f>COUNTIF(contact[[#This Row],[Bagossy]:[Szo
03:00 - 10:00]],"=~?")</f>
        <v>0</v>
      </c>
      <c r="E273" s="2">
        <f>COUNTIF(contact[[#This Row],[Bagossy]:[Szo
03:00 - 10:00]],"=x")</f>
        <v>0</v>
      </c>
      <c r="F273" s="2">
        <f>SUM(contact[[#This Row],[?]:[x]])</f>
        <v>0</v>
      </c>
      <c r="G2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" s="3" t="s">
        <v>3573</v>
      </c>
      <c r="K273" s="1" t="s">
        <v>855</v>
      </c>
      <c r="L273" s="1" t="s">
        <v>2</v>
      </c>
      <c r="M273" s="1" t="s">
        <v>2</v>
      </c>
      <c r="O273" s="2"/>
      <c r="P273" s="2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s="1" customFormat="1" ht="20.25" customHeight="1" x14ac:dyDescent="0.25">
      <c r="A274" s="2"/>
      <c r="B274" s="2"/>
      <c r="C274" s="2"/>
      <c r="D274" s="2">
        <f>COUNTIF(contact[[#This Row],[Bagossy]:[Szo
03:00 - 10:00]],"=~?")</f>
        <v>0</v>
      </c>
      <c r="E274" s="2">
        <f>COUNTIF(contact[[#This Row],[Bagossy]:[Szo
03:00 - 10:00]],"=x")</f>
        <v>0</v>
      </c>
      <c r="F274" s="2">
        <f>SUM(contact[[#This Row],[?]:[x]])</f>
        <v>0</v>
      </c>
      <c r="G2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4" s="2"/>
      <c r="I274" s="2"/>
      <c r="J274" s="3" t="s">
        <v>2164</v>
      </c>
      <c r="K274" s="1" t="s">
        <v>1355</v>
      </c>
      <c r="L274" s="1" t="s">
        <v>2</v>
      </c>
      <c r="M274" s="1" t="s">
        <v>2</v>
      </c>
      <c r="O274" s="2"/>
      <c r="P274" s="2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s="1" customFormat="1" ht="20.25" customHeight="1" x14ac:dyDescent="0.25">
      <c r="A275" s="2"/>
      <c r="B275" s="2"/>
      <c r="C275" s="2"/>
      <c r="D275" s="2">
        <f>COUNTIF(contact[[#This Row],[Bagossy]:[Szo
03:00 - 10:00]],"=~?")</f>
        <v>0</v>
      </c>
      <c r="E275" s="2">
        <f>COUNTIF(contact[[#This Row],[Bagossy]:[Szo
03:00 - 10:00]],"=x")</f>
        <v>0</v>
      </c>
      <c r="F275" s="2">
        <f>SUM(contact[[#This Row],[?]:[x]])</f>
        <v>0</v>
      </c>
      <c r="G2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" s="3" t="s">
        <v>1905</v>
      </c>
      <c r="K275" s="1" t="s">
        <v>1288</v>
      </c>
      <c r="L275" s="1" t="s">
        <v>2</v>
      </c>
      <c r="M275" s="1" t="s">
        <v>2</v>
      </c>
      <c r="O275" s="2"/>
      <c r="P275" s="2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s="1" customFormat="1" ht="20.25" customHeight="1" x14ac:dyDescent="0.25">
      <c r="A276" s="2"/>
      <c r="B276" s="2"/>
      <c r="C276" s="2"/>
      <c r="D276" s="2">
        <f>COUNTIF(contact[[#This Row],[Bagossy]:[Szo
03:00 - 10:00]],"=~?")</f>
        <v>0</v>
      </c>
      <c r="E276" s="2">
        <f>COUNTIF(contact[[#This Row],[Bagossy]:[Szo
03:00 - 10:00]],"=x")</f>
        <v>0</v>
      </c>
      <c r="F276" s="2">
        <f>SUM(contact[[#This Row],[?]:[x]])</f>
        <v>0</v>
      </c>
      <c r="G2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" s="3" t="s">
        <v>3435</v>
      </c>
      <c r="K276" s="1" t="s">
        <v>1644</v>
      </c>
      <c r="L276" s="1" t="s">
        <v>2</v>
      </c>
      <c r="M276" s="1" t="s">
        <v>2</v>
      </c>
      <c r="O276" s="2"/>
      <c r="P276" s="2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s="1" customFormat="1" ht="20.25" customHeight="1" x14ac:dyDescent="0.25">
      <c r="A277" s="2"/>
      <c r="B277" s="2"/>
      <c r="C277" s="2"/>
      <c r="D277" s="2">
        <f>COUNTIF(contact[[#This Row],[Bagossy]:[Szo
03:00 - 10:00]],"=~?")</f>
        <v>0</v>
      </c>
      <c r="E277" s="2">
        <f>COUNTIF(contact[[#This Row],[Bagossy]:[Szo
03:00 - 10:00]],"=x")</f>
        <v>0</v>
      </c>
      <c r="F277" s="2">
        <f>SUM(contact[[#This Row],[?]:[x]])</f>
        <v>0</v>
      </c>
      <c r="G2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" s="3" t="s">
        <v>3762</v>
      </c>
      <c r="K277" s="1" t="s">
        <v>932</v>
      </c>
      <c r="L277" s="1" t="s">
        <v>2</v>
      </c>
      <c r="M277" s="1" t="s">
        <v>2</v>
      </c>
      <c r="O277" s="2"/>
      <c r="P277" s="2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s="1" customFormat="1" ht="20.25" customHeight="1" x14ac:dyDescent="0.25">
      <c r="A278" s="2"/>
      <c r="B278" s="2"/>
      <c r="C278" s="2"/>
      <c r="D278" s="2">
        <f>COUNTIF(contact[[#This Row],[Bagossy]:[Szo
03:00 - 10:00]],"=~?")</f>
        <v>0</v>
      </c>
      <c r="E278" s="2">
        <f>COUNTIF(contact[[#This Row],[Bagossy]:[Szo
03:00 - 10:00]],"=x")</f>
        <v>0</v>
      </c>
      <c r="F278" s="2">
        <f>SUM(contact[[#This Row],[?]:[x]])</f>
        <v>0</v>
      </c>
      <c r="G2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8" s="2"/>
      <c r="I278" s="2"/>
      <c r="J278" s="3" t="s">
        <v>2167</v>
      </c>
      <c r="K278" s="1" t="s">
        <v>304</v>
      </c>
      <c r="L278" s="1" t="s">
        <v>2</v>
      </c>
      <c r="M278" s="1" t="s">
        <v>2</v>
      </c>
      <c r="O278" s="2"/>
      <c r="P278" s="2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 s="1" customFormat="1" ht="20.25" customHeight="1" x14ac:dyDescent="0.25">
      <c r="A279" s="2"/>
      <c r="B279" s="2"/>
      <c r="C279" s="2"/>
      <c r="D279" s="2">
        <f>COUNTIF(contact[[#This Row],[Bagossy]:[Szo
03:00 - 10:00]],"=~?")</f>
        <v>0</v>
      </c>
      <c r="E279" s="2">
        <f>COUNTIF(contact[[#This Row],[Bagossy]:[Szo
03:00 - 10:00]],"=x")</f>
        <v>0</v>
      </c>
      <c r="F279" s="2">
        <f>SUM(contact[[#This Row],[?]:[x]])</f>
        <v>0</v>
      </c>
      <c r="G2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" s="3" t="s">
        <v>1906</v>
      </c>
      <c r="K279" s="1" t="s">
        <v>2</v>
      </c>
      <c r="L279" s="1" t="s">
        <v>2</v>
      </c>
      <c r="M279" s="1" t="s">
        <v>2</v>
      </c>
      <c r="O279" s="2"/>
      <c r="P279" s="2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 s="1" customFormat="1" ht="20.25" customHeight="1" x14ac:dyDescent="0.25">
      <c r="A280" s="2"/>
      <c r="B280" s="2"/>
      <c r="C280" s="2"/>
      <c r="D280" s="2">
        <f>COUNTIF(contact[[#This Row],[Bagossy]:[Szo
03:00 - 10:00]],"=~?")</f>
        <v>0</v>
      </c>
      <c r="E280" s="2">
        <f>COUNTIF(contact[[#This Row],[Bagossy]:[Szo
03:00 - 10:00]],"=x")</f>
        <v>0</v>
      </c>
      <c r="F280" s="2">
        <f>SUM(contact[[#This Row],[?]:[x]])</f>
        <v>0</v>
      </c>
      <c r="G2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" s="3" t="s">
        <v>3922</v>
      </c>
      <c r="K280" s="1" t="s">
        <v>830</v>
      </c>
      <c r="L280" s="1" t="s">
        <v>2</v>
      </c>
      <c r="M280" s="1" t="s">
        <v>2</v>
      </c>
      <c r="O280" s="2"/>
      <c r="P280" s="2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 s="1" customFormat="1" ht="20.25" customHeight="1" x14ac:dyDescent="0.25">
      <c r="A281" s="2"/>
      <c r="B281" s="2"/>
      <c r="C281" s="2"/>
      <c r="D281" s="2">
        <f>COUNTIF(contact[[#This Row],[Bagossy]:[Szo
03:00 - 10:00]],"=~?")</f>
        <v>0</v>
      </c>
      <c r="E281" s="2">
        <f>COUNTIF(contact[[#This Row],[Bagossy]:[Szo
03:00 - 10:00]],"=x")</f>
        <v>0</v>
      </c>
      <c r="F281" s="2">
        <f>SUM(contact[[#This Row],[?]:[x]])</f>
        <v>0</v>
      </c>
      <c r="G2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" s="3" t="s">
        <v>4070</v>
      </c>
      <c r="K281" s="1" t="s">
        <v>2</v>
      </c>
      <c r="L281" s="1" t="s">
        <v>2</v>
      </c>
      <c r="M281" s="1" t="s">
        <v>2</v>
      </c>
      <c r="O281" s="2"/>
      <c r="P281" s="2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 s="1" customFormat="1" ht="20.25" customHeight="1" x14ac:dyDescent="0.25">
      <c r="A282" s="2"/>
      <c r="B282" s="2"/>
      <c r="C282" s="2"/>
      <c r="D282" s="2">
        <f>COUNTIF(contact[[#This Row],[Bagossy]:[Szo
03:00 - 10:00]],"=~?")</f>
        <v>0</v>
      </c>
      <c r="E282" s="2">
        <f>COUNTIF(contact[[#This Row],[Bagossy]:[Szo
03:00 - 10:00]],"=x")</f>
        <v>0</v>
      </c>
      <c r="F282" s="2">
        <f>SUM(contact[[#This Row],[?]:[x]])</f>
        <v>0</v>
      </c>
      <c r="G2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2" s="2"/>
      <c r="I282" s="2"/>
      <c r="J282" s="3" t="s">
        <v>2171</v>
      </c>
      <c r="K282" s="1" t="s">
        <v>1168</v>
      </c>
      <c r="L282" s="1" t="s">
        <v>2</v>
      </c>
      <c r="M282" s="1" t="s">
        <v>2</v>
      </c>
      <c r="O282" s="2"/>
      <c r="P282" s="2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 s="1" customFormat="1" ht="20.25" customHeight="1" x14ac:dyDescent="0.25">
      <c r="A283" s="2"/>
      <c r="B283" s="2"/>
      <c r="C283" s="2"/>
      <c r="D283" s="2">
        <f>COUNTIF(contact[[#This Row],[Bagossy]:[Szo
03:00 - 10:00]],"=~?")</f>
        <v>0</v>
      </c>
      <c r="E283" s="2">
        <f>COUNTIF(contact[[#This Row],[Bagossy]:[Szo
03:00 - 10:00]],"=x")</f>
        <v>0</v>
      </c>
      <c r="F283" s="2">
        <f>SUM(contact[[#This Row],[?]:[x]])</f>
        <v>0</v>
      </c>
      <c r="G2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" s="3" t="s">
        <v>2091</v>
      </c>
      <c r="K283" s="1" t="s">
        <v>2</v>
      </c>
      <c r="L283" s="1" t="s">
        <v>2</v>
      </c>
      <c r="M283" s="1" t="s">
        <v>2</v>
      </c>
      <c r="O283" s="2"/>
      <c r="P283" s="2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 s="1" customFormat="1" ht="20.25" customHeight="1" x14ac:dyDescent="0.25">
      <c r="A284" s="2"/>
      <c r="B284" s="2"/>
      <c r="C284" s="2"/>
      <c r="D284" s="2">
        <f>COUNTIF(contact[[#This Row],[Bagossy]:[Szo
03:00 - 10:00]],"=~?")</f>
        <v>0</v>
      </c>
      <c r="E284" s="2">
        <f>COUNTIF(contact[[#This Row],[Bagossy]:[Szo
03:00 - 10:00]],"=x")</f>
        <v>0</v>
      </c>
      <c r="F284" s="2">
        <f>SUM(contact[[#This Row],[?]:[x]])</f>
        <v>0</v>
      </c>
      <c r="G2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4" s="2"/>
      <c r="I284" s="2"/>
      <c r="J284" s="3" t="s">
        <v>2173</v>
      </c>
      <c r="K284" s="1" t="s">
        <v>1358</v>
      </c>
      <c r="L284" s="1" t="s">
        <v>2</v>
      </c>
      <c r="M284" s="1" t="s">
        <v>2</v>
      </c>
      <c r="O284" s="2"/>
      <c r="P284" s="2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 s="1" customFormat="1" ht="20.25" customHeight="1" x14ac:dyDescent="0.25">
      <c r="A285" s="2"/>
      <c r="B285" s="2"/>
      <c r="C285" s="2"/>
      <c r="D285" s="2">
        <f>COUNTIF(contact[[#This Row],[Bagossy]:[Szo
03:00 - 10:00]],"=~?")</f>
        <v>0</v>
      </c>
      <c r="E285" s="2">
        <f>COUNTIF(contact[[#This Row],[Bagossy]:[Szo
03:00 - 10:00]],"=x")</f>
        <v>0</v>
      </c>
      <c r="F285" s="2">
        <f>SUM(contact[[#This Row],[?]:[x]])</f>
        <v>0</v>
      </c>
      <c r="G2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" s="3" t="s">
        <v>4262</v>
      </c>
      <c r="K285" s="1" t="s">
        <v>1824</v>
      </c>
      <c r="L285" s="1" t="s">
        <v>2</v>
      </c>
      <c r="M285" s="1" t="s">
        <v>2</v>
      </c>
      <c r="O285" s="2"/>
      <c r="P285" s="2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 s="1" customFormat="1" ht="20.25" customHeight="1" x14ac:dyDescent="0.25">
      <c r="A286" s="2"/>
      <c r="B286" s="2"/>
      <c r="C286" s="2"/>
      <c r="D286" s="2">
        <f>COUNTIF(contact[[#This Row],[Bagossy]:[Szo
03:00 - 10:00]],"=~?")</f>
        <v>0</v>
      </c>
      <c r="E286" s="2">
        <f>COUNTIF(contact[[#This Row],[Bagossy]:[Szo
03:00 - 10:00]],"=x")</f>
        <v>0</v>
      </c>
      <c r="F286" s="2">
        <f>SUM(contact[[#This Row],[?]:[x]])</f>
        <v>0</v>
      </c>
      <c r="G2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" s="3" t="s">
        <v>3960</v>
      </c>
      <c r="K286" s="1" t="s">
        <v>1747</v>
      </c>
      <c r="L286" s="1" t="s">
        <v>2</v>
      </c>
      <c r="M286" s="1" t="s">
        <v>2</v>
      </c>
      <c r="O286" s="2"/>
      <c r="P286" s="2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 s="1" customFormat="1" ht="20.25" customHeight="1" x14ac:dyDescent="0.25">
      <c r="A287" s="2"/>
      <c r="B287" s="2"/>
      <c r="C287" s="2"/>
      <c r="D287" s="2">
        <f>COUNTIF(contact[[#This Row],[Bagossy]:[Szo
03:00 - 10:00]],"=~?")</f>
        <v>0</v>
      </c>
      <c r="E287" s="2">
        <f>COUNTIF(contact[[#This Row],[Bagossy]:[Szo
03:00 - 10:00]],"=x")</f>
        <v>0</v>
      </c>
      <c r="F287" s="2">
        <f>SUM(contact[[#This Row],[?]:[x]])</f>
        <v>0</v>
      </c>
      <c r="G2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" s="3" t="s">
        <v>1949</v>
      </c>
      <c r="K287" s="1" t="s">
        <v>31</v>
      </c>
      <c r="L287" s="1" t="s">
        <v>2</v>
      </c>
      <c r="M287" s="1" t="s">
        <v>2</v>
      </c>
      <c r="O287" s="2"/>
      <c r="P287" s="2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 s="1" customFormat="1" ht="20.25" customHeight="1" x14ac:dyDescent="0.25">
      <c r="A288" s="2"/>
      <c r="B288" s="2"/>
      <c r="C288" s="2"/>
      <c r="D288" s="2">
        <f>COUNTIF(contact[[#This Row],[Bagossy]:[Szo
03:00 - 10:00]],"=~?")</f>
        <v>0</v>
      </c>
      <c r="E288" s="2">
        <f>COUNTIF(contact[[#This Row],[Bagossy]:[Szo
03:00 - 10:00]],"=x")</f>
        <v>0</v>
      </c>
      <c r="F288" s="2">
        <f>SUM(contact[[#This Row],[?]:[x]])</f>
        <v>0</v>
      </c>
      <c r="G2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" s="3" t="s">
        <v>3113</v>
      </c>
      <c r="K288" s="1" t="s">
        <v>652</v>
      </c>
      <c r="L288" s="1" t="s">
        <v>2</v>
      </c>
      <c r="M288" s="1" t="s">
        <v>2</v>
      </c>
      <c r="O288" s="2"/>
      <c r="P288" s="2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 s="1" customFormat="1" ht="20.25" customHeight="1" x14ac:dyDescent="0.25">
      <c r="A289" s="2"/>
      <c r="B289" s="2"/>
      <c r="C289" s="2"/>
      <c r="D289" s="2">
        <f>COUNTIF(contact[[#This Row],[Bagossy]:[Szo
03:00 - 10:00]],"=~?")</f>
        <v>0</v>
      </c>
      <c r="E289" s="2">
        <f>COUNTIF(contact[[#This Row],[Bagossy]:[Szo
03:00 - 10:00]],"=x")</f>
        <v>0</v>
      </c>
      <c r="F289" s="2">
        <f>SUM(contact[[#This Row],[?]:[x]])</f>
        <v>0</v>
      </c>
      <c r="G2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" s="3" t="s">
        <v>3221</v>
      </c>
      <c r="K289" s="1" t="s">
        <v>2</v>
      </c>
      <c r="L289" s="1" t="s">
        <v>2</v>
      </c>
      <c r="M289" s="1" t="s">
        <v>2</v>
      </c>
      <c r="O289" s="2"/>
      <c r="P289" s="2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 s="1" customFormat="1" ht="20.25" customHeight="1" x14ac:dyDescent="0.25">
      <c r="A290" s="2"/>
      <c r="B290" s="2"/>
      <c r="C290" s="2"/>
      <c r="D290" s="2">
        <f>COUNTIF(contact[[#This Row],[Bagossy]:[Szo
03:00 - 10:00]],"=~?")</f>
        <v>0</v>
      </c>
      <c r="E290" s="2">
        <f>COUNTIF(contact[[#This Row],[Bagossy]:[Szo
03:00 - 10:00]],"=x")</f>
        <v>0</v>
      </c>
      <c r="F290" s="2">
        <f>SUM(contact[[#This Row],[?]:[x]])</f>
        <v>0</v>
      </c>
      <c r="G2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" s="3" t="s">
        <v>2382</v>
      </c>
      <c r="K290" s="1" t="s">
        <v>2</v>
      </c>
      <c r="L290" s="1" t="s">
        <v>2</v>
      </c>
      <c r="M290" s="1" t="s">
        <v>2</v>
      </c>
      <c r="O290" s="2"/>
      <c r="P290" s="2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 s="1" customFormat="1" ht="20.25" customHeight="1" x14ac:dyDescent="0.25">
      <c r="A291" s="2"/>
      <c r="B291" s="2"/>
      <c r="C291" s="2"/>
      <c r="D291" s="2">
        <f>COUNTIF(contact[[#This Row],[Bagossy]:[Szo
03:00 - 10:00]],"=~?")</f>
        <v>0</v>
      </c>
      <c r="E291" s="2">
        <f>COUNTIF(contact[[#This Row],[Bagossy]:[Szo
03:00 - 10:00]],"=x")</f>
        <v>0</v>
      </c>
      <c r="F291" s="2">
        <f>SUM(contact[[#This Row],[?]:[x]])</f>
        <v>0</v>
      </c>
      <c r="G2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1" s="3" t="s">
        <v>229</v>
      </c>
      <c r="K291" s="1" t="s">
        <v>2</v>
      </c>
      <c r="L291" s="1" t="s">
        <v>2</v>
      </c>
      <c r="M291" s="1" t="s">
        <v>2</v>
      </c>
      <c r="O291" s="2"/>
      <c r="P291" s="2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 s="1" customFormat="1" ht="20.25" customHeight="1" x14ac:dyDescent="0.25">
      <c r="A292" s="2"/>
      <c r="B292" s="2"/>
      <c r="C292" s="2"/>
      <c r="D292" s="2">
        <f>COUNTIF(contact[[#This Row],[Bagossy]:[Szo
03:00 - 10:00]],"=~?")</f>
        <v>0</v>
      </c>
      <c r="E292" s="2">
        <f>COUNTIF(contact[[#This Row],[Bagossy]:[Szo
03:00 - 10:00]],"=x")</f>
        <v>0</v>
      </c>
      <c r="F292" s="2">
        <f>SUM(contact[[#This Row],[?]:[x]])</f>
        <v>0</v>
      </c>
      <c r="G2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" s="3" t="s">
        <v>2950</v>
      </c>
      <c r="K292" s="1" t="s">
        <v>574</v>
      </c>
      <c r="L292" s="1" t="s">
        <v>2</v>
      </c>
      <c r="M292" s="1" t="s">
        <v>2</v>
      </c>
      <c r="O292" s="2"/>
      <c r="P292" s="2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 s="1" customFormat="1" ht="20.25" customHeight="1" x14ac:dyDescent="0.25">
      <c r="A293" s="2"/>
      <c r="B293" s="2"/>
      <c r="C293" s="2"/>
      <c r="D293" s="2">
        <f>COUNTIF(contact[[#This Row],[Bagossy]:[Szo
03:00 - 10:00]],"=~?")</f>
        <v>0</v>
      </c>
      <c r="E293" s="2">
        <f>COUNTIF(contact[[#This Row],[Bagossy]:[Szo
03:00 - 10:00]],"=x")</f>
        <v>0</v>
      </c>
      <c r="F293" s="2">
        <f>SUM(contact[[#This Row],[?]:[x]])</f>
        <v>0</v>
      </c>
      <c r="G2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" s="3" t="s">
        <v>2658</v>
      </c>
      <c r="K293" s="1" t="s">
        <v>94</v>
      </c>
      <c r="L293" s="1" t="s">
        <v>2</v>
      </c>
      <c r="M293" s="1" t="s">
        <v>2</v>
      </c>
      <c r="O293" s="2"/>
      <c r="P293" s="2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 s="1" customFormat="1" ht="20.25" customHeight="1" x14ac:dyDescent="0.25">
      <c r="A294" s="2"/>
      <c r="B294" s="2"/>
      <c r="C294" s="2"/>
      <c r="D294" s="2">
        <f>COUNTIF(contact[[#This Row],[Bagossy]:[Szo
03:00 - 10:00]],"=~?")</f>
        <v>0</v>
      </c>
      <c r="E294" s="2">
        <f>COUNTIF(contact[[#This Row],[Bagossy]:[Szo
03:00 - 10:00]],"=x")</f>
        <v>0</v>
      </c>
      <c r="F294" s="2">
        <f>SUM(contact[[#This Row],[?]:[x]])</f>
        <v>0</v>
      </c>
      <c r="G2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" s="3" t="s">
        <v>3506</v>
      </c>
      <c r="K294" s="1" t="s">
        <v>817</v>
      </c>
      <c r="L294" s="1" t="s">
        <v>2</v>
      </c>
      <c r="M294" s="1" t="s">
        <v>2</v>
      </c>
      <c r="O294" s="2"/>
      <c r="P294" s="2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 s="1" customFormat="1" ht="20.25" customHeight="1" x14ac:dyDescent="0.25">
      <c r="A295" s="2"/>
      <c r="B295" s="2"/>
      <c r="C295" s="2"/>
      <c r="D295" s="2">
        <f>COUNTIF(contact[[#This Row],[Bagossy]:[Szo
03:00 - 10:00]],"=~?")</f>
        <v>0</v>
      </c>
      <c r="E295" s="2">
        <f>COUNTIF(contact[[#This Row],[Bagossy]:[Szo
03:00 - 10:00]],"=x")</f>
        <v>0</v>
      </c>
      <c r="F295" s="2">
        <f>SUM(contact[[#This Row],[?]:[x]])</f>
        <v>0</v>
      </c>
      <c r="G2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" s="3" t="s">
        <v>234</v>
      </c>
      <c r="K295" s="1" t="s">
        <v>2</v>
      </c>
      <c r="L295" s="1" t="s">
        <v>2</v>
      </c>
      <c r="M295" s="1" t="s">
        <v>2</v>
      </c>
      <c r="O295" s="2"/>
      <c r="P295" s="2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 s="1" customFormat="1" ht="20.25" customHeight="1" x14ac:dyDescent="0.25">
      <c r="A296" s="2"/>
      <c r="B296" s="2"/>
      <c r="C296" s="2"/>
      <c r="D296" s="2">
        <f>COUNTIF(contact[[#This Row],[Bagossy]:[Szo
03:00 - 10:00]],"=~?")</f>
        <v>0</v>
      </c>
      <c r="E296" s="2">
        <f>COUNTIF(contact[[#This Row],[Bagossy]:[Szo
03:00 - 10:00]],"=x")</f>
        <v>0</v>
      </c>
      <c r="F296" s="2">
        <f>SUM(contact[[#This Row],[?]:[x]])</f>
        <v>0</v>
      </c>
      <c r="G2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6" s="2"/>
      <c r="I296" s="2"/>
      <c r="J296" s="3" t="s">
        <v>2174</v>
      </c>
      <c r="K296" s="1" t="s">
        <v>715</v>
      </c>
      <c r="L296" s="1" t="s">
        <v>2</v>
      </c>
      <c r="M296" s="1" t="s">
        <v>2</v>
      </c>
      <c r="O296" s="2"/>
      <c r="P296" s="2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 s="1" customFormat="1" ht="20.25" customHeight="1" x14ac:dyDescent="0.25">
      <c r="A297" s="2"/>
      <c r="B297" s="2"/>
      <c r="C297" s="2"/>
      <c r="D297" s="2">
        <f>COUNTIF(contact[[#This Row],[Bagossy]:[Szo
03:00 - 10:00]],"=~?")</f>
        <v>0</v>
      </c>
      <c r="E297" s="2">
        <f>COUNTIF(contact[[#This Row],[Bagossy]:[Szo
03:00 - 10:00]],"=x")</f>
        <v>0</v>
      </c>
      <c r="F297" s="2">
        <f>SUM(contact[[#This Row],[?]:[x]])</f>
        <v>0</v>
      </c>
      <c r="G2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7" s="3" t="s">
        <v>240</v>
      </c>
      <c r="K297" s="1" t="s">
        <v>2</v>
      </c>
      <c r="L297" s="1" t="s">
        <v>2</v>
      </c>
      <c r="M297" s="1" t="s">
        <v>2</v>
      </c>
      <c r="O297" s="2"/>
      <c r="P297" s="2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 s="1" customFormat="1" ht="20.25" customHeight="1" x14ac:dyDescent="0.25">
      <c r="A298" s="2"/>
      <c r="B298" s="2"/>
      <c r="C298" s="2"/>
      <c r="D298" s="2">
        <f>COUNTIF(contact[[#This Row],[Bagossy]:[Szo
03:00 - 10:00]],"=~?")</f>
        <v>0</v>
      </c>
      <c r="E298" s="2">
        <f>COUNTIF(contact[[#This Row],[Bagossy]:[Szo
03:00 - 10:00]],"=x")</f>
        <v>0</v>
      </c>
      <c r="F298" s="2">
        <f>SUM(contact[[#This Row],[?]:[x]])</f>
        <v>0</v>
      </c>
      <c r="G2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" s="3" t="s">
        <v>2222</v>
      </c>
      <c r="K298" s="1" t="s">
        <v>2</v>
      </c>
      <c r="L298" s="1" t="s">
        <v>2</v>
      </c>
      <c r="M298" s="1" t="s">
        <v>2</v>
      </c>
      <c r="O298" s="2"/>
      <c r="P298" s="2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 s="1" customFormat="1" ht="20.25" customHeight="1" x14ac:dyDescent="0.25">
      <c r="A299" s="2"/>
      <c r="B299" s="2"/>
      <c r="C299" s="2"/>
      <c r="D299" s="2">
        <f>COUNTIF(contact[[#This Row],[Bagossy]:[Szo
03:00 - 10:00]],"=~?")</f>
        <v>0</v>
      </c>
      <c r="E299" s="2">
        <f>COUNTIF(contact[[#This Row],[Bagossy]:[Szo
03:00 - 10:00]],"=x")</f>
        <v>0</v>
      </c>
      <c r="F299" s="2">
        <f>SUM(contact[[#This Row],[?]:[x]])</f>
        <v>0</v>
      </c>
      <c r="G2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" s="3" t="s">
        <v>3299</v>
      </c>
      <c r="K299" s="1" t="s">
        <v>62</v>
      </c>
      <c r="L299" s="1" t="s">
        <v>2</v>
      </c>
      <c r="M299" s="1" t="s">
        <v>2</v>
      </c>
      <c r="O299" s="2"/>
      <c r="P299" s="2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 s="1" customFormat="1" ht="20.25" customHeight="1" x14ac:dyDescent="0.25">
      <c r="A300" s="2"/>
      <c r="B300" s="2"/>
      <c r="C300" s="2"/>
      <c r="D300" s="2">
        <f>COUNTIF(contact[[#This Row],[Bagossy]:[Szo
03:00 - 10:00]],"=~?")</f>
        <v>0</v>
      </c>
      <c r="E300" s="2">
        <f>COUNTIF(contact[[#This Row],[Bagossy]:[Szo
03:00 - 10:00]],"=x")</f>
        <v>0</v>
      </c>
      <c r="F300" s="2">
        <f>SUM(contact[[#This Row],[?]:[x]])</f>
        <v>0</v>
      </c>
      <c r="G3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" s="3" t="s">
        <v>255</v>
      </c>
      <c r="K300" s="1" t="s">
        <v>2</v>
      </c>
      <c r="L300" s="1" t="s">
        <v>2</v>
      </c>
      <c r="M300" s="1" t="s">
        <v>2</v>
      </c>
      <c r="O300" s="2"/>
      <c r="P300" s="2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 s="1" customFormat="1" ht="20.25" customHeight="1" x14ac:dyDescent="0.25">
      <c r="A301" s="2"/>
      <c r="B301" s="2"/>
      <c r="C301" s="2"/>
      <c r="D301" s="2">
        <f>COUNTIF(contact[[#This Row],[Bagossy]:[Szo
03:00 - 10:00]],"=~?")</f>
        <v>0</v>
      </c>
      <c r="E301" s="2">
        <f>COUNTIF(contact[[#This Row],[Bagossy]:[Szo
03:00 - 10:00]],"=x")</f>
        <v>0</v>
      </c>
      <c r="F301" s="2">
        <f>SUM(contact[[#This Row],[?]:[x]])</f>
        <v>0</v>
      </c>
      <c r="G3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" s="3" t="s">
        <v>3149</v>
      </c>
      <c r="K301" s="1" t="s">
        <v>391</v>
      </c>
      <c r="L301" s="1" t="s">
        <v>2</v>
      </c>
      <c r="M301" s="1" t="s">
        <v>2</v>
      </c>
      <c r="O301" s="2"/>
      <c r="P301" s="2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 s="1" customFormat="1" ht="20.25" customHeight="1" x14ac:dyDescent="0.25">
      <c r="A302" s="2"/>
      <c r="B302" s="2"/>
      <c r="C302" s="2"/>
      <c r="D302" s="2">
        <f>COUNTIF(contact[[#This Row],[Bagossy]:[Szo
03:00 - 10:00]],"=~?")</f>
        <v>0</v>
      </c>
      <c r="E302" s="2">
        <f>COUNTIF(contact[[#This Row],[Bagossy]:[Szo
03:00 - 10:00]],"=x")</f>
        <v>0</v>
      </c>
      <c r="F302" s="2">
        <f>SUM(contact[[#This Row],[?]:[x]])</f>
        <v>0</v>
      </c>
      <c r="G3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" s="3" t="s">
        <v>3866</v>
      </c>
      <c r="K302" s="1" t="s">
        <v>987</v>
      </c>
      <c r="L302" s="1" t="s">
        <v>2</v>
      </c>
      <c r="M302" s="1" t="s">
        <v>2</v>
      </c>
      <c r="O302" s="2"/>
      <c r="P302" s="2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 s="1" customFormat="1" ht="20.25" customHeight="1" x14ac:dyDescent="0.25">
      <c r="A303" s="2"/>
      <c r="B303" s="2"/>
      <c r="C303" s="2"/>
      <c r="D303" s="2">
        <f>COUNTIF(contact[[#This Row],[Bagossy]:[Szo
03:00 - 10:00]],"=~?")</f>
        <v>0</v>
      </c>
      <c r="E303" s="2">
        <f>COUNTIF(contact[[#This Row],[Bagossy]:[Szo
03:00 - 10:00]],"=x")</f>
        <v>0</v>
      </c>
      <c r="F303" s="2">
        <f>SUM(contact[[#This Row],[?]:[x]])</f>
        <v>0</v>
      </c>
      <c r="G3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" s="3" t="s">
        <v>2921</v>
      </c>
      <c r="K303" s="1" t="s">
        <v>1518</v>
      </c>
      <c r="L303" s="1" t="s">
        <v>2</v>
      </c>
      <c r="M303" s="1" t="s">
        <v>2</v>
      </c>
      <c r="O303" s="2"/>
      <c r="P303" s="2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 s="1" customFormat="1" ht="20.25" customHeight="1" x14ac:dyDescent="0.25">
      <c r="A304" s="2"/>
      <c r="B304" s="2"/>
      <c r="C304" s="2"/>
      <c r="D304" s="2">
        <f>COUNTIF(contact[[#This Row],[Bagossy]:[Szo
03:00 - 10:00]],"=~?")</f>
        <v>0</v>
      </c>
      <c r="E304" s="2">
        <f>COUNTIF(contact[[#This Row],[Bagossy]:[Szo
03:00 - 10:00]],"=x")</f>
        <v>0</v>
      </c>
      <c r="F304" s="2">
        <f>SUM(contact[[#This Row],[?]:[x]])</f>
        <v>0</v>
      </c>
      <c r="G3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" s="3" t="s">
        <v>2045</v>
      </c>
      <c r="K304" s="1" t="s">
        <v>1323</v>
      </c>
      <c r="L304" s="1" t="s">
        <v>2</v>
      </c>
      <c r="M304" s="1" t="s">
        <v>2</v>
      </c>
      <c r="O304" s="2"/>
      <c r="P304" s="2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 s="1" customFormat="1" ht="20.25" customHeight="1" x14ac:dyDescent="0.25">
      <c r="A305" s="2" t="s">
        <v>1285</v>
      </c>
      <c r="B305" s="2" t="s">
        <v>1285</v>
      </c>
      <c r="C305" s="2" t="s">
        <v>1285</v>
      </c>
      <c r="D305" s="2">
        <f>COUNTIF(contact[[#This Row],[Bagossy]:[Szo
03:00 - 10:00]],"=~?")</f>
        <v>0</v>
      </c>
      <c r="E305" s="2">
        <f>COUNTIF(contact[[#This Row],[Bagossy]:[Szo
03:00 - 10:00]],"=x")</f>
        <v>4</v>
      </c>
      <c r="F305" s="2">
        <f>SUM(contact[[#This Row],[?]:[x]])</f>
        <v>4</v>
      </c>
      <c r="G305" s="2">
        <f>COUNTIF(contact[[#This Row],[Sze
10:00 - 22:00]:[Cs
03:00 - 08:00]],"=x")+COUNTIF(contact[[#This Row],[P
08:00 - 12:00]:[P
03:00 - 08:00]],"=x")+COUNTIF(contact[[#This Row],[Szo
08:00 - 12:00]:[Szo
03:00 - 10:00]],"=x")</f>
        <v>4</v>
      </c>
      <c r="H305" s="2" t="s">
        <v>4623</v>
      </c>
      <c r="I305" s="2"/>
      <c r="J305" s="3" t="s">
        <v>2175</v>
      </c>
      <c r="K305" s="1" t="s">
        <v>559</v>
      </c>
      <c r="L305" s="1" t="s">
        <v>2</v>
      </c>
      <c r="M305" s="1" t="s">
        <v>2</v>
      </c>
      <c r="N305" s="2" t="s">
        <v>4612</v>
      </c>
      <c r="O305" s="2"/>
      <c r="P305" s="2"/>
      <c r="Q305" s="6"/>
      <c r="R305" s="6"/>
      <c r="S305" s="6"/>
      <c r="T305" s="6"/>
      <c r="U305" s="6" t="s">
        <v>4612</v>
      </c>
      <c r="V305" s="6"/>
      <c r="W305" s="6"/>
      <c r="X305" s="6" t="s">
        <v>1285</v>
      </c>
      <c r="Y305" s="6" t="s">
        <v>1285</v>
      </c>
      <c r="Z305" s="6"/>
      <c r="AA305" s="6"/>
      <c r="AB305" s="6"/>
      <c r="AC305" s="6" t="s">
        <v>1285</v>
      </c>
      <c r="AD305" s="6" t="s">
        <v>1285</v>
      </c>
      <c r="AE305" s="6"/>
      <c r="AF305" s="6"/>
    </row>
    <row r="306" spans="1:32" s="1" customFormat="1" ht="20.25" customHeight="1" x14ac:dyDescent="0.25">
      <c r="A306" s="2"/>
      <c r="B306" s="2"/>
      <c r="C306" s="2"/>
      <c r="D306" s="2">
        <f>COUNTIF(contact[[#This Row],[Bagossy]:[Szo
03:00 - 10:00]],"=~?")</f>
        <v>0</v>
      </c>
      <c r="E306" s="2">
        <f>COUNTIF(contact[[#This Row],[Bagossy]:[Szo
03:00 - 10:00]],"=x")</f>
        <v>0</v>
      </c>
      <c r="F306" s="2">
        <f>SUM(contact[[#This Row],[?]:[x]])</f>
        <v>0</v>
      </c>
      <c r="G3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6" s="2"/>
      <c r="I306" s="2"/>
      <c r="J306" s="3" t="s">
        <v>2176</v>
      </c>
      <c r="K306" s="1" t="s">
        <v>1359</v>
      </c>
      <c r="L306" s="1" t="s">
        <v>2</v>
      </c>
      <c r="M306" s="1" t="s">
        <v>2</v>
      </c>
      <c r="O306" s="2"/>
      <c r="P306" s="2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 s="1" customFormat="1" ht="20.25" customHeight="1" x14ac:dyDescent="0.25">
      <c r="A307" s="2"/>
      <c r="B307" s="2"/>
      <c r="C307" s="2"/>
      <c r="D307" s="2">
        <f>COUNTIF(contact[[#This Row],[Bagossy]:[Szo
03:00 - 10:00]],"=~?")</f>
        <v>0</v>
      </c>
      <c r="E307" s="2">
        <f>COUNTIF(contact[[#This Row],[Bagossy]:[Szo
03:00 - 10:00]],"=x")</f>
        <v>0</v>
      </c>
      <c r="F307" s="2">
        <f>SUM(contact[[#This Row],[?]:[x]])</f>
        <v>0</v>
      </c>
      <c r="G3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" s="3" t="s">
        <v>2016</v>
      </c>
      <c r="K307" s="1" t="s">
        <v>1315</v>
      </c>
      <c r="L307" s="1" t="s">
        <v>2</v>
      </c>
      <c r="M307" s="1" t="s">
        <v>2</v>
      </c>
      <c r="O307" s="2"/>
      <c r="P307" s="2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 s="1" customFormat="1" ht="20.25" customHeight="1" x14ac:dyDescent="0.25">
      <c r="A308" s="2"/>
      <c r="B308" s="2"/>
      <c r="C308" s="2"/>
      <c r="D308" s="2">
        <f>COUNTIF(contact[[#This Row],[Bagossy]:[Szo
03:00 - 10:00]],"=~?")</f>
        <v>0</v>
      </c>
      <c r="E308" s="2">
        <f>COUNTIF(contact[[#This Row],[Bagossy]:[Szo
03:00 - 10:00]],"=x")</f>
        <v>0</v>
      </c>
      <c r="F308" s="2">
        <f>SUM(contact[[#This Row],[?]:[x]])</f>
        <v>0</v>
      </c>
      <c r="G3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8" s="3" t="s">
        <v>1907</v>
      </c>
      <c r="K308" s="1" t="s">
        <v>2</v>
      </c>
      <c r="L308" s="1" t="s">
        <v>2</v>
      </c>
      <c r="M308" s="1" t="s">
        <v>2</v>
      </c>
      <c r="O308" s="2"/>
      <c r="P308" s="2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 s="1" customFormat="1" ht="20.25" customHeight="1" x14ac:dyDescent="0.25">
      <c r="A309" s="2"/>
      <c r="B309" s="2"/>
      <c r="C309" s="2"/>
      <c r="D309" s="2">
        <f>COUNTIF(contact[[#This Row],[Bagossy]:[Szo
03:00 - 10:00]],"=~?")</f>
        <v>0</v>
      </c>
      <c r="E309" s="2">
        <f>COUNTIF(contact[[#This Row],[Bagossy]:[Szo
03:00 - 10:00]],"=x")</f>
        <v>0</v>
      </c>
      <c r="F309" s="2">
        <f>SUM(contact[[#This Row],[?]:[x]])</f>
        <v>0</v>
      </c>
      <c r="G3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9" s="3" t="s">
        <v>1908</v>
      </c>
      <c r="K309" s="1" t="s">
        <v>1289</v>
      </c>
      <c r="L309" s="1" t="s">
        <v>2</v>
      </c>
      <c r="M309" s="1" t="s">
        <v>2</v>
      </c>
      <c r="O309" s="2"/>
      <c r="P309" s="2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 s="1" customFormat="1" ht="20.25" customHeight="1" x14ac:dyDescent="0.25">
      <c r="A310" s="2"/>
      <c r="B310" s="2"/>
      <c r="C310" s="2"/>
      <c r="D310" s="2">
        <f>COUNTIF(contact[[#This Row],[Bagossy]:[Szo
03:00 - 10:00]],"=~?")</f>
        <v>0</v>
      </c>
      <c r="E310" s="2">
        <f>COUNTIF(contact[[#This Row],[Bagossy]:[Szo
03:00 - 10:00]],"=x")</f>
        <v>0</v>
      </c>
      <c r="F310" s="2">
        <f>SUM(contact[[#This Row],[?]:[x]])</f>
        <v>0</v>
      </c>
      <c r="G3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0" s="3" t="s">
        <v>257</v>
      </c>
      <c r="K310" s="1" t="s">
        <v>2</v>
      </c>
      <c r="L310" s="1" t="s">
        <v>2</v>
      </c>
      <c r="M310" s="1" t="s">
        <v>2</v>
      </c>
      <c r="O310" s="2"/>
      <c r="P310" s="2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 s="1" customFormat="1" ht="20.25" customHeight="1" x14ac:dyDescent="0.25">
      <c r="A311" s="2"/>
      <c r="B311" s="2"/>
      <c r="C311" s="2"/>
      <c r="D311" s="2">
        <f>COUNTIF(contact[[#This Row],[Bagossy]:[Szo
03:00 - 10:00]],"=~?")</f>
        <v>0</v>
      </c>
      <c r="E311" s="2">
        <f>COUNTIF(contact[[#This Row],[Bagossy]:[Szo
03:00 - 10:00]],"=x")</f>
        <v>0</v>
      </c>
      <c r="F311" s="2">
        <f>SUM(contact[[#This Row],[?]:[x]])</f>
        <v>0</v>
      </c>
      <c r="G3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1" s="3" t="s">
        <v>3436</v>
      </c>
      <c r="K311" s="1" t="s">
        <v>1327</v>
      </c>
      <c r="L311" s="1" t="s">
        <v>2</v>
      </c>
      <c r="M311" s="1" t="s">
        <v>2</v>
      </c>
      <c r="O311" s="2"/>
      <c r="P311" s="2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 s="1" customFormat="1" ht="20.25" customHeight="1" x14ac:dyDescent="0.25">
      <c r="A312" s="2"/>
      <c r="B312" s="2"/>
      <c r="C312" s="2"/>
      <c r="D312" s="2">
        <f>COUNTIF(contact[[#This Row],[Bagossy]:[Szo
03:00 - 10:00]],"=~?")</f>
        <v>0</v>
      </c>
      <c r="E312" s="2">
        <f>COUNTIF(contact[[#This Row],[Bagossy]:[Szo
03:00 - 10:00]],"=x")</f>
        <v>0</v>
      </c>
      <c r="F312" s="2">
        <f>SUM(contact[[#This Row],[?]:[x]])</f>
        <v>0</v>
      </c>
      <c r="G3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2" s="3" t="s">
        <v>2598</v>
      </c>
      <c r="K312" s="1" t="s">
        <v>2</v>
      </c>
      <c r="L312" s="1" t="s">
        <v>403</v>
      </c>
      <c r="M312" s="1" t="s">
        <v>404</v>
      </c>
      <c r="O312" s="2"/>
      <c r="P312" s="2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 s="1" customFormat="1" ht="20.25" customHeight="1" x14ac:dyDescent="0.25">
      <c r="A313" s="2"/>
      <c r="B313" s="2"/>
      <c r="C313" s="2"/>
      <c r="D313" s="2">
        <f>COUNTIF(contact[[#This Row],[Bagossy]:[Szo
03:00 - 10:00]],"=~?")</f>
        <v>0</v>
      </c>
      <c r="E313" s="2">
        <f>COUNTIF(contact[[#This Row],[Bagossy]:[Szo
03:00 - 10:00]],"=x")</f>
        <v>0</v>
      </c>
      <c r="F313" s="2">
        <f>SUM(contact[[#This Row],[?]:[x]])</f>
        <v>0</v>
      </c>
      <c r="G3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3" s="3" t="s">
        <v>4180</v>
      </c>
      <c r="K313" s="1" t="s">
        <v>880</v>
      </c>
      <c r="L313" s="1" t="s">
        <v>2</v>
      </c>
      <c r="M313" s="1" t="s">
        <v>2</v>
      </c>
      <c r="O313" s="2"/>
      <c r="P313" s="2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 s="1" customFormat="1" ht="20.25" customHeight="1" x14ac:dyDescent="0.25">
      <c r="A314" s="2"/>
      <c r="B314" s="2"/>
      <c r="C314" s="2"/>
      <c r="D314" s="2">
        <f>COUNTIF(contact[[#This Row],[Bagossy]:[Szo
03:00 - 10:00]],"=~?")</f>
        <v>0</v>
      </c>
      <c r="E314" s="2">
        <f>COUNTIF(contact[[#This Row],[Bagossy]:[Szo
03:00 - 10:00]],"=x")</f>
        <v>0</v>
      </c>
      <c r="F314" s="2">
        <f>SUM(contact[[#This Row],[?]:[x]])</f>
        <v>0</v>
      </c>
      <c r="G3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14" s="2"/>
      <c r="I314" s="2"/>
      <c r="J314" s="3" t="s">
        <v>404</v>
      </c>
      <c r="K314" s="1" t="s">
        <v>6</v>
      </c>
      <c r="L314" s="1" t="s">
        <v>2</v>
      </c>
      <c r="M314" s="1" t="s">
        <v>2</v>
      </c>
      <c r="O314" s="2"/>
      <c r="P314" s="2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 s="1" customFormat="1" ht="20.25" customHeight="1" x14ac:dyDescent="0.25">
      <c r="A315" s="2"/>
      <c r="B315" s="2"/>
      <c r="C315" s="2"/>
      <c r="D315" s="2">
        <f>COUNTIF(contact[[#This Row],[Bagossy]:[Szo
03:00 - 10:00]],"=~?")</f>
        <v>0</v>
      </c>
      <c r="E315" s="2">
        <f>COUNTIF(contact[[#This Row],[Bagossy]:[Szo
03:00 - 10:00]],"=x")</f>
        <v>0</v>
      </c>
      <c r="F315" s="2">
        <f>SUM(contact[[#This Row],[?]:[x]])</f>
        <v>0</v>
      </c>
      <c r="G3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5" s="3" t="s">
        <v>2089</v>
      </c>
      <c r="K315" s="1" t="s">
        <v>2</v>
      </c>
      <c r="L315" s="1" t="s">
        <v>2</v>
      </c>
      <c r="M315" s="1" t="s">
        <v>2</v>
      </c>
      <c r="O315" s="2"/>
      <c r="P315" s="2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 s="1" customFormat="1" ht="20.25" customHeight="1" x14ac:dyDescent="0.25">
      <c r="A316" s="2"/>
      <c r="B316" s="2"/>
      <c r="C316" s="2"/>
      <c r="D316" s="2">
        <f>COUNTIF(contact[[#This Row],[Bagossy]:[Szo
03:00 - 10:00]],"=~?")</f>
        <v>0</v>
      </c>
      <c r="E316" s="2">
        <f>COUNTIF(contact[[#This Row],[Bagossy]:[Szo
03:00 - 10:00]],"=x")</f>
        <v>0</v>
      </c>
      <c r="F316" s="2">
        <f>SUM(contact[[#This Row],[?]:[x]])</f>
        <v>0</v>
      </c>
      <c r="G3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6" s="3" t="s">
        <v>3196</v>
      </c>
      <c r="K316" s="1" t="s">
        <v>2</v>
      </c>
      <c r="L316" s="1" t="s">
        <v>2</v>
      </c>
      <c r="M316" s="1" t="s">
        <v>2</v>
      </c>
      <c r="O316" s="2"/>
      <c r="P316" s="2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 s="1" customFormat="1" ht="20.25" customHeight="1" x14ac:dyDescent="0.25">
      <c r="A317" s="2"/>
      <c r="B317" s="2"/>
      <c r="C317" s="2"/>
      <c r="D317" s="2">
        <f>COUNTIF(contact[[#This Row],[Bagossy]:[Szo
03:00 - 10:00]],"=~?")</f>
        <v>0</v>
      </c>
      <c r="E317" s="2">
        <f>COUNTIF(contact[[#This Row],[Bagossy]:[Szo
03:00 - 10:00]],"=x")</f>
        <v>0</v>
      </c>
      <c r="F317" s="2">
        <f>SUM(contact[[#This Row],[?]:[x]])</f>
        <v>0</v>
      </c>
      <c r="G3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7" s="3" t="s">
        <v>3735</v>
      </c>
      <c r="K317" s="1" t="s">
        <v>1706</v>
      </c>
      <c r="L317" s="1" t="s">
        <v>2</v>
      </c>
      <c r="M317" s="1" t="s">
        <v>2</v>
      </c>
      <c r="O317" s="2"/>
      <c r="P317" s="2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 s="1" customFormat="1" ht="20.25" customHeight="1" x14ac:dyDescent="0.25">
      <c r="A318" s="2"/>
      <c r="B318" s="2"/>
      <c r="C318" s="2"/>
      <c r="D318" s="2">
        <f>COUNTIF(contact[[#This Row],[Bagossy]:[Szo
03:00 - 10:00]],"=~?")</f>
        <v>0</v>
      </c>
      <c r="E318" s="2">
        <f>COUNTIF(contact[[#This Row],[Bagossy]:[Szo
03:00 - 10:00]],"=x")</f>
        <v>0</v>
      </c>
      <c r="F318" s="2">
        <f>SUM(contact[[#This Row],[?]:[x]])</f>
        <v>0</v>
      </c>
      <c r="G3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8" s="3" t="s">
        <v>2764</v>
      </c>
      <c r="K318" s="1" t="s">
        <v>480</v>
      </c>
      <c r="L318" s="1" t="s">
        <v>2</v>
      </c>
      <c r="M318" s="1" t="s">
        <v>2</v>
      </c>
      <c r="O318" s="2"/>
      <c r="P318" s="2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 s="1" customFormat="1" ht="20.25" customHeight="1" x14ac:dyDescent="0.25">
      <c r="A319" s="2"/>
      <c r="B319" s="2"/>
      <c r="C319" s="2"/>
      <c r="D319" s="2">
        <f>COUNTIF(contact[[#This Row],[Bagossy]:[Szo
03:00 - 10:00]],"=~?")</f>
        <v>0</v>
      </c>
      <c r="E319" s="2">
        <f>COUNTIF(contact[[#This Row],[Bagossy]:[Szo
03:00 - 10:00]],"=x")</f>
        <v>0</v>
      </c>
      <c r="F319" s="2">
        <f>SUM(contact[[#This Row],[?]:[x]])</f>
        <v>0</v>
      </c>
      <c r="G3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19" s="3" t="s">
        <v>4155</v>
      </c>
      <c r="K319" s="1" t="s">
        <v>2</v>
      </c>
      <c r="L319" s="1" t="s">
        <v>2</v>
      </c>
      <c r="M319" s="1" t="s">
        <v>2</v>
      </c>
      <c r="O319" s="2"/>
      <c r="P319" s="2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 s="1" customFormat="1" ht="20.25" customHeight="1" x14ac:dyDescent="0.25">
      <c r="A320" s="2"/>
      <c r="B320" s="2"/>
      <c r="C320" s="2"/>
      <c r="D320" s="2">
        <f>COUNTIF(contact[[#This Row],[Bagossy]:[Szo
03:00 - 10:00]],"=~?")</f>
        <v>0</v>
      </c>
      <c r="E320" s="2">
        <f>COUNTIF(contact[[#This Row],[Bagossy]:[Szo
03:00 - 10:00]],"=x")</f>
        <v>0</v>
      </c>
      <c r="F320" s="2">
        <f>SUM(contact[[#This Row],[?]:[x]])</f>
        <v>0</v>
      </c>
      <c r="G3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0" s="3" t="s">
        <v>4376</v>
      </c>
      <c r="K320" s="1" t="s">
        <v>1216</v>
      </c>
      <c r="L320" s="1" t="s">
        <v>2</v>
      </c>
      <c r="M320" s="1" t="s">
        <v>2</v>
      </c>
      <c r="O320" s="2"/>
      <c r="P320" s="2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 s="1" customFormat="1" ht="20.25" customHeight="1" x14ac:dyDescent="0.25">
      <c r="A321" s="2"/>
      <c r="B321" s="2"/>
      <c r="C321" s="2"/>
      <c r="D321" s="2">
        <f>COUNTIF(contact[[#This Row],[Bagossy]:[Szo
03:00 - 10:00]],"=~?")</f>
        <v>0</v>
      </c>
      <c r="E321" s="2">
        <f>COUNTIF(contact[[#This Row],[Bagossy]:[Szo
03:00 - 10:00]],"=x")</f>
        <v>0</v>
      </c>
      <c r="F321" s="2">
        <f>SUM(contact[[#This Row],[?]:[x]])</f>
        <v>0</v>
      </c>
      <c r="G3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1" s="3" t="s">
        <v>2017</v>
      </c>
      <c r="K321" s="1" t="s">
        <v>1316</v>
      </c>
      <c r="L321" s="1" t="s">
        <v>2</v>
      </c>
      <c r="M321" s="1" t="s">
        <v>2</v>
      </c>
      <c r="O321" s="2"/>
      <c r="P321" s="2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 s="1" customFormat="1" ht="20.25" customHeight="1" x14ac:dyDescent="0.25">
      <c r="A322" s="2"/>
      <c r="B322" s="2"/>
      <c r="C322" s="2"/>
      <c r="D322" s="2">
        <f>COUNTIF(contact[[#This Row],[Bagossy]:[Szo
03:00 - 10:00]],"=~?")</f>
        <v>0</v>
      </c>
      <c r="E322" s="2">
        <f>COUNTIF(contact[[#This Row],[Bagossy]:[Szo
03:00 - 10:00]],"=x")</f>
        <v>0</v>
      </c>
      <c r="F322" s="2">
        <f>SUM(contact[[#This Row],[?]:[x]])</f>
        <v>0</v>
      </c>
      <c r="G3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2" s="3" t="s">
        <v>2676</v>
      </c>
      <c r="K322" s="1" t="s">
        <v>1332</v>
      </c>
      <c r="L322" s="1" t="s">
        <v>2</v>
      </c>
      <c r="M322" s="1" t="s">
        <v>2</v>
      </c>
      <c r="O322" s="2"/>
      <c r="P322" s="2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 s="1" customFormat="1" ht="20.25" customHeight="1" x14ac:dyDescent="0.25">
      <c r="A323" s="2"/>
      <c r="B323" s="2"/>
      <c r="C323" s="2"/>
      <c r="D323" s="2">
        <f>COUNTIF(contact[[#This Row],[Bagossy]:[Szo
03:00 - 10:00]],"=~?")</f>
        <v>0</v>
      </c>
      <c r="E323" s="2">
        <f>COUNTIF(contact[[#This Row],[Bagossy]:[Szo
03:00 - 10:00]],"=x")</f>
        <v>0</v>
      </c>
      <c r="F323" s="2">
        <f>SUM(contact[[#This Row],[?]:[x]])</f>
        <v>0</v>
      </c>
      <c r="G3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23" s="2"/>
      <c r="I323" s="2"/>
      <c r="J323" s="3" t="s">
        <v>2187</v>
      </c>
      <c r="K323" s="1" t="s">
        <v>1362</v>
      </c>
      <c r="L323" s="1" t="s">
        <v>2</v>
      </c>
      <c r="M323" s="1" t="s">
        <v>2</v>
      </c>
      <c r="O323" s="2"/>
      <c r="P323" s="2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 s="1" customFormat="1" ht="20.25" customHeight="1" x14ac:dyDescent="0.25">
      <c r="A324" s="2"/>
      <c r="B324" s="2"/>
      <c r="C324" s="2"/>
      <c r="D324" s="2">
        <f>COUNTIF(contact[[#This Row],[Bagossy]:[Szo
03:00 - 10:00]],"=~?")</f>
        <v>0</v>
      </c>
      <c r="E324" s="2">
        <f>COUNTIF(contact[[#This Row],[Bagossy]:[Szo
03:00 - 10:00]],"=x")</f>
        <v>0</v>
      </c>
      <c r="F324" s="2">
        <f>SUM(contact[[#This Row],[?]:[x]])</f>
        <v>0</v>
      </c>
      <c r="G3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24" s="2"/>
      <c r="I324" s="2"/>
      <c r="J324" s="3" t="s">
        <v>2189</v>
      </c>
      <c r="K324" s="1" t="s">
        <v>1363</v>
      </c>
      <c r="L324" s="1" t="s">
        <v>2</v>
      </c>
      <c r="M324" s="1" t="s">
        <v>2</v>
      </c>
      <c r="O324" s="2"/>
      <c r="P324" s="2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 s="1" customFormat="1" ht="20.25" customHeight="1" x14ac:dyDescent="0.25">
      <c r="A325" s="2"/>
      <c r="B325" s="2"/>
      <c r="C325" s="2"/>
      <c r="D325" s="2">
        <f>COUNTIF(contact[[#This Row],[Bagossy]:[Szo
03:00 - 10:00]],"=~?")</f>
        <v>0</v>
      </c>
      <c r="E325" s="2">
        <f>COUNTIF(contact[[#This Row],[Bagossy]:[Szo
03:00 - 10:00]],"=x")</f>
        <v>0</v>
      </c>
      <c r="F325" s="2">
        <f>SUM(contact[[#This Row],[?]:[x]])</f>
        <v>0</v>
      </c>
      <c r="G3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5" s="3" t="s">
        <v>4061</v>
      </c>
      <c r="K325" s="1" t="s">
        <v>2</v>
      </c>
      <c r="L325" s="1" t="s">
        <v>2</v>
      </c>
      <c r="M325" s="1" t="s">
        <v>2</v>
      </c>
      <c r="O325" s="2"/>
      <c r="P325" s="2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 s="1" customFormat="1" ht="20.25" customHeight="1" x14ac:dyDescent="0.25">
      <c r="A326" s="2"/>
      <c r="B326" s="2"/>
      <c r="C326" s="2"/>
      <c r="D326" s="2">
        <f>COUNTIF(contact[[#This Row],[Bagossy]:[Szo
03:00 - 10:00]],"=~?")</f>
        <v>0</v>
      </c>
      <c r="E326" s="2">
        <f>COUNTIF(contact[[#This Row],[Bagossy]:[Szo
03:00 - 10:00]],"=x")</f>
        <v>0</v>
      </c>
      <c r="F326" s="2">
        <f>SUM(contact[[#This Row],[?]:[x]])</f>
        <v>0</v>
      </c>
      <c r="G3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6" s="3" t="s">
        <v>2901</v>
      </c>
      <c r="K326" s="1" t="s">
        <v>549</v>
      </c>
      <c r="L326" s="1" t="s">
        <v>2</v>
      </c>
      <c r="M326" s="1" t="s">
        <v>2</v>
      </c>
      <c r="O326" s="2"/>
      <c r="P326" s="2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 s="1" customFormat="1" ht="20.25" customHeight="1" x14ac:dyDescent="0.25">
      <c r="A327" s="2"/>
      <c r="B327" s="2"/>
      <c r="C327" s="2"/>
      <c r="D327" s="2">
        <f>COUNTIF(contact[[#This Row],[Bagossy]:[Szo
03:00 - 10:00]],"=~?")</f>
        <v>0</v>
      </c>
      <c r="E327" s="2">
        <f>COUNTIF(contact[[#This Row],[Bagossy]:[Szo
03:00 - 10:00]],"=x")</f>
        <v>0</v>
      </c>
      <c r="F327" s="2">
        <f>SUM(contact[[#This Row],[?]:[x]])</f>
        <v>0</v>
      </c>
      <c r="G3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7" s="3" t="s">
        <v>2018</v>
      </c>
      <c r="K327" s="1" t="s">
        <v>2</v>
      </c>
      <c r="L327" s="1" t="s">
        <v>2</v>
      </c>
      <c r="M327" s="1" t="s">
        <v>2</v>
      </c>
      <c r="O327" s="2"/>
      <c r="P327" s="2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 s="1" customFormat="1" ht="20.25" customHeight="1" x14ac:dyDescent="0.25">
      <c r="A328" s="2"/>
      <c r="B328" s="2"/>
      <c r="C328" s="2"/>
      <c r="D328" s="2">
        <f>COUNTIF(contact[[#This Row],[Bagossy]:[Szo
03:00 - 10:00]],"=~?")</f>
        <v>0</v>
      </c>
      <c r="E328" s="2">
        <f>COUNTIF(contact[[#This Row],[Bagossy]:[Szo
03:00 - 10:00]],"=x")</f>
        <v>0</v>
      </c>
      <c r="F328" s="2">
        <f>SUM(contact[[#This Row],[?]:[x]])</f>
        <v>0</v>
      </c>
      <c r="G3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8" s="3" t="s">
        <v>4162</v>
      </c>
      <c r="K328" s="1" t="s">
        <v>391</v>
      </c>
      <c r="L328" s="1" t="s">
        <v>2</v>
      </c>
      <c r="M328" s="1" t="s">
        <v>2</v>
      </c>
      <c r="O328" s="2"/>
      <c r="P328" s="2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 s="1" customFormat="1" ht="20.25" customHeight="1" x14ac:dyDescent="0.25">
      <c r="A329" s="2"/>
      <c r="B329" s="2"/>
      <c r="C329" s="2"/>
      <c r="D329" s="2">
        <f>COUNTIF(contact[[#This Row],[Bagossy]:[Szo
03:00 - 10:00]],"=~?")</f>
        <v>0</v>
      </c>
      <c r="E329" s="2">
        <f>COUNTIF(contact[[#This Row],[Bagossy]:[Szo
03:00 - 10:00]],"=x")</f>
        <v>0</v>
      </c>
      <c r="F329" s="2">
        <f>SUM(contact[[#This Row],[?]:[x]])</f>
        <v>0</v>
      </c>
      <c r="G3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29" s="3" t="s">
        <v>4578</v>
      </c>
      <c r="K329" s="1" t="s">
        <v>1274</v>
      </c>
      <c r="L329" s="1" t="s">
        <v>2</v>
      </c>
      <c r="M329" s="1" t="s">
        <v>2</v>
      </c>
      <c r="O329" s="2"/>
      <c r="P329" s="2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 s="1" customFormat="1" ht="20.25" customHeight="1" x14ac:dyDescent="0.25">
      <c r="A330" s="2"/>
      <c r="B330" s="2"/>
      <c r="C330" s="2"/>
      <c r="D330" s="2">
        <f>COUNTIF(contact[[#This Row],[Bagossy]:[Szo
03:00 - 10:00]],"=~?")</f>
        <v>0</v>
      </c>
      <c r="E330" s="2">
        <f>COUNTIF(contact[[#This Row],[Bagossy]:[Szo
03:00 - 10:00]],"=x")</f>
        <v>0</v>
      </c>
      <c r="F330" s="2">
        <f>SUM(contact[[#This Row],[?]:[x]])</f>
        <v>0</v>
      </c>
      <c r="G3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0" s="3" t="s">
        <v>262</v>
      </c>
      <c r="K330" s="1" t="s">
        <v>2</v>
      </c>
      <c r="L330" s="1" t="s">
        <v>2</v>
      </c>
      <c r="M330" s="1" t="s">
        <v>2</v>
      </c>
      <c r="O330" s="2"/>
      <c r="P330" s="2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 s="1" customFormat="1" ht="20.25" customHeight="1" x14ac:dyDescent="0.25">
      <c r="A331" s="2"/>
      <c r="B331" s="2"/>
      <c r="C331" s="2"/>
      <c r="D331" s="2">
        <f>COUNTIF(contact[[#This Row],[Bagossy]:[Szo
03:00 - 10:00]],"=~?")</f>
        <v>0</v>
      </c>
      <c r="E331" s="2">
        <f>COUNTIF(contact[[#This Row],[Bagossy]:[Szo
03:00 - 10:00]],"=x")</f>
        <v>0</v>
      </c>
      <c r="F331" s="2">
        <f>SUM(contact[[#This Row],[?]:[x]])</f>
        <v>0</v>
      </c>
      <c r="G3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31" s="2"/>
      <c r="I331" s="2"/>
      <c r="J331" s="3" t="s">
        <v>2194</v>
      </c>
      <c r="K331" s="1" t="s">
        <v>1132</v>
      </c>
      <c r="L331" s="1" t="s">
        <v>2</v>
      </c>
      <c r="M331" s="1" t="s">
        <v>2</v>
      </c>
      <c r="O331" s="2"/>
      <c r="P331" s="2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s="1" customFormat="1" ht="20.25" customHeight="1" x14ac:dyDescent="0.25">
      <c r="A332" s="2"/>
      <c r="B332" s="2"/>
      <c r="C332" s="2"/>
      <c r="D332" s="2">
        <f>COUNTIF(contact[[#This Row],[Bagossy]:[Szo
03:00 - 10:00]],"=~?")</f>
        <v>0</v>
      </c>
      <c r="E332" s="2">
        <f>COUNTIF(contact[[#This Row],[Bagossy]:[Szo
03:00 - 10:00]],"=x")</f>
        <v>0</v>
      </c>
      <c r="F332" s="2">
        <f>SUM(contact[[#This Row],[?]:[x]])</f>
        <v>0</v>
      </c>
      <c r="G3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32" s="2"/>
      <c r="I332" s="2"/>
      <c r="J332" s="3" t="s">
        <v>2195</v>
      </c>
      <c r="K332" s="1" t="s">
        <v>1364</v>
      </c>
      <c r="L332" s="1" t="s">
        <v>2</v>
      </c>
      <c r="M332" s="1" t="s">
        <v>2</v>
      </c>
      <c r="O332" s="2"/>
      <c r="P332" s="2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 s="1" customFormat="1" ht="20.25" customHeight="1" x14ac:dyDescent="0.25">
      <c r="A333" s="2"/>
      <c r="B333" s="2"/>
      <c r="C333" s="2"/>
      <c r="D333" s="2">
        <f>COUNTIF(contact[[#This Row],[Bagossy]:[Szo
03:00 - 10:00]],"=~?")</f>
        <v>0</v>
      </c>
      <c r="E333" s="2">
        <f>COUNTIF(contact[[#This Row],[Bagossy]:[Szo
03:00 - 10:00]],"=x")</f>
        <v>0</v>
      </c>
      <c r="F333" s="2">
        <f>SUM(contact[[#This Row],[?]:[x]])</f>
        <v>0</v>
      </c>
      <c r="G3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3" s="3" t="s">
        <v>4182</v>
      </c>
      <c r="K333" s="1" t="s">
        <v>1133</v>
      </c>
      <c r="L333" s="1" t="s">
        <v>2</v>
      </c>
      <c r="M333" s="1" t="s">
        <v>2</v>
      </c>
      <c r="O333" s="2"/>
      <c r="P333" s="2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 s="1" customFormat="1" ht="20.25" customHeight="1" x14ac:dyDescent="0.25">
      <c r="A334" s="2"/>
      <c r="B334" s="2"/>
      <c r="C334" s="2"/>
      <c r="D334" s="2">
        <f>COUNTIF(contact[[#This Row],[Bagossy]:[Szo
03:00 - 10:00]],"=~?")</f>
        <v>0</v>
      </c>
      <c r="E334" s="2">
        <f>COUNTIF(contact[[#This Row],[Bagossy]:[Szo
03:00 - 10:00]],"=x")</f>
        <v>0</v>
      </c>
      <c r="F334" s="2">
        <f>SUM(contact[[#This Row],[?]:[x]])</f>
        <v>0</v>
      </c>
      <c r="G3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4" s="3" t="s">
        <v>2315</v>
      </c>
      <c r="K334" s="1" t="s">
        <v>241</v>
      </c>
      <c r="L334" s="1" t="s">
        <v>2</v>
      </c>
      <c r="M334" s="1" t="s">
        <v>2</v>
      </c>
      <c r="O334" s="2"/>
      <c r="P334" s="2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 s="1" customFormat="1" ht="20.25" customHeight="1" x14ac:dyDescent="0.25">
      <c r="A335" s="2"/>
      <c r="B335" s="2"/>
      <c r="C335" s="2"/>
      <c r="D335" s="2">
        <f>COUNTIF(contact[[#This Row],[Bagossy]:[Szo
03:00 - 10:00]],"=~?")</f>
        <v>0</v>
      </c>
      <c r="E335" s="2">
        <f>COUNTIF(contact[[#This Row],[Bagossy]:[Szo
03:00 - 10:00]],"=x")</f>
        <v>0</v>
      </c>
      <c r="F335" s="2">
        <f>SUM(contact[[#This Row],[?]:[x]])</f>
        <v>0</v>
      </c>
      <c r="G3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5" s="3" t="s">
        <v>3549</v>
      </c>
      <c r="K335" s="1" t="s">
        <v>830</v>
      </c>
      <c r="L335" s="1" t="s">
        <v>2</v>
      </c>
      <c r="M335" s="1" t="s">
        <v>2</v>
      </c>
      <c r="O335" s="2"/>
      <c r="P335" s="2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 s="1" customFormat="1" ht="20.25" customHeight="1" x14ac:dyDescent="0.25">
      <c r="A336" s="2"/>
      <c r="B336" s="2"/>
      <c r="C336" s="2"/>
      <c r="D336" s="2">
        <f>COUNTIF(contact[[#This Row],[Bagossy]:[Szo
03:00 - 10:00]],"=~?")</f>
        <v>0</v>
      </c>
      <c r="E336" s="2">
        <f>COUNTIF(contact[[#This Row],[Bagossy]:[Szo
03:00 - 10:00]],"=x")</f>
        <v>0</v>
      </c>
      <c r="F336" s="2">
        <f>SUM(contact[[#This Row],[?]:[x]])</f>
        <v>0</v>
      </c>
      <c r="G3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36" s="2"/>
      <c r="I336" s="2"/>
      <c r="J336" s="3" t="s">
        <v>2197</v>
      </c>
      <c r="K336" s="1" t="s">
        <v>1365</v>
      </c>
      <c r="L336" s="1" t="s">
        <v>2</v>
      </c>
      <c r="M336" s="1" t="s">
        <v>2</v>
      </c>
      <c r="O336" s="2"/>
      <c r="P336" s="2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 s="1" customFormat="1" ht="20.25" customHeight="1" x14ac:dyDescent="0.25">
      <c r="A337" s="2"/>
      <c r="B337" s="2"/>
      <c r="C337" s="2"/>
      <c r="D337" s="2">
        <f>COUNTIF(contact[[#This Row],[Bagossy]:[Szo
03:00 - 10:00]],"=~?")</f>
        <v>0</v>
      </c>
      <c r="E337" s="2">
        <f>COUNTIF(contact[[#This Row],[Bagossy]:[Szo
03:00 - 10:00]],"=x")</f>
        <v>0</v>
      </c>
      <c r="F337" s="2">
        <f>SUM(contact[[#This Row],[?]:[x]])</f>
        <v>0</v>
      </c>
      <c r="G3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7" s="3" t="s">
        <v>4521</v>
      </c>
      <c r="K337" s="1" t="s">
        <v>1263</v>
      </c>
      <c r="L337" s="1" t="s">
        <v>2</v>
      </c>
      <c r="M337" s="1" t="s">
        <v>2</v>
      </c>
      <c r="O337" s="2"/>
      <c r="P337" s="2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 s="1" customFormat="1" ht="20.25" customHeight="1" x14ac:dyDescent="0.25">
      <c r="A338" s="2"/>
      <c r="B338" s="2"/>
      <c r="C338" s="2"/>
      <c r="D338" s="2">
        <f>COUNTIF(contact[[#This Row],[Bagossy]:[Szo
03:00 - 10:00]],"=~?")</f>
        <v>0</v>
      </c>
      <c r="E338" s="2">
        <f>COUNTIF(contact[[#This Row],[Bagossy]:[Szo
03:00 - 10:00]],"=x")</f>
        <v>0</v>
      </c>
      <c r="F338" s="2">
        <f>SUM(contact[[#This Row],[?]:[x]])</f>
        <v>0</v>
      </c>
      <c r="G3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8" s="3" t="s">
        <v>3223</v>
      </c>
      <c r="K338" s="1" t="s">
        <v>1599</v>
      </c>
      <c r="L338" s="1" t="s">
        <v>2</v>
      </c>
      <c r="M338" s="1" t="s">
        <v>2</v>
      </c>
      <c r="O338" s="2"/>
      <c r="P338" s="2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 s="1" customFormat="1" ht="20.25" customHeight="1" x14ac:dyDescent="0.25">
      <c r="A339" s="2"/>
      <c r="B339" s="2"/>
      <c r="C339" s="2"/>
      <c r="D339" s="2">
        <f>COUNTIF(contact[[#This Row],[Bagossy]:[Szo
03:00 - 10:00]],"=~?")</f>
        <v>0</v>
      </c>
      <c r="E339" s="2">
        <f>COUNTIF(contact[[#This Row],[Bagossy]:[Szo
03:00 - 10:00]],"=x")</f>
        <v>0</v>
      </c>
      <c r="F339" s="2">
        <f>SUM(contact[[#This Row],[?]:[x]])</f>
        <v>0</v>
      </c>
      <c r="G3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39" s="3" t="s">
        <v>2121</v>
      </c>
      <c r="K339" s="1" t="s">
        <v>2</v>
      </c>
      <c r="L339" s="1" t="s">
        <v>2</v>
      </c>
      <c r="M339" s="1" t="s">
        <v>2</v>
      </c>
      <c r="O339" s="2"/>
      <c r="P339" s="2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 s="1" customFormat="1" ht="20.25" customHeight="1" x14ac:dyDescent="0.25">
      <c r="A340" s="2"/>
      <c r="B340" s="2"/>
      <c r="C340" s="2" t="s">
        <v>1285</v>
      </c>
      <c r="D340" s="2">
        <f>COUNTIF(contact[[#This Row],[Bagossy]:[Szo
03:00 - 10:00]],"=~?")</f>
        <v>0</v>
      </c>
      <c r="E340" s="2">
        <f>COUNTIF(contact[[#This Row],[Bagossy]:[Szo
03:00 - 10:00]],"=x")</f>
        <v>0</v>
      </c>
      <c r="F340" s="2">
        <f>SUM(contact[[#This Row],[?]:[x]])</f>
        <v>0</v>
      </c>
      <c r="G3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40" s="2"/>
      <c r="I340" s="2"/>
      <c r="J340" s="3" t="s">
        <v>2202</v>
      </c>
      <c r="K340" s="1" t="s">
        <v>560</v>
      </c>
      <c r="L340" s="1" t="s">
        <v>2</v>
      </c>
      <c r="M340" s="1" t="s">
        <v>2</v>
      </c>
      <c r="O340" s="2"/>
      <c r="P340" s="2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 s="1" customFormat="1" ht="20.25" customHeight="1" x14ac:dyDescent="0.25">
      <c r="A341" s="2"/>
      <c r="B341" s="2"/>
      <c r="C341" s="2"/>
      <c r="D341" s="2">
        <f>COUNTIF(contact[[#This Row],[Bagossy]:[Szo
03:00 - 10:00]],"=~?")</f>
        <v>0</v>
      </c>
      <c r="E341" s="2">
        <f>COUNTIF(contact[[#This Row],[Bagossy]:[Szo
03:00 - 10:00]],"=x")</f>
        <v>0</v>
      </c>
      <c r="F341" s="2">
        <f>SUM(contact[[#This Row],[?]:[x]])</f>
        <v>0</v>
      </c>
      <c r="G3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41" s="2"/>
      <c r="I341" s="2"/>
      <c r="J341" s="3" t="s">
        <v>264</v>
      </c>
      <c r="K341" s="1" t="s">
        <v>6</v>
      </c>
      <c r="L341" s="1" t="s">
        <v>2</v>
      </c>
      <c r="M341" s="1" t="s">
        <v>2</v>
      </c>
      <c r="O341" s="2"/>
      <c r="P341" s="2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 s="1" customFormat="1" ht="20.25" customHeight="1" x14ac:dyDescent="0.25">
      <c r="A342" s="2"/>
      <c r="B342" s="2"/>
      <c r="C342" s="2"/>
      <c r="D342" s="2">
        <f>COUNTIF(contact[[#This Row],[Bagossy]:[Szo
03:00 - 10:00]],"=~?")</f>
        <v>0</v>
      </c>
      <c r="E342" s="2">
        <f>COUNTIF(contact[[#This Row],[Bagossy]:[Szo
03:00 - 10:00]],"=x")</f>
        <v>0</v>
      </c>
      <c r="F342" s="2">
        <f>SUM(contact[[#This Row],[?]:[x]])</f>
        <v>0</v>
      </c>
      <c r="G3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42" s="3" t="s">
        <v>3224</v>
      </c>
      <c r="K342" s="1" t="s">
        <v>2</v>
      </c>
      <c r="L342" s="1" t="s">
        <v>2</v>
      </c>
      <c r="M342" s="1" t="s">
        <v>2</v>
      </c>
      <c r="O342" s="2"/>
      <c r="P342" s="2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 s="1" customFormat="1" ht="20.25" customHeight="1" x14ac:dyDescent="0.25">
      <c r="A343" s="2"/>
      <c r="B343" s="2"/>
      <c r="C343" s="2"/>
      <c r="D343" s="2">
        <f>COUNTIF(contact[[#This Row],[Bagossy]:[Szo
03:00 - 10:00]],"=~?")</f>
        <v>0</v>
      </c>
      <c r="E343" s="2">
        <f>COUNTIF(contact[[#This Row],[Bagossy]:[Szo
03:00 - 10:00]],"=x")</f>
        <v>0</v>
      </c>
      <c r="F343" s="2">
        <f>SUM(contact[[#This Row],[?]:[x]])</f>
        <v>0</v>
      </c>
      <c r="G3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43" s="2"/>
      <c r="I343" s="2"/>
      <c r="J343" s="3" t="s">
        <v>2203</v>
      </c>
      <c r="K343" s="1" t="s">
        <v>1031</v>
      </c>
      <c r="L343" s="1" t="s">
        <v>2</v>
      </c>
      <c r="M343" s="1" t="s">
        <v>2</v>
      </c>
      <c r="O343" s="2"/>
      <c r="P343" s="2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 s="1" customFormat="1" ht="20.25" customHeight="1" x14ac:dyDescent="0.25">
      <c r="A344" s="2"/>
      <c r="B344" s="2"/>
      <c r="C344" s="2"/>
      <c r="D344" s="2">
        <f>COUNTIF(contact[[#This Row],[Bagossy]:[Szo
03:00 - 10:00]],"=~?")</f>
        <v>0</v>
      </c>
      <c r="E344" s="2">
        <f>COUNTIF(contact[[#This Row],[Bagossy]:[Szo
03:00 - 10:00]],"=x")</f>
        <v>0</v>
      </c>
      <c r="F344" s="2">
        <f>SUM(contact[[#This Row],[?]:[x]])</f>
        <v>0</v>
      </c>
      <c r="G3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44" s="2"/>
      <c r="I344" s="2"/>
      <c r="J344" s="3" t="s">
        <v>2204</v>
      </c>
      <c r="K344" s="1" t="s">
        <v>481</v>
      </c>
      <c r="L344" s="1" t="s">
        <v>2</v>
      </c>
      <c r="M344" s="1" t="s">
        <v>2</v>
      </c>
      <c r="O344" s="2"/>
      <c r="P344" s="2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 s="1" customFormat="1" ht="20.25" customHeight="1" x14ac:dyDescent="0.25">
      <c r="A345" s="2"/>
      <c r="B345" s="2"/>
      <c r="C345" s="2"/>
      <c r="D345" s="2">
        <f>COUNTIF(contact[[#This Row],[Bagossy]:[Szo
03:00 - 10:00]],"=~?")</f>
        <v>0</v>
      </c>
      <c r="E345" s="2">
        <f>COUNTIF(contact[[#This Row],[Bagossy]:[Szo
03:00 - 10:00]],"=x")</f>
        <v>0</v>
      </c>
      <c r="F345" s="2">
        <f>SUM(contact[[#This Row],[?]:[x]])</f>
        <v>0</v>
      </c>
      <c r="G3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45" s="3" t="s">
        <v>4151</v>
      </c>
      <c r="K345" s="1" t="s">
        <v>1332</v>
      </c>
      <c r="L345" s="1" t="s">
        <v>2</v>
      </c>
      <c r="M345" s="1" t="s">
        <v>2</v>
      </c>
      <c r="O345" s="2"/>
      <c r="P345" s="2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 s="1" customFormat="1" ht="20.25" customHeight="1" x14ac:dyDescent="0.25">
      <c r="A346" s="2"/>
      <c r="B346" s="2"/>
      <c r="C346" s="2"/>
      <c r="D346" s="2">
        <f>COUNTIF(contact[[#This Row],[Bagossy]:[Szo
03:00 - 10:00]],"=~?")</f>
        <v>0</v>
      </c>
      <c r="E346" s="2">
        <f>COUNTIF(contact[[#This Row],[Bagossy]:[Szo
03:00 - 10:00]],"=x")</f>
        <v>0</v>
      </c>
      <c r="F346" s="2">
        <f>SUM(contact[[#This Row],[?]:[x]])</f>
        <v>0</v>
      </c>
      <c r="G3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46" s="3" t="s">
        <v>267</v>
      </c>
      <c r="K346" s="1" t="s">
        <v>2</v>
      </c>
      <c r="L346" s="1" t="s">
        <v>2</v>
      </c>
      <c r="M346" s="1" t="s">
        <v>2</v>
      </c>
      <c r="O346" s="2"/>
      <c r="P346" s="2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 s="1" customFormat="1" ht="20.25" customHeight="1" x14ac:dyDescent="0.25">
      <c r="A347" s="2"/>
      <c r="B347" s="2"/>
      <c r="C347" s="2"/>
      <c r="D347" s="2">
        <f>COUNTIF(contact[[#This Row],[Bagossy]:[Szo
03:00 - 10:00]],"=~?")</f>
        <v>0</v>
      </c>
      <c r="E347" s="2">
        <f>COUNTIF(contact[[#This Row],[Bagossy]:[Szo
03:00 - 10:00]],"=x")</f>
        <v>0</v>
      </c>
      <c r="F347" s="2">
        <f>SUM(contact[[#This Row],[?]:[x]])</f>
        <v>0</v>
      </c>
      <c r="G3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47" s="3" t="s">
        <v>3794</v>
      </c>
      <c r="K347" s="1" t="s">
        <v>2</v>
      </c>
      <c r="L347" s="1" t="s">
        <v>2</v>
      </c>
      <c r="M347" s="1" t="s">
        <v>2</v>
      </c>
      <c r="O347" s="2"/>
      <c r="P347" s="2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 s="1" customFormat="1" ht="20.25" customHeight="1" x14ac:dyDescent="0.25">
      <c r="A348" s="2"/>
      <c r="B348" s="2"/>
      <c r="C348" s="2"/>
      <c r="D348" s="2">
        <f>COUNTIF(contact[[#This Row],[Bagossy]:[Szo
03:00 - 10:00]],"=~?")</f>
        <v>0</v>
      </c>
      <c r="E348" s="2">
        <f>COUNTIF(contact[[#This Row],[Bagossy]:[Szo
03:00 - 10:00]],"=x")</f>
        <v>0</v>
      </c>
      <c r="F348" s="2">
        <f>SUM(contact[[#This Row],[?]:[x]])</f>
        <v>0</v>
      </c>
      <c r="G3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48" s="3" t="s">
        <v>4006</v>
      </c>
      <c r="K348" s="1" t="s">
        <v>1060</v>
      </c>
      <c r="L348" s="1" t="s">
        <v>2</v>
      </c>
      <c r="M348" s="1" t="s">
        <v>2</v>
      </c>
      <c r="O348" s="2"/>
      <c r="P348" s="2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 s="1" customFormat="1" ht="20.25" customHeight="1" x14ac:dyDescent="0.25">
      <c r="A349" s="2"/>
      <c r="B349" s="2"/>
      <c r="C349" s="2"/>
      <c r="D349" s="2">
        <f>COUNTIF(contact[[#This Row],[Bagossy]:[Szo
03:00 - 10:00]],"=~?")</f>
        <v>0</v>
      </c>
      <c r="E349" s="2">
        <f>COUNTIF(contact[[#This Row],[Bagossy]:[Szo
03:00 - 10:00]],"=x")</f>
        <v>0</v>
      </c>
      <c r="F349" s="2">
        <f>SUM(contact[[#This Row],[?]:[x]])</f>
        <v>0</v>
      </c>
      <c r="G3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49" s="3" t="s">
        <v>198</v>
      </c>
      <c r="K349" s="1" t="s">
        <v>2</v>
      </c>
      <c r="L349" s="1" t="s">
        <v>2</v>
      </c>
      <c r="M349" s="1" t="s">
        <v>2</v>
      </c>
      <c r="O349" s="2"/>
      <c r="P349" s="2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 s="1" customFormat="1" ht="20.25" customHeight="1" x14ac:dyDescent="0.25">
      <c r="A350" s="2"/>
      <c r="B350" s="2"/>
      <c r="C350" s="2"/>
      <c r="D350" s="2">
        <f>COUNTIF(contact[[#This Row],[Bagossy]:[Szo
03:00 - 10:00]],"=~?")</f>
        <v>0</v>
      </c>
      <c r="E350" s="2">
        <f>COUNTIF(contact[[#This Row],[Bagossy]:[Szo
03:00 - 10:00]],"=x")</f>
        <v>0</v>
      </c>
      <c r="F350" s="2">
        <f>SUM(contact[[#This Row],[?]:[x]])</f>
        <v>0</v>
      </c>
      <c r="G3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50" s="3" t="s">
        <v>1983</v>
      </c>
      <c r="K350" s="1" t="s">
        <v>2</v>
      </c>
      <c r="L350" s="1" t="s">
        <v>2</v>
      </c>
      <c r="M350" s="1" t="s">
        <v>2</v>
      </c>
      <c r="O350" s="2"/>
      <c r="P350" s="2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 s="1" customFormat="1" ht="20.25" customHeight="1" x14ac:dyDescent="0.25">
      <c r="A351" s="2"/>
      <c r="B351" s="2"/>
      <c r="C351" s="2"/>
      <c r="D351" s="2">
        <f>COUNTIF(contact[[#This Row],[Bagossy]:[Szo
03:00 - 10:00]],"=~?")</f>
        <v>0</v>
      </c>
      <c r="E351" s="2">
        <f>COUNTIF(contact[[#This Row],[Bagossy]:[Szo
03:00 - 10:00]],"=x")</f>
        <v>0</v>
      </c>
      <c r="F351" s="2">
        <f>SUM(contact[[#This Row],[?]:[x]])</f>
        <v>0</v>
      </c>
      <c r="G3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51" s="2"/>
      <c r="I351" s="2"/>
      <c r="J351" s="3" t="s">
        <v>2206</v>
      </c>
      <c r="K351" s="1" t="s">
        <v>1264</v>
      </c>
      <c r="L351" s="1" t="s">
        <v>2</v>
      </c>
      <c r="M351" s="1" t="s">
        <v>2</v>
      </c>
      <c r="O351" s="2"/>
      <c r="P351" s="2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 s="1" customFormat="1" ht="20.25" customHeight="1" x14ac:dyDescent="0.25">
      <c r="A352" s="2"/>
      <c r="B352" s="2"/>
      <c r="C352" s="2"/>
      <c r="D352" s="2">
        <f>COUNTIF(contact[[#This Row],[Bagossy]:[Szo
03:00 - 10:00]],"=~?")</f>
        <v>0</v>
      </c>
      <c r="E352" s="2">
        <f>COUNTIF(contact[[#This Row],[Bagossy]:[Szo
03:00 - 10:00]],"=x")</f>
        <v>0</v>
      </c>
      <c r="F352" s="2">
        <f>SUM(contact[[#This Row],[?]:[x]])</f>
        <v>0</v>
      </c>
      <c r="G3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52" s="2"/>
      <c r="I352" s="2"/>
      <c r="J352" s="3" t="s">
        <v>2208</v>
      </c>
      <c r="K352" s="1" t="s">
        <v>6</v>
      </c>
      <c r="L352" s="1" t="s">
        <v>2</v>
      </c>
      <c r="M352" s="1" t="s">
        <v>2</v>
      </c>
      <c r="O352" s="2"/>
      <c r="P352" s="2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 s="1" customFormat="1" ht="20.25" customHeight="1" x14ac:dyDescent="0.25">
      <c r="A353" s="2"/>
      <c r="B353" s="2"/>
      <c r="C353" s="2"/>
      <c r="D353" s="2">
        <f>COUNTIF(contact[[#This Row],[Bagossy]:[Szo
03:00 - 10:00]],"=~?")</f>
        <v>0</v>
      </c>
      <c r="E353" s="2">
        <f>COUNTIF(contact[[#This Row],[Bagossy]:[Szo
03:00 - 10:00]],"=x")</f>
        <v>0</v>
      </c>
      <c r="F353" s="2">
        <f>SUM(contact[[#This Row],[?]:[x]])</f>
        <v>0</v>
      </c>
      <c r="G3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53" s="3" t="s">
        <v>4402</v>
      </c>
      <c r="K353" s="1" t="s">
        <v>2</v>
      </c>
      <c r="L353" s="1" t="s">
        <v>2</v>
      </c>
      <c r="M353" s="1" t="s">
        <v>2</v>
      </c>
      <c r="O353" s="2"/>
      <c r="P353" s="2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 s="1" customFormat="1" ht="20.25" customHeight="1" x14ac:dyDescent="0.25">
      <c r="A354" s="2"/>
      <c r="B354" s="2"/>
      <c r="C354" s="2"/>
      <c r="D354" s="2">
        <f>COUNTIF(contact[[#This Row],[Bagossy]:[Szo
03:00 - 10:00]],"=~?")</f>
        <v>0</v>
      </c>
      <c r="E354" s="2">
        <f>COUNTIF(contact[[#This Row],[Bagossy]:[Szo
03:00 - 10:00]],"=x")</f>
        <v>0</v>
      </c>
      <c r="F354" s="2">
        <f>SUM(contact[[#This Row],[?]:[x]])</f>
        <v>0</v>
      </c>
      <c r="G3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54" s="2"/>
      <c r="I354" s="2"/>
      <c r="J354" s="3" t="s">
        <v>2209</v>
      </c>
      <c r="K354" s="1" t="s">
        <v>1366</v>
      </c>
      <c r="L354" s="1" t="s">
        <v>2</v>
      </c>
      <c r="M354" s="1" t="s">
        <v>2</v>
      </c>
      <c r="O354" s="2"/>
      <c r="P354" s="2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 s="1" customFormat="1" ht="20.25" customHeight="1" x14ac:dyDescent="0.25">
      <c r="A355" s="2"/>
      <c r="B355" s="2"/>
      <c r="C355" s="2"/>
      <c r="D355" s="2">
        <f>COUNTIF(contact[[#This Row],[Bagossy]:[Szo
03:00 - 10:00]],"=~?")</f>
        <v>0</v>
      </c>
      <c r="E355" s="2">
        <f>COUNTIF(contact[[#This Row],[Bagossy]:[Szo
03:00 - 10:00]],"=x")</f>
        <v>0</v>
      </c>
      <c r="F355" s="2">
        <f>SUM(contact[[#This Row],[?]:[x]])</f>
        <v>0</v>
      </c>
      <c r="G3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55" s="3" t="s">
        <v>3391</v>
      </c>
      <c r="K355" s="1" t="s">
        <v>1303</v>
      </c>
      <c r="L355" s="1" t="s">
        <v>2</v>
      </c>
      <c r="M355" s="1" t="s">
        <v>2</v>
      </c>
      <c r="O355" s="2"/>
      <c r="P355" s="2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 s="1" customFormat="1" ht="20.25" customHeight="1" x14ac:dyDescent="0.25">
      <c r="A356" s="2"/>
      <c r="B356" s="2"/>
      <c r="C356" s="2"/>
      <c r="D356" s="2">
        <f>COUNTIF(contact[[#This Row],[Bagossy]:[Szo
03:00 - 10:00]],"=~?")</f>
        <v>0</v>
      </c>
      <c r="E356" s="2">
        <f>COUNTIF(contact[[#This Row],[Bagossy]:[Szo
03:00 - 10:00]],"=x")</f>
        <v>0</v>
      </c>
      <c r="F356" s="2">
        <f>SUM(contact[[#This Row],[?]:[x]])</f>
        <v>0</v>
      </c>
      <c r="G3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56" s="2"/>
      <c r="I356" s="2"/>
      <c r="J356" s="3" t="s">
        <v>2211</v>
      </c>
      <c r="K356" s="1" t="s">
        <v>988</v>
      </c>
      <c r="L356" s="1" t="s">
        <v>2</v>
      </c>
      <c r="M356" s="1" t="s">
        <v>2</v>
      </c>
      <c r="O356" s="2"/>
      <c r="P356" s="2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 s="1" customFormat="1" ht="20.25" customHeight="1" x14ac:dyDescent="0.25">
      <c r="A357" s="2"/>
      <c r="B357" s="2"/>
      <c r="C357" s="2"/>
      <c r="D357" s="2">
        <f>COUNTIF(contact[[#This Row],[Bagossy]:[Szo
03:00 - 10:00]],"=~?")</f>
        <v>0</v>
      </c>
      <c r="E357" s="2">
        <f>COUNTIF(contact[[#This Row],[Bagossy]:[Szo
03:00 - 10:00]],"=x")</f>
        <v>0</v>
      </c>
      <c r="F357" s="2">
        <f>SUM(contact[[#This Row],[?]:[x]])</f>
        <v>0</v>
      </c>
      <c r="G3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57" s="3" t="s">
        <v>273</v>
      </c>
      <c r="K357" s="1" t="s">
        <v>274</v>
      </c>
      <c r="L357" s="1" t="s">
        <v>2</v>
      </c>
      <c r="M357" s="1" t="s">
        <v>2</v>
      </c>
      <c r="O357" s="2"/>
      <c r="P357" s="2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 s="1" customFormat="1" ht="20.25" customHeight="1" x14ac:dyDescent="0.25">
      <c r="A358" s="2"/>
      <c r="B358" s="2"/>
      <c r="C358" s="2"/>
      <c r="D358" s="2">
        <f>COUNTIF(contact[[#This Row],[Bagossy]:[Szo
03:00 - 10:00]],"=~?")</f>
        <v>0</v>
      </c>
      <c r="E358" s="2">
        <f>COUNTIF(contact[[#This Row],[Bagossy]:[Szo
03:00 - 10:00]],"=x")</f>
        <v>0</v>
      </c>
      <c r="F358" s="2">
        <f>SUM(contact[[#This Row],[?]:[x]])</f>
        <v>0</v>
      </c>
      <c r="G3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58" s="2"/>
      <c r="I358" s="2"/>
      <c r="J358" s="3" t="s">
        <v>2213</v>
      </c>
      <c r="K358" s="1" t="s">
        <v>86</v>
      </c>
      <c r="L358" s="1" t="s">
        <v>2</v>
      </c>
      <c r="M358" s="1" t="s">
        <v>2</v>
      </c>
      <c r="O358" s="2"/>
      <c r="P358" s="2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 s="1" customFormat="1" ht="20.25" customHeight="1" x14ac:dyDescent="0.25">
      <c r="A359" s="2"/>
      <c r="B359" s="2"/>
      <c r="C359" s="2"/>
      <c r="D359" s="2">
        <f>COUNTIF(contact[[#This Row],[Bagossy]:[Szo
03:00 - 10:00]],"=~?")</f>
        <v>0</v>
      </c>
      <c r="E359" s="2">
        <f>COUNTIF(contact[[#This Row],[Bagossy]:[Szo
03:00 - 10:00]],"=x")</f>
        <v>0</v>
      </c>
      <c r="F359" s="2">
        <f>SUM(contact[[#This Row],[?]:[x]])</f>
        <v>0</v>
      </c>
      <c r="G3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59" s="3" t="s">
        <v>2070</v>
      </c>
      <c r="K359" s="1" t="s">
        <v>100</v>
      </c>
      <c r="L359" s="1" t="s">
        <v>2</v>
      </c>
      <c r="M359" s="1" t="s">
        <v>2</v>
      </c>
      <c r="O359" s="2"/>
      <c r="P359" s="2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 s="1" customFormat="1" ht="20.25" customHeight="1" x14ac:dyDescent="0.25">
      <c r="A360" s="2"/>
      <c r="B360" s="2"/>
      <c r="C360" s="2"/>
      <c r="D360" s="2">
        <f>COUNTIF(contact[[#This Row],[Bagossy]:[Szo
03:00 - 10:00]],"=~?")</f>
        <v>0</v>
      </c>
      <c r="E360" s="2">
        <f>COUNTIF(contact[[#This Row],[Bagossy]:[Szo
03:00 - 10:00]],"=x")</f>
        <v>0</v>
      </c>
      <c r="F360" s="2">
        <f>SUM(contact[[#This Row],[?]:[x]])</f>
        <v>0</v>
      </c>
      <c r="G3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0" s="3" t="s">
        <v>2225</v>
      </c>
      <c r="K360" s="1" t="s">
        <v>1370</v>
      </c>
      <c r="L360" s="1" t="s">
        <v>2</v>
      </c>
      <c r="M360" s="1" t="s">
        <v>2</v>
      </c>
      <c r="O360" s="2"/>
      <c r="P360" s="2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 s="1" customFormat="1" ht="20.25" customHeight="1" x14ac:dyDescent="0.25">
      <c r="A361" s="2"/>
      <c r="B361" s="2"/>
      <c r="C361" s="2"/>
      <c r="D361" s="2">
        <f>COUNTIF(contact[[#This Row],[Bagossy]:[Szo
03:00 - 10:00]],"=~?")</f>
        <v>0</v>
      </c>
      <c r="E361" s="2">
        <f>COUNTIF(contact[[#This Row],[Bagossy]:[Szo
03:00 - 10:00]],"=x")</f>
        <v>0</v>
      </c>
      <c r="F361" s="2">
        <f>SUM(contact[[#This Row],[?]:[x]])</f>
        <v>0</v>
      </c>
      <c r="G3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61" s="2"/>
      <c r="I361" s="2"/>
      <c r="J361" s="3" t="s">
        <v>2215</v>
      </c>
      <c r="K361" s="1" t="s">
        <v>1368</v>
      </c>
      <c r="L361" s="1" t="s">
        <v>2</v>
      </c>
      <c r="M361" s="1" t="s">
        <v>2</v>
      </c>
      <c r="O361" s="2"/>
      <c r="P361" s="2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 s="1" customFormat="1" ht="20.25" customHeight="1" x14ac:dyDescent="0.25">
      <c r="A362" s="2"/>
      <c r="B362" s="2"/>
      <c r="C362" s="2"/>
      <c r="D362" s="2">
        <f>COUNTIF(contact[[#This Row],[Bagossy]:[Szo
03:00 - 10:00]],"=~?")</f>
        <v>0</v>
      </c>
      <c r="E362" s="2">
        <f>COUNTIF(contact[[#This Row],[Bagossy]:[Szo
03:00 - 10:00]],"=x")</f>
        <v>0</v>
      </c>
      <c r="F362" s="2">
        <f>SUM(contact[[#This Row],[?]:[x]])</f>
        <v>0</v>
      </c>
      <c r="G3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2" s="3" t="s">
        <v>2799</v>
      </c>
      <c r="K362" s="1" t="s">
        <v>2</v>
      </c>
      <c r="L362" s="1" t="s">
        <v>2</v>
      </c>
      <c r="M362" s="1" t="s">
        <v>2</v>
      </c>
      <c r="O362" s="2"/>
      <c r="P362" s="2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 s="1" customFormat="1" ht="20.25" customHeight="1" x14ac:dyDescent="0.25">
      <c r="A363" s="2"/>
      <c r="B363" s="2"/>
      <c r="C363" s="2" t="s">
        <v>1285</v>
      </c>
      <c r="D363" s="2">
        <f>COUNTIF(contact[[#This Row],[Bagossy]:[Szo
03:00 - 10:00]],"=~?")</f>
        <v>0</v>
      </c>
      <c r="E363" s="2">
        <f>COUNTIF(contact[[#This Row],[Bagossy]:[Szo
03:00 - 10:00]],"=x")</f>
        <v>0</v>
      </c>
      <c r="F363" s="2">
        <f>SUM(contact[[#This Row],[?]:[x]])</f>
        <v>0</v>
      </c>
      <c r="G3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63" s="2"/>
      <c r="I363" s="2"/>
      <c r="J363" s="3" t="s">
        <v>2217</v>
      </c>
      <c r="K363" s="1" t="s">
        <v>649</v>
      </c>
      <c r="L363" s="1" t="s">
        <v>2</v>
      </c>
      <c r="M363" s="1" t="s">
        <v>2</v>
      </c>
      <c r="O363" s="2"/>
      <c r="P363" s="2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 s="1" customFormat="1" ht="20.25" customHeight="1" x14ac:dyDescent="0.25">
      <c r="A364" s="2"/>
      <c r="B364" s="2"/>
      <c r="C364" s="2"/>
      <c r="D364" s="2">
        <f>COUNTIF(contact[[#This Row],[Bagossy]:[Szo
03:00 - 10:00]],"=~?")</f>
        <v>0</v>
      </c>
      <c r="E364" s="2">
        <f>COUNTIF(contact[[#This Row],[Bagossy]:[Szo
03:00 - 10:00]],"=x")</f>
        <v>0</v>
      </c>
      <c r="F364" s="2">
        <f>SUM(contact[[#This Row],[?]:[x]])</f>
        <v>0</v>
      </c>
      <c r="G3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4" s="3" t="s">
        <v>3584</v>
      </c>
      <c r="K364" s="1" t="s">
        <v>1677</v>
      </c>
      <c r="L364" s="1" t="s">
        <v>2</v>
      </c>
      <c r="M364" s="1" t="s">
        <v>2</v>
      </c>
      <c r="O364" s="2"/>
      <c r="P364" s="2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 s="1" customFormat="1" ht="20.25" customHeight="1" x14ac:dyDescent="0.25">
      <c r="A365" s="2"/>
      <c r="B365" s="2"/>
      <c r="C365" s="2"/>
      <c r="D365" s="2">
        <f>COUNTIF(contact[[#This Row],[Bagossy]:[Szo
03:00 - 10:00]],"=~?")</f>
        <v>0</v>
      </c>
      <c r="E365" s="2">
        <f>COUNTIF(contact[[#This Row],[Bagossy]:[Szo
03:00 - 10:00]],"=x")</f>
        <v>0</v>
      </c>
      <c r="F365" s="2">
        <f>SUM(contact[[#This Row],[?]:[x]])</f>
        <v>0</v>
      </c>
      <c r="G3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65" s="2"/>
      <c r="I365" s="2"/>
      <c r="J365" s="3" t="s">
        <v>2229</v>
      </c>
      <c r="K365" s="1" t="s">
        <v>1371</v>
      </c>
      <c r="L365" s="1" t="s">
        <v>2</v>
      </c>
      <c r="M365" s="1" t="s">
        <v>2</v>
      </c>
      <c r="O365" s="2"/>
      <c r="P365" s="2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 s="1" customFormat="1" ht="20.25" customHeight="1" x14ac:dyDescent="0.25">
      <c r="A366" s="2"/>
      <c r="B366" s="2"/>
      <c r="C366" s="2"/>
      <c r="D366" s="2">
        <f>COUNTIF(contact[[#This Row],[Bagossy]:[Szo
03:00 - 10:00]],"=~?")</f>
        <v>0</v>
      </c>
      <c r="E366" s="2">
        <f>COUNTIF(contact[[#This Row],[Bagossy]:[Szo
03:00 - 10:00]],"=x")</f>
        <v>0</v>
      </c>
      <c r="F366" s="2">
        <f>SUM(contact[[#This Row],[?]:[x]])</f>
        <v>0</v>
      </c>
      <c r="G3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6" s="3" t="s">
        <v>3806</v>
      </c>
      <c r="K366" s="1" t="s">
        <v>952</v>
      </c>
      <c r="L366" s="1" t="s">
        <v>2</v>
      </c>
      <c r="M366" s="1" t="s">
        <v>2</v>
      </c>
      <c r="O366" s="2"/>
      <c r="P366" s="2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 s="1" customFormat="1" ht="20.25" customHeight="1" x14ac:dyDescent="0.25">
      <c r="A367" s="2"/>
      <c r="B367" s="2"/>
      <c r="C367" s="2"/>
      <c r="D367" s="2">
        <f>COUNTIF(contact[[#This Row],[Bagossy]:[Szo
03:00 - 10:00]],"=~?")</f>
        <v>0</v>
      </c>
      <c r="E367" s="2">
        <f>COUNTIF(contact[[#This Row],[Bagossy]:[Szo
03:00 - 10:00]],"=x")</f>
        <v>0</v>
      </c>
      <c r="F367" s="2">
        <f>SUM(contact[[#This Row],[?]:[x]])</f>
        <v>0</v>
      </c>
      <c r="G3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7" s="3" t="s">
        <v>275</v>
      </c>
      <c r="K367" s="1" t="s">
        <v>2</v>
      </c>
      <c r="L367" s="1" t="s">
        <v>2</v>
      </c>
      <c r="M367" s="1" t="s">
        <v>2</v>
      </c>
      <c r="O367" s="2"/>
      <c r="P367" s="2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 s="1" customFormat="1" ht="20.25" customHeight="1" x14ac:dyDescent="0.25">
      <c r="A368" s="2"/>
      <c r="B368" s="2"/>
      <c r="C368" s="2"/>
      <c r="D368" s="2">
        <f>COUNTIF(contact[[#This Row],[Bagossy]:[Szo
03:00 - 10:00]],"=~?")</f>
        <v>0</v>
      </c>
      <c r="E368" s="2">
        <f>COUNTIF(contact[[#This Row],[Bagossy]:[Szo
03:00 - 10:00]],"=x")</f>
        <v>0</v>
      </c>
      <c r="F368" s="2">
        <f>SUM(contact[[#This Row],[?]:[x]])</f>
        <v>0</v>
      </c>
      <c r="G3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8" s="3" t="s">
        <v>276</v>
      </c>
      <c r="K368" s="1" t="s">
        <v>2</v>
      </c>
      <c r="L368" s="1" t="s">
        <v>2</v>
      </c>
      <c r="M368" s="1" t="s">
        <v>2</v>
      </c>
      <c r="O368" s="2"/>
      <c r="P368" s="2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 s="1" customFormat="1" ht="20.25" customHeight="1" x14ac:dyDescent="0.25">
      <c r="A369" s="2"/>
      <c r="B369" s="2"/>
      <c r="C369" s="2"/>
      <c r="D369" s="2">
        <f>COUNTIF(contact[[#This Row],[Bagossy]:[Szo
03:00 - 10:00]],"=~?")</f>
        <v>0</v>
      </c>
      <c r="E369" s="2">
        <f>COUNTIF(contact[[#This Row],[Bagossy]:[Szo
03:00 - 10:00]],"=x")</f>
        <v>0</v>
      </c>
      <c r="F369" s="2">
        <f>SUM(contact[[#This Row],[?]:[x]])</f>
        <v>0</v>
      </c>
      <c r="G3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69" s="3" t="s">
        <v>2019</v>
      </c>
      <c r="K369" s="1" t="s">
        <v>69</v>
      </c>
      <c r="L369" s="1" t="s">
        <v>2</v>
      </c>
      <c r="M369" s="1" t="s">
        <v>2</v>
      </c>
      <c r="O369" s="2"/>
      <c r="P369" s="2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 s="1" customFormat="1" ht="20.25" customHeight="1" x14ac:dyDescent="0.25">
      <c r="A370" s="2"/>
      <c r="B370" s="2"/>
      <c r="C370" s="2"/>
      <c r="D370" s="2">
        <f>COUNTIF(contact[[#This Row],[Bagossy]:[Szo
03:00 - 10:00]],"=~?")</f>
        <v>0</v>
      </c>
      <c r="E370" s="2">
        <f>COUNTIF(contact[[#This Row],[Bagossy]:[Szo
03:00 - 10:00]],"=x")</f>
        <v>0</v>
      </c>
      <c r="F370" s="2">
        <f>SUM(contact[[#This Row],[?]:[x]])</f>
        <v>0</v>
      </c>
      <c r="G3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0" s="3" t="s">
        <v>2019</v>
      </c>
      <c r="K370" s="1" t="s">
        <v>69</v>
      </c>
      <c r="L370" s="1" t="s">
        <v>2</v>
      </c>
      <c r="M370" s="1" t="s">
        <v>2</v>
      </c>
      <c r="O370" s="2"/>
      <c r="P370" s="2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 s="1" customFormat="1" ht="20.25" customHeight="1" x14ac:dyDescent="0.25">
      <c r="A371" s="2"/>
      <c r="B371" s="2"/>
      <c r="C371" s="2"/>
      <c r="D371" s="2">
        <f>COUNTIF(contact[[#This Row],[Bagossy]:[Szo
03:00 - 10:00]],"=~?")</f>
        <v>0</v>
      </c>
      <c r="E371" s="2">
        <f>COUNTIF(contact[[#This Row],[Bagossy]:[Szo
03:00 - 10:00]],"=x")</f>
        <v>0</v>
      </c>
      <c r="F371" s="2">
        <f>SUM(contact[[#This Row],[?]:[x]])</f>
        <v>0</v>
      </c>
      <c r="G3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1" s="3" t="s">
        <v>2618</v>
      </c>
      <c r="K371" s="1" t="s">
        <v>412</v>
      </c>
      <c r="L371" s="1" t="s">
        <v>2</v>
      </c>
      <c r="M371" s="1" t="s">
        <v>2</v>
      </c>
      <c r="O371" s="2"/>
      <c r="P371" s="2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 s="1" customFormat="1" ht="20.25" customHeight="1" x14ac:dyDescent="0.25">
      <c r="A372" s="2"/>
      <c r="B372" s="2"/>
      <c r="C372" s="2"/>
      <c r="D372" s="2">
        <f>COUNTIF(contact[[#This Row],[Bagossy]:[Szo
03:00 - 10:00]],"=~?")</f>
        <v>0</v>
      </c>
      <c r="E372" s="2">
        <f>COUNTIF(contact[[#This Row],[Bagossy]:[Szo
03:00 - 10:00]],"=x")</f>
        <v>0</v>
      </c>
      <c r="F372" s="2">
        <f>SUM(contact[[#This Row],[?]:[x]])</f>
        <v>0</v>
      </c>
      <c r="G3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2" s="3" t="s">
        <v>1953</v>
      </c>
      <c r="K372" s="1" t="s">
        <v>2</v>
      </c>
      <c r="L372" s="1" t="s">
        <v>2</v>
      </c>
      <c r="M372" s="1" t="s">
        <v>2</v>
      </c>
      <c r="O372" s="2"/>
      <c r="P372" s="2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 s="1" customFormat="1" ht="20.25" customHeight="1" x14ac:dyDescent="0.25">
      <c r="A373" s="2"/>
      <c r="B373" s="2"/>
      <c r="C373" s="2"/>
      <c r="D373" s="2">
        <f>COUNTIF(contact[[#This Row],[Bagossy]:[Szo
03:00 - 10:00]],"=~?")</f>
        <v>0</v>
      </c>
      <c r="E373" s="2">
        <f>COUNTIF(contact[[#This Row],[Bagossy]:[Szo
03:00 - 10:00]],"=x")</f>
        <v>0</v>
      </c>
      <c r="F373" s="2">
        <f>SUM(contact[[#This Row],[?]:[x]])</f>
        <v>0</v>
      </c>
      <c r="G3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3" s="3" t="s">
        <v>1953</v>
      </c>
      <c r="K373" s="1" t="s">
        <v>2</v>
      </c>
      <c r="L373" s="1" t="s">
        <v>2</v>
      </c>
      <c r="M373" s="1" t="s">
        <v>2</v>
      </c>
      <c r="O373" s="2"/>
      <c r="P373" s="2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 s="1" customFormat="1" ht="20.25" customHeight="1" x14ac:dyDescent="0.25">
      <c r="A374" s="2"/>
      <c r="B374" s="2"/>
      <c r="C374" s="2"/>
      <c r="D374" s="2">
        <f>COUNTIF(contact[[#This Row],[Bagossy]:[Szo
03:00 - 10:00]],"=~?")</f>
        <v>0</v>
      </c>
      <c r="E374" s="2">
        <f>COUNTIF(contact[[#This Row],[Bagossy]:[Szo
03:00 - 10:00]],"=x")</f>
        <v>0</v>
      </c>
      <c r="F374" s="2">
        <f>SUM(contact[[#This Row],[?]:[x]])</f>
        <v>0</v>
      </c>
      <c r="G3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4" s="3" t="s">
        <v>3923</v>
      </c>
      <c r="K374" s="1" t="s">
        <v>2</v>
      </c>
      <c r="L374" s="1" t="s">
        <v>2</v>
      </c>
      <c r="M374" s="1" t="s">
        <v>2</v>
      </c>
      <c r="O374" s="2"/>
      <c r="P374" s="2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 s="1" customFormat="1" ht="20.25" customHeight="1" x14ac:dyDescent="0.25">
      <c r="A375" s="2"/>
      <c r="B375" s="2"/>
      <c r="C375" s="2"/>
      <c r="D375" s="2">
        <f>COUNTIF(contact[[#This Row],[Bagossy]:[Szo
03:00 - 10:00]],"=~?")</f>
        <v>0</v>
      </c>
      <c r="E375" s="2">
        <f>COUNTIF(contact[[#This Row],[Bagossy]:[Szo
03:00 - 10:00]],"=x")</f>
        <v>0</v>
      </c>
      <c r="F375" s="2">
        <f>SUM(contact[[#This Row],[?]:[x]])</f>
        <v>0</v>
      </c>
      <c r="G3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5" s="3" t="s">
        <v>3152</v>
      </c>
      <c r="K375" s="1" t="s">
        <v>1575</v>
      </c>
      <c r="L375" s="1" t="s">
        <v>2</v>
      </c>
      <c r="M375" s="1" t="s">
        <v>2</v>
      </c>
      <c r="O375" s="2"/>
      <c r="P375" s="2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 s="1" customFormat="1" ht="20.25" customHeight="1" x14ac:dyDescent="0.25">
      <c r="A376" s="2"/>
      <c r="B376" s="2"/>
      <c r="C376" s="2"/>
      <c r="D376" s="2">
        <f>COUNTIF(contact[[#This Row],[Bagossy]:[Szo
03:00 - 10:00]],"=~?")</f>
        <v>0</v>
      </c>
      <c r="E376" s="2">
        <f>COUNTIF(contact[[#This Row],[Bagossy]:[Szo
03:00 - 10:00]],"=x")</f>
        <v>0</v>
      </c>
      <c r="F376" s="2">
        <f>SUM(contact[[#This Row],[?]:[x]])</f>
        <v>0</v>
      </c>
      <c r="G3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76" s="2"/>
      <c r="I376" s="2"/>
      <c r="J376" s="3" t="s">
        <v>2231</v>
      </c>
      <c r="K376" s="1" t="s">
        <v>663</v>
      </c>
      <c r="L376" s="1" t="s">
        <v>2</v>
      </c>
      <c r="M376" s="1" t="s">
        <v>2</v>
      </c>
      <c r="O376" s="2"/>
      <c r="P376" s="2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 s="1" customFormat="1" ht="20.25" customHeight="1" x14ac:dyDescent="0.25">
      <c r="A377" s="2"/>
      <c r="B377" s="2"/>
      <c r="C377" s="2"/>
      <c r="D377" s="2">
        <f>COUNTIF(contact[[#This Row],[Bagossy]:[Szo
03:00 - 10:00]],"=~?")</f>
        <v>0</v>
      </c>
      <c r="E377" s="2">
        <f>COUNTIF(contact[[#This Row],[Bagossy]:[Szo
03:00 - 10:00]],"=x")</f>
        <v>0</v>
      </c>
      <c r="F377" s="2">
        <f>SUM(contact[[#This Row],[?]:[x]])</f>
        <v>0</v>
      </c>
      <c r="G3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7" s="3" t="s">
        <v>3868</v>
      </c>
      <c r="K377" s="1" t="s">
        <v>989</v>
      </c>
      <c r="L377" s="1" t="s">
        <v>2</v>
      </c>
      <c r="M377" s="1" t="s">
        <v>2</v>
      </c>
      <c r="O377" s="2"/>
      <c r="P377" s="2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 s="1" customFormat="1" ht="20.25" customHeight="1" x14ac:dyDescent="0.25">
      <c r="A378" s="2"/>
      <c r="B378" s="2"/>
      <c r="C378" s="2"/>
      <c r="D378" s="2">
        <f>COUNTIF(contact[[#This Row],[Bagossy]:[Szo
03:00 - 10:00]],"=~?")</f>
        <v>0</v>
      </c>
      <c r="E378" s="2">
        <f>COUNTIF(contact[[#This Row],[Bagossy]:[Szo
03:00 - 10:00]],"=x")</f>
        <v>0</v>
      </c>
      <c r="F378" s="2">
        <f>SUM(contact[[#This Row],[?]:[x]])</f>
        <v>0</v>
      </c>
      <c r="G3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8" s="3" t="s">
        <v>4338</v>
      </c>
      <c r="K378" s="1" t="s">
        <v>1840</v>
      </c>
      <c r="L378" s="1" t="s">
        <v>2</v>
      </c>
      <c r="M378" s="1" t="s">
        <v>2</v>
      </c>
      <c r="O378" s="2"/>
      <c r="P378" s="2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 s="1" customFormat="1" ht="20.25" customHeight="1" x14ac:dyDescent="0.25">
      <c r="A379" s="2"/>
      <c r="B379" s="2"/>
      <c r="C379" s="2"/>
      <c r="D379" s="2">
        <f>COUNTIF(contact[[#This Row],[Bagossy]:[Szo
03:00 - 10:00]],"=~?")</f>
        <v>0</v>
      </c>
      <c r="E379" s="2">
        <f>COUNTIF(contact[[#This Row],[Bagossy]:[Szo
03:00 - 10:00]],"=x")</f>
        <v>0</v>
      </c>
      <c r="F379" s="2">
        <f>SUM(contact[[#This Row],[?]:[x]])</f>
        <v>0</v>
      </c>
      <c r="G3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79" s="3" t="s">
        <v>4523</v>
      </c>
      <c r="K379" s="1" t="s">
        <v>1265</v>
      </c>
      <c r="L379" s="1" t="s">
        <v>2</v>
      </c>
      <c r="M379" s="1" t="s">
        <v>2</v>
      </c>
      <c r="O379" s="2"/>
      <c r="P379" s="2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 s="1" customFormat="1" ht="20.25" customHeight="1" x14ac:dyDescent="0.25">
      <c r="A380" s="2"/>
      <c r="B380" s="2"/>
      <c r="C380" s="2"/>
      <c r="D380" s="2">
        <f>COUNTIF(contact[[#This Row],[Bagossy]:[Szo
03:00 - 10:00]],"=~?")</f>
        <v>0</v>
      </c>
      <c r="E380" s="2">
        <f>COUNTIF(contact[[#This Row],[Bagossy]:[Szo
03:00 - 10:00]],"=x")</f>
        <v>0</v>
      </c>
      <c r="F380" s="2">
        <f>SUM(contact[[#This Row],[?]:[x]])</f>
        <v>0</v>
      </c>
      <c r="G3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80" s="2"/>
      <c r="I380" s="2"/>
      <c r="J380" s="3" t="s">
        <v>2232</v>
      </c>
      <c r="K380" s="1" t="s">
        <v>1372</v>
      </c>
      <c r="L380" s="1" t="s">
        <v>2</v>
      </c>
      <c r="M380" s="1" t="s">
        <v>2</v>
      </c>
      <c r="O380" s="2"/>
      <c r="P380" s="2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 s="1" customFormat="1" ht="20.25" customHeight="1" x14ac:dyDescent="0.25">
      <c r="A381" s="2"/>
      <c r="B381" s="2"/>
      <c r="C381" s="2"/>
      <c r="D381" s="2">
        <f>COUNTIF(contact[[#This Row],[Bagossy]:[Szo
03:00 - 10:00]],"=~?")</f>
        <v>0</v>
      </c>
      <c r="E381" s="2">
        <f>COUNTIF(contact[[#This Row],[Bagossy]:[Szo
03:00 - 10:00]],"=x")</f>
        <v>0</v>
      </c>
      <c r="F381" s="2">
        <f>SUM(contact[[#This Row],[?]:[x]])</f>
        <v>0</v>
      </c>
      <c r="G3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81" s="3" t="s">
        <v>2578</v>
      </c>
      <c r="K381" s="1" t="s">
        <v>2</v>
      </c>
      <c r="L381" s="1" t="s">
        <v>2</v>
      </c>
      <c r="M381" s="1" t="s">
        <v>2</v>
      </c>
      <c r="O381" s="2"/>
      <c r="P381" s="2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 s="1" customFormat="1" ht="20.25" customHeight="1" x14ac:dyDescent="0.25">
      <c r="A382" s="2"/>
      <c r="B382" s="2"/>
      <c r="C382" s="2"/>
      <c r="D382" s="2">
        <f>COUNTIF(contact[[#This Row],[Bagossy]:[Szo
03:00 - 10:00]],"=~?")</f>
        <v>0</v>
      </c>
      <c r="E382" s="2">
        <f>COUNTIF(contact[[#This Row],[Bagossy]:[Szo
03:00 - 10:00]],"=x")</f>
        <v>0</v>
      </c>
      <c r="F382" s="2">
        <f>SUM(contact[[#This Row],[?]:[x]])</f>
        <v>0</v>
      </c>
      <c r="G3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82" s="3" t="s">
        <v>3069</v>
      </c>
      <c r="K382" s="1" t="s">
        <v>1555</v>
      </c>
      <c r="L382" s="1" t="s">
        <v>354</v>
      </c>
      <c r="M382" s="1" t="s">
        <v>633</v>
      </c>
      <c r="O382" s="2"/>
      <c r="P382" s="2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 s="1" customFormat="1" ht="20.25" customHeight="1" x14ac:dyDescent="0.25">
      <c r="A383" s="2"/>
      <c r="B383" s="2"/>
      <c r="C383" s="2"/>
      <c r="D383" s="2">
        <f>COUNTIF(contact[[#This Row],[Bagossy]:[Szo
03:00 - 10:00]],"=~?")</f>
        <v>0</v>
      </c>
      <c r="E383" s="2">
        <f>COUNTIF(contact[[#This Row],[Bagossy]:[Szo
03:00 - 10:00]],"=x")</f>
        <v>0</v>
      </c>
      <c r="F383" s="2">
        <f>SUM(contact[[#This Row],[?]:[x]])</f>
        <v>0</v>
      </c>
      <c r="G3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83" s="3" t="s">
        <v>106</v>
      </c>
      <c r="K383" s="1" t="s">
        <v>2</v>
      </c>
      <c r="L383" s="1" t="s">
        <v>2</v>
      </c>
      <c r="M383" s="1" t="s">
        <v>2</v>
      </c>
      <c r="O383" s="2"/>
      <c r="P383" s="2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 s="1" customFormat="1" ht="20.25" customHeight="1" x14ac:dyDescent="0.25">
      <c r="A384" s="2"/>
      <c r="B384" s="2"/>
      <c r="C384" s="2"/>
      <c r="D384" s="2">
        <f>COUNTIF(contact[[#This Row],[Bagossy]:[Szo
03:00 - 10:00]],"=~?")</f>
        <v>0</v>
      </c>
      <c r="E384" s="2">
        <f>COUNTIF(contact[[#This Row],[Bagossy]:[Szo
03:00 - 10:00]],"=x")</f>
        <v>0</v>
      </c>
      <c r="F384" s="2">
        <f>SUM(contact[[#This Row],[?]:[x]])</f>
        <v>0</v>
      </c>
      <c r="G3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84" s="2"/>
      <c r="I384" s="2"/>
      <c r="J384" s="3" t="s">
        <v>2236</v>
      </c>
      <c r="K384" s="1" t="s">
        <v>6</v>
      </c>
      <c r="L384" s="1" t="s">
        <v>2</v>
      </c>
      <c r="M384" s="1" t="s">
        <v>2</v>
      </c>
      <c r="O384" s="2"/>
      <c r="P384" s="2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 s="1" customFormat="1" ht="20.25" customHeight="1" x14ac:dyDescent="0.25">
      <c r="A385" s="2"/>
      <c r="B385" s="2"/>
      <c r="C385" s="2"/>
      <c r="D385" s="2">
        <f>COUNTIF(contact[[#This Row],[Bagossy]:[Szo
03:00 - 10:00]],"=~?")</f>
        <v>0</v>
      </c>
      <c r="E385" s="2">
        <f>COUNTIF(contact[[#This Row],[Bagossy]:[Szo
03:00 - 10:00]],"=x")</f>
        <v>0</v>
      </c>
      <c r="F385" s="2">
        <f>SUM(contact[[#This Row],[?]:[x]])</f>
        <v>0</v>
      </c>
      <c r="G3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85" s="3" t="s">
        <v>2169</v>
      </c>
      <c r="K385" s="1" t="s">
        <v>150</v>
      </c>
      <c r="L385" s="1" t="s">
        <v>2</v>
      </c>
      <c r="M385" s="1" t="s">
        <v>2</v>
      </c>
      <c r="O385" s="2"/>
      <c r="P385" s="2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 s="1" customFormat="1" ht="20.25" customHeight="1" x14ac:dyDescent="0.25">
      <c r="A386" s="2"/>
      <c r="B386" s="2"/>
      <c r="C386" s="2"/>
      <c r="D386" s="2">
        <f>COUNTIF(contact[[#This Row],[Bagossy]:[Szo
03:00 - 10:00]],"=~?")</f>
        <v>0</v>
      </c>
      <c r="E386" s="2">
        <f>COUNTIF(contact[[#This Row],[Bagossy]:[Szo
03:00 - 10:00]],"=x")</f>
        <v>0</v>
      </c>
      <c r="F386" s="2">
        <f>SUM(contact[[#This Row],[?]:[x]])</f>
        <v>0</v>
      </c>
      <c r="G3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86" s="2"/>
      <c r="I386" s="2"/>
      <c r="J386" s="3" t="s">
        <v>2238</v>
      </c>
      <c r="K386" s="1" t="s">
        <v>1373</v>
      </c>
      <c r="L386" s="1" t="s">
        <v>2</v>
      </c>
      <c r="M386" s="1" t="s">
        <v>2</v>
      </c>
      <c r="O386" s="2"/>
      <c r="P386" s="2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 s="1" customFormat="1" ht="20.25" customHeight="1" x14ac:dyDescent="0.25">
      <c r="A387" s="2"/>
      <c r="B387" s="2"/>
      <c r="C387" s="2"/>
      <c r="D387" s="2">
        <f>COUNTIF(contact[[#This Row],[Bagossy]:[Szo
03:00 - 10:00]],"=~?")</f>
        <v>0</v>
      </c>
      <c r="E387" s="2">
        <f>COUNTIF(contact[[#This Row],[Bagossy]:[Szo
03:00 - 10:00]],"=x")</f>
        <v>0</v>
      </c>
      <c r="F387" s="2">
        <f>SUM(contact[[#This Row],[?]:[x]])</f>
        <v>0</v>
      </c>
      <c r="G3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87" s="3" t="s">
        <v>2472</v>
      </c>
      <c r="K387" s="1" t="s">
        <v>2</v>
      </c>
      <c r="L387" s="1" t="s">
        <v>2</v>
      </c>
      <c r="M387" s="1" t="s">
        <v>2</v>
      </c>
      <c r="O387" s="2"/>
      <c r="P387" s="2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 s="1" customFormat="1" ht="20.25" customHeight="1" x14ac:dyDescent="0.25">
      <c r="A388" s="2" t="s">
        <v>1285</v>
      </c>
      <c r="B388" s="2" t="s">
        <v>1285</v>
      </c>
      <c r="C388" s="2" t="s">
        <v>1285</v>
      </c>
      <c r="D388" s="2">
        <f>COUNTIF(contact[[#This Row],[Bagossy]:[Szo
03:00 - 10:00]],"=~?")</f>
        <v>0</v>
      </c>
      <c r="E388" s="2">
        <f>COUNTIF(contact[[#This Row],[Bagossy]:[Szo
03:00 - 10:00]],"=x")</f>
        <v>0</v>
      </c>
      <c r="F388" s="2">
        <f>SUM(contact[[#This Row],[?]:[x]])</f>
        <v>0</v>
      </c>
      <c r="G3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88" s="2" t="s">
        <v>4620</v>
      </c>
      <c r="I388" s="2"/>
      <c r="J388" s="3" t="s">
        <v>2243</v>
      </c>
      <c r="K388" s="1" t="s">
        <v>6</v>
      </c>
      <c r="L388" s="1" t="s">
        <v>2</v>
      </c>
      <c r="M388" s="1" t="s">
        <v>2</v>
      </c>
      <c r="N388" s="2" t="s">
        <v>4612</v>
      </c>
      <c r="O388" s="2"/>
      <c r="P388" s="2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 s="1" customFormat="1" ht="20.25" customHeight="1" x14ac:dyDescent="0.25">
      <c r="A389" s="2"/>
      <c r="B389" s="2"/>
      <c r="C389" s="2"/>
      <c r="D389" s="2">
        <f>COUNTIF(contact[[#This Row],[Bagossy]:[Szo
03:00 - 10:00]],"=~?")</f>
        <v>0</v>
      </c>
      <c r="E389" s="2">
        <f>COUNTIF(contact[[#This Row],[Bagossy]:[Szo
03:00 - 10:00]],"=x")</f>
        <v>0</v>
      </c>
      <c r="F389" s="2">
        <f>SUM(contact[[#This Row],[?]:[x]])</f>
        <v>0</v>
      </c>
      <c r="G3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89" s="2"/>
      <c r="I389" s="2"/>
      <c r="J389" s="3" t="s">
        <v>2246</v>
      </c>
      <c r="K389" s="1" t="s">
        <v>11</v>
      </c>
      <c r="L389" s="1" t="s">
        <v>2</v>
      </c>
      <c r="M389" s="1" t="s">
        <v>2</v>
      </c>
      <c r="O389" s="2"/>
      <c r="P389" s="2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 s="1" customFormat="1" ht="20.25" customHeight="1" x14ac:dyDescent="0.25">
      <c r="A390" s="2"/>
      <c r="B390" s="2"/>
      <c r="C390" s="2"/>
      <c r="D390" s="2">
        <f>COUNTIF(contact[[#This Row],[Bagossy]:[Szo
03:00 - 10:00]],"=~?")</f>
        <v>0</v>
      </c>
      <c r="E390" s="2">
        <f>COUNTIF(contact[[#This Row],[Bagossy]:[Szo
03:00 - 10:00]],"=x")</f>
        <v>0</v>
      </c>
      <c r="F390" s="2">
        <f>SUM(contact[[#This Row],[?]:[x]])</f>
        <v>0</v>
      </c>
      <c r="G3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90" s="2"/>
      <c r="I390" s="2"/>
      <c r="J390" s="3" t="s">
        <v>2247</v>
      </c>
      <c r="K390" s="1" t="s">
        <v>1375</v>
      </c>
      <c r="L390" s="1" t="s">
        <v>2</v>
      </c>
      <c r="M390" s="1" t="s">
        <v>2</v>
      </c>
      <c r="O390" s="2"/>
      <c r="P390" s="2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 s="1" customFormat="1" ht="20.25" customHeight="1" x14ac:dyDescent="0.25">
      <c r="A391" s="2"/>
      <c r="B391" s="2"/>
      <c r="C391" s="2"/>
      <c r="D391" s="2">
        <f>COUNTIF(contact[[#This Row],[Bagossy]:[Szo
03:00 - 10:00]],"=~?")</f>
        <v>0</v>
      </c>
      <c r="E391" s="2">
        <f>COUNTIF(contact[[#This Row],[Bagossy]:[Szo
03:00 - 10:00]],"=x")</f>
        <v>0</v>
      </c>
      <c r="F391" s="2">
        <f>SUM(contact[[#This Row],[?]:[x]])</f>
        <v>0</v>
      </c>
      <c r="G3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1" s="3" t="s">
        <v>3270</v>
      </c>
      <c r="K391" s="1" t="s">
        <v>725</v>
      </c>
      <c r="L391" s="1" t="s">
        <v>2</v>
      </c>
      <c r="M391" s="1" t="s">
        <v>2</v>
      </c>
      <c r="O391" s="2"/>
      <c r="P391" s="2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 s="1" customFormat="1" ht="20.25" customHeight="1" x14ac:dyDescent="0.25">
      <c r="A392" s="2"/>
      <c r="B392" s="2"/>
      <c r="C392" s="2"/>
      <c r="D392" s="2">
        <f>COUNTIF(contact[[#This Row],[Bagossy]:[Szo
03:00 - 10:00]],"=~?")</f>
        <v>0</v>
      </c>
      <c r="E392" s="2">
        <f>COUNTIF(contact[[#This Row],[Bagossy]:[Szo
03:00 - 10:00]],"=x")</f>
        <v>0</v>
      </c>
      <c r="F392" s="2">
        <f>SUM(contact[[#This Row],[?]:[x]])</f>
        <v>0</v>
      </c>
      <c r="G3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2" s="3" t="s">
        <v>2262</v>
      </c>
      <c r="K392" s="1" t="s">
        <v>212</v>
      </c>
      <c r="L392" s="1" t="s">
        <v>2</v>
      </c>
      <c r="M392" s="1" t="s">
        <v>2</v>
      </c>
      <c r="O392" s="2"/>
      <c r="P392" s="2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 s="1" customFormat="1" ht="20.25" customHeight="1" x14ac:dyDescent="0.25">
      <c r="A393" s="2"/>
      <c r="B393" s="2"/>
      <c r="C393" s="2"/>
      <c r="D393" s="2">
        <f>COUNTIF(contact[[#This Row],[Bagossy]:[Szo
03:00 - 10:00]],"=~?")</f>
        <v>0</v>
      </c>
      <c r="E393" s="2">
        <f>COUNTIF(contact[[#This Row],[Bagossy]:[Szo
03:00 - 10:00]],"=x")</f>
        <v>0</v>
      </c>
      <c r="F393" s="2">
        <f>SUM(contact[[#This Row],[?]:[x]])</f>
        <v>0</v>
      </c>
      <c r="G3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3" s="3" t="s">
        <v>2159</v>
      </c>
      <c r="K393" s="1" t="s">
        <v>1327</v>
      </c>
      <c r="L393" s="1" t="s">
        <v>2</v>
      </c>
      <c r="M393" s="1" t="s">
        <v>2</v>
      </c>
      <c r="O393" s="2"/>
      <c r="P393" s="2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 s="1" customFormat="1" ht="20.25" customHeight="1" x14ac:dyDescent="0.25">
      <c r="A394" s="2"/>
      <c r="B394" s="2"/>
      <c r="C394" s="2"/>
      <c r="D394" s="2">
        <f>COUNTIF(contact[[#This Row],[Bagossy]:[Szo
03:00 - 10:00]],"=~?")</f>
        <v>0</v>
      </c>
      <c r="E394" s="2">
        <f>COUNTIF(contact[[#This Row],[Bagossy]:[Szo
03:00 - 10:00]],"=x")</f>
        <v>0</v>
      </c>
      <c r="F394" s="2">
        <f>SUM(contact[[#This Row],[?]:[x]])</f>
        <v>0</v>
      </c>
      <c r="G3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4" s="3" t="s">
        <v>3034</v>
      </c>
      <c r="K394" s="1" t="s">
        <v>609</v>
      </c>
      <c r="L394" s="1" t="s">
        <v>2</v>
      </c>
      <c r="M394" s="1" t="s">
        <v>2</v>
      </c>
      <c r="O394" s="2"/>
      <c r="P394" s="2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 s="1" customFormat="1" ht="20.25" customHeight="1" x14ac:dyDescent="0.25">
      <c r="A395" s="2"/>
      <c r="B395" s="2"/>
      <c r="C395" s="2"/>
      <c r="D395" s="2">
        <f>COUNTIF(contact[[#This Row],[Bagossy]:[Szo
03:00 - 10:00]],"=~?")</f>
        <v>0</v>
      </c>
      <c r="E395" s="2">
        <f>COUNTIF(contact[[#This Row],[Bagossy]:[Szo
03:00 - 10:00]],"=x")</f>
        <v>0</v>
      </c>
      <c r="F395" s="2">
        <f>SUM(contact[[#This Row],[?]:[x]])</f>
        <v>0</v>
      </c>
      <c r="G3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5" s="3" t="s">
        <v>3961</v>
      </c>
      <c r="K395" s="1" t="s">
        <v>391</v>
      </c>
      <c r="L395" s="1" t="s">
        <v>2</v>
      </c>
      <c r="M395" s="1" t="s">
        <v>2</v>
      </c>
      <c r="O395" s="2"/>
      <c r="P395" s="2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 s="1" customFormat="1" ht="20.25" customHeight="1" x14ac:dyDescent="0.25">
      <c r="A396" s="2"/>
      <c r="B396" s="2"/>
      <c r="C396" s="2"/>
      <c r="D396" s="2">
        <f>COUNTIF(contact[[#This Row],[Bagossy]:[Szo
03:00 - 10:00]],"=~?")</f>
        <v>0</v>
      </c>
      <c r="E396" s="2">
        <f>COUNTIF(contact[[#This Row],[Bagossy]:[Szo
03:00 - 10:00]],"=x")</f>
        <v>0</v>
      </c>
      <c r="F396" s="2">
        <f>SUM(contact[[#This Row],[?]:[x]])</f>
        <v>0</v>
      </c>
      <c r="G3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6" s="3" t="s">
        <v>3986</v>
      </c>
      <c r="K396" s="1" t="s">
        <v>1425</v>
      </c>
      <c r="L396" s="1" t="s">
        <v>2</v>
      </c>
      <c r="M396" s="1" t="s">
        <v>2</v>
      </c>
      <c r="O396" s="2"/>
      <c r="P396" s="2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 s="1" customFormat="1" ht="20.25" customHeight="1" x14ac:dyDescent="0.25">
      <c r="A397" s="2"/>
      <c r="B397" s="2"/>
      <c r="C397" s="2"/>
      <c r="D397" s="2">
        <f>COUNTIF(contact[[#This Row],[Bagossy]:[Szo
03:00 - 10:00]],"=~?")</f>
        <v>0</v>
      </c>
      <c r="E397" s="2">
        <f>COUNTIF(contact[[#This Row],[Bagossy]:[Szo
03:00 - 10:00]],"=x")</f>
        <v>0</v>
      </c>
      <c r="F397" s="2">
        <f>SUM(contact[[#This Row],[?]:[x]])</f>
        <v>0</v>
      </c>
      <c r="G3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7" s="3" t="s">
        <v>3431</v>
      </c>
      <c r="K397" s="1" t="s">
        <v>2</v>
      </c>
      <c r="L397" s="1" t="s">
        <v>2</v>
      </c>
      <c r="M397" s="1" t="s">
        <v>2</v>
      </c>
      <c r="O397" s="2"/>
      <c r="P397" s="2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 s="1" customFormat="1" ht="20.25" customHeight="1" x14ac:dyDescent="0.25">
      <c r="A398" s="2"/>
      <c r="B398" s="2"/>
      <c r="C398" s="2"/>
      <c r="D398" s="2">
        <f>COUNTIF(contact[[#This Row],[Bagossy]:[Szo
03:00 - 10:00]],"=~?")</f>
        <v>0</v>
      </c>
      <c r="E398" s="2">
        <f>COUNTIF(contact[[#This Row],[Bagossy]:[Szo
03:00 - 10:00]],"=x")</f>
        <v>0</v>
      </c>
      <c r="F398" s="2">
        <f>SUM(contact[[#This Row],[?]:[x]])</f>
        <v>0</v>
      </c>
      <c r="G3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8" s="3" t="s">
        <v>3339</v>
      </c>
      <c r="K398" s="1" t="s">
        <v>761</v>
      </c>
      <c r="L398" s="1" t="s">
        <v>2</v>
      </c>
      <c r="M398" s="1" t="s">
        <v>2</v>
      </c>
      <c r="O398" s="2"/>
      <c r="P398" s="2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 s="1" customFormat="1" ht="20.25" customHeight="1" x14ac:dyDescent="0.25">
      <c r="A399" s="2"/>
      <c r="B399" s="2"/>
      <c r="C399" s="2"/>
      <c r="D399" s="2">
        <f>COUNTIF(contact[[#This Row],[Bagossy]:[Szo
03:00 - 10:00]],"=~?")</f>
        <v>0</v>
      </c>
      <c r="E399" s="2">
        <f>COUNTIF(contact[[#This Row],[Bagossy]:[Szo
03:00 - 10:00]],"=x")</f>
        <v>0</v>
      </c>
      <c r="F399" s="2">
        <f>SUM(contact[[#This Row],[?]:[x]])</f>
        <v>0</v>
      </c>
      <c r="G3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99" s="3" t="s">
        <v>2522</v>
      </c>
      <c r="K399" s="1" t="s">
        <v>2</v>
      </c>
      <c r="L399" s="1" t="s">
        <v>2</v>
      </c>
      <c r="M399" s="1" t="s">
        <v>2</v>
      </c>
      <c r="O399" s="2"/>
      <c r="P399" s="2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 s="1" customFormat="1" ht="20.25" customHeight="1" x14ac:dyDescent="0.25">
      <c r="A400" s="2"/>
      <c r="B400" s="2"/>
      <c r="C400" s="2"/>
      <c r="D400" s="2">
        <f>COUNTIF(contact[[#This Row],[Bagossy]:[Szo
03:00 - 10:00]],"=~?")</f>
        <v>0</v>
      </c>
      <c r="E400" s="2">
        <f>COUNTIF(contact[[#This Row],[Bagossy]:[Szo
03:00 - 10:00]],"=x")</f>
        <v>0</v>
      </c>
      <c r="F400" s="2">
        <f>SUM(contact[[#This Row],[?]:[x]])</f>
        <v>0</v>
      </c>
      <c r="G4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0" s="3" t="s">
        <v>3438</v>
      </c>
      <c r="K400" s="1" t="s">
        <v>795</v>
      </c>
      <c r="L400" s="1" t="s">
        <v>2</v>
      </c>
      <c r="M400" s="1" t="s">
        <v>2</v>
      </c>
      <c r="O400" s="2"/>
      <c r="P400" s="2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 s="1" customFormat="1" ht="20.25" customHeight="1" x14ac:dyDescent="0.25">
      <c r="A401" s="2"/>
      <c r="B401" s="2"/>
      <c r="C401" s="2"/>
      <c r="D401" s="2">
        <f>COUNTIF(contact[[#This Row],[Bagossy]:[Szo
03:00 - 10:00]],"=~?")</f>
        <v>0</v>
      </c>
      <c r="E401" s="2">
        <f>COUNTIF(contact[[#This Row],[Bagossy]:[Szo
03:00 - 10:00]],"=x")</f>
        <v>0</v>
      </c>
      <c r="F401" s="2">
        <f>SUM(contact[[#This Row],[?]:[x]])</f>
        <v>0</v>
      </c>
      <c r="G4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1" s="3" t="s">
        <v>281</v>
      </c>
      <c r="K401" s="1" t="s">
        <v>2</v>
      </c>
      <c r="L401" s="1" t="s">
        <v>2</v>
      </c>
      <c r="M401" s="1" t="s">
        <v>2</v>
      </c>
      <c r="O401" s="2"/>
      <c r="P401" s="2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 s="1" customFormat="1" ht="20.25" customHeight="1" x14ac:dyDescent="0.25">
      <c r="A402" s="2"/>
      <c r="B402" s="2"/>
      <c r="C402" s="2"/>
      <c r="D402" s="2">
        <f>COUNTIF(contact[[#This Row],[Bagossy]:[Szo
03:00 - 10:00]],"=~?")</f>
        <v>0</v>
      </c>
      <c r="E402" s="2">
        <f>COUNTIF(contact[[#This Row],[Bagossy]:[Szo
03:00 - 10:00]],"=x")</f>
        <v>0</v>
      </c>
      <c r="F402" s="2">
        <f>SUM(contact[[#This Row],[?]:[x]])</f>
        <v>0</v>
      </c>
      <c r="G4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2" s="3" t="s">
        <v>3056</v>
      </c>
      <c r="K402" s="1" t="s">
        <v>426</v>
      </c>
      <c r="L402" s="1" t="s">
        <v>2</v>
      </c>
      <c r="M402" s="1" t="s">
        <v>2</v>
      </c>
      <c r="O402" s="2"/>
      <c r="P402" s="2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 s="1" customFormat="1" ht="20.25" customHeight="1" x14ac:dyDescent="0.25">
      <c r="A403" s="2"/>
      <c r="B403" s="2"/>
      <c r="C403" s="2"/>
      <c r="D403" s="2">
        <f>COUNTIF(contact[[#This Row],[Bagossy]:[Szo
03:00 - 10:00]],"=~?")</f>
        <v>0</v>
      </c>
      <c r="E403" s="2">
        <f>COUNTIF(contact[[#This Row],[Bagossy]:[Szo
03:00 - 10:00]],"=x")</f>
        <v>0</v>
      </c>
      <c r="F403" s="2">
        <f>SUM(contact[[#This Row],[?]:[x]])</f>
        <v>0</v>
      </c>
      <c r="G4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3" s="3" t="s">
        <v>3142</v>
      </c>
      <c r="K403" s="1" t="s">
        <v>2</v>
      </c>
      <c r="L403" s="1" t="s">
        <v>2</v>
      </c>
      <c r="M403" s="1" t="s">
        <v>2</v>
      </c>
      <c r="O403" s="2"/>
      <c r="P403" s="2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 s="1" customFormat="1" ht="20.25" customHeight="1" x14ac:dyDescent="0.25">
      <c r="A404" s="2"/>
      <c r="B404" s="2"/>
      <c r="C404" s="2"/>
      <c r="D404" s="2">
        <f>COUNTIF(contact[[#This Row],[Bagossy]:[Szo
03:00 - 10:00]],"=~?")</f>
        <v>0</v>
      </c>
      <c r="E404" s="2">
        <f>COUNTIF(contact[[#This Row],[Bagossy]:[Szo
03:00 - 10:00]],"=x")</f>
        <v>0</v>
      </c>
      <c r="F404" s="2">
        <f>SUM(contact[[#This Row],[?]:[x]])</f>
        <v>0</v>
      </c>
      <c r="G4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4" s="3" t="s">
        <v>2047</v>
      </c>
      <c r="K404" s="1" t="s">
        <v>1324</v>
      </c>
      <c r="L404" s="1" t="s">
        <v>2</v>
      </c>
      <c r="M404" s="1" t="s">
        <v>2</v>
      </c>
      <c r="O404" s="2"/>
      <c r="P404" s="2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 s="1" customFormat="1" ht="20.25" customHeight="1" x14ac:dyDescent="0.25">
      <c r="A405" s="2"/>
      <c r="B405" s="2"/>
      <c r="C405" s="2"/>
      <c r="D405" s="2">
        <f>COUNTIF(contact[[#This Row],[Bagossy]:[Szo
03:00 - 10:00]],"=~?")</f>
        <v>0</v>
      </c>
      <c r="E405" s="2">
        <f>COUNTIF(contact[[#This Row],[Bagossy]:[Szo
03:00 - 10:00]],"=x")</f>
        <v>0</v>
      </c>
      <c r="F405" s="2">
        <f>SUM(contact[[#This Row],[?]:[x]])</f>
        <v>0</v>
      </c>
      <c r="G4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5" s="3" t="s">
        <v>1954</v>
      </c>
      <c r="K405" s="1" t="s">
        <v>35</v>
      </c>
      <c r="L405" s="1" t="s">
        <v>2</v>
      </c>
      <c r="M405" s="1" t="s">
        <v>2</v>
      </c>
      <c r="O405" s="2"/>
      <c r="P405" s="2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 s="1" customFormat="1" ht="20.25" customHeight="1" x14ac:dyDescent="0.25">
      <c r="A406" s="2"/>
      <c r="B406" s="2"/>
      <c r="C406" s="2"/>
      <c r="D406" s="2">
        <f>COUNTIF(contact[[#This Row],[Bagossy]:[Szo
03:00 - 10:00]],"=~?")</f>
        <v>0</v>
      </c>
      <c r="E406" s="2">
        <f>COUNTIF(contact[[#This Row],[Bagossy]:[Szo
03:00 - 10:00]],"=x")</f>
        <v>0</v>
      </c>
      <c r="F406" s="2">
        <f>SUM(contact[[#This Row],[?]:[x]])</f>
        <v>0</v>
      </c>
      <c r="G4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6" s="3" t="s">
        <v>4360</v>
      </c>
      <c r="K406" s="1" t="s">
        <v>1844</v>
      </c>
      <c r="L406" s="1" t="s">
        <v>2</v>
      </c>
      <c r="M406" s="1" t="s">
        <v>2</v>
      </c>
      <c r="O406" s="2"/>
      <c r="P406" s="2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 s="1" customFormat="1" ht="20.25" customHeight="1" x14ac:dyDescent="0.25">
      <c r="A407" s="2"/>
      <c r="B407" s="2"/>
      <c r="C407" s="2"/>
      <c r="D407" s="2">
        <f>COUNTIF(contact[[#This Row],[Bagossy]:[Szo
03:00 - 10:00]],"=~?")</f>
        <v>0</v>
      </c>
      <c r="E407" s="2">
        <f>COUNTIF(contact[[#This Row],[Bagossy]:[Szo
03:00 - 10:00]],"=x")</f>
        <v>0</v>
      </c>
      <c r="F407" s="2">
        <f>SUM(contact[[#This Row],[?]:[x]])</f>
        <v>0</v>
      </c>
      <c r="G4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7" s="3" t="s">
        <v>2425</v>
      </c>
      <c r="K407" s="1" t="s">
        <v>1303</v>
      </c>
      <c r="L407" s="1" t="s">
        <v>2</v>
      </c>
      <c r="M407" s="1" t="s">
        <v>2</v>
      </c>
      <c r="O407" s="2"/>
      <c r="P407" s="2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 s="1" customFormat="1" ht="20.25" customHeight="1" x14ac:dyDescent="0.25">
      <c r="A408" s="2"/>
      <c r="B408" s="2"/>
      <c r="C408" s="2"/>
      <c r="D408" s="2">
        <f>COUNTIF(contact[[#This Row],[Bagossy]:[Szo
03:00 - 10:00]],"=~?")</f>
        <v>0</v>
      </c>
      <c r="E408" s="2">
        <f>COUNTIF(contact[[#This Row],[Bagossy]:[Szo
03:00 - 10:00]],"=x")</f>
        <v>0</v>
      </c>
      <c r="F408" s="2">
        <f>SUM(contact[[#This Row],[?]:[x]])</f>
        <v>0</v>
      </c>
      <c r="G4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08" s="2"/>
      <c r="I408" s="2"/>
      <c r="J408" s="3" t="s">
        <v>2248</v>
      </c>
      <c r="K408" s="1" t="s">
        <v>1376</v>
      </c>
      <c r="L408" s="1" t="s">
        <v>2</v>
      </c>
      <c r="M408" s="1" t="s">
        <v>2</v>
      </c>
      <c r="O408" s="2"/>
      <c r="P408" s="2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 s="1" customFormat="1" ht="20.25" customHeight="1" x14ac:dyDescent="0.25">
      <c r="A409" s="2"/>
      <c r="B409" s="2"/>
      <c r="C409" s="2"/>
      <c r="D409" s="2">
        <f>COUNTIF(contact[[#This Row],[Bagossy]:[Szo
03:00 - 10:00]],"=~?")</f>
        <v>0</v>
      </c>
      <c r="E409" s="2">
        <f>COUNTIF(contact[[#This Row],[Bagossy]:[Szo
03:00 - 10:00]],"=x")</f>
        <v>0</v>
      </c>
      <c r="F409" s="2">
        <f>SUM(contact[[#This Row],[?]:[x]])</f>
        <v>0</v>
      </c>
      <c r="G4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09" s="3" t="s">
        <v>1925</v>
      </c>
      <c r="K409" s="1" t="s">
        <v>2</v>
      </c>
      <c r="L409" s="1" t="s">
        <v>2</v>
      </c>
      <c r="M409" s="1" t="s">
        <v>2</v>
      </c>
      <c r="O409" s="2"/>
      <c r="P409" s="2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 s="1" customFormat="1" ht="20.25" customHeight="1" x14ac:dyDescent="0.25">
      <c r="A410" s="2"/>
      <c r="B410" s="2"/>
      <c r="C410" s="2"/>
      <c r="D410" s="2">
        <f>COUNTIF(contact[[#This Row],[Bagossy]:[Szo
03:00 - 10:00]],"=~?")</f>
        <v>0</v>
      </c>
      <c r="E410" s="2">
        <f>COUNTIF(contact[[#This Row],[Bagossy]:[Szo
03:00 - 10:00]],"=x")</f>
        <v>0</v>
      </c>
      <c r="F410" s="2">
        <f>SUM(contact[[#This Row],[?]:[x]])</f>
        <v>0</v>
      </c>
      <c r="G4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0" s="3" t="s">
        <v>2048</v>
      </c>
      <c r="K410" s="1" t="s">
        <v>87</v>
      </c>
      <c r="L410" s="1" t="s">
        <v>2</v>
      </c>
      <c r="M410" s="1" t="s">
        <v>2</v>
      </c>
      <c r="O410" s="2"/>
      <c r="P410" s="2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 s="1" customFormat="1" ht="20.25" customHeight="1" x14ac:dyDescent="0.25">
      <c r="A411" s="2"/>
      <c r="B411" s="2"/>
      <c r="C411" s="2"/>
      <c r="D411" s="2">
        <f>COUNTIF(contact[[#This Row],[Bagossy]:[Szo
03:00 - 10:00]],"=~?")</f>
        <v>0</v>
      </c>
      <c r="E411" s="2">
        <f>COUNTIF(contact[[#This Row],[Bagossy]:[Szo
03:00 - 10:00]],"=x")</f>
        <v>0</v>
      </c>
      <c r="F411" s="2">
        <f>SUM(contact[[#This Row],[?]:[x]])</f>
        <v>0</v>
      </c>
      <c r="G4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1" s="3" t="s">
        <v>2518</v>
      </c>
      <c r="K411" s="1" t="s">
        <v>352</v>
      </c>
      <c r="L411" s="1" t="s">
        <v>2</v>
      </c>
      <c r="M411" s="1" t="s">
        <v>2</v>
      </c>
      <c r="O411" s="2"/>
      <c r="P411" s="2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 s="1" customFormat="1" ht="20.25" customHeight="1" x14ac:dyDescent="0.25">
      <c r="A412" s="2"/>
      <c r="B412" s="2"/>
      <c r="C412" s="2"/>
      <c r="D412" s="2">
        <f>COUNTIF(contact[[#This Row],[Bagossy]:[Szo
03:00 - 10:00]],"=~?")</f>
        <v>0</v>
      </c>
      <c r="E412" s="2">
        <f>COUNTIF(contact[[#This Row],[Bagossy]:[Szo
03:00 - 10:00]],"=x")</f>
        <v>0</v>
      </c>
      <c r="F412" s="2">
        <f>SUM(contact[[#This Row],[?]:[x]])</f>
        <v>0</v>
      </c>
      <c r="G4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2" s="3" t="s">
        <v>2170</v>
      </c>
      <c r="K412" s="1" t="s">
        <v>1357</v>
      </c>
      <c r="L412" s="1" t="s">
        <v>2</v>
      </c>
      <c r="M412" s="1" t="s">
        <v>2</v>
      </c>
      <c r="O412" s="2"/>
      <c r="P412" s="2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 s="1" customFormat="1" ht="20.25" customHeight="1" x14ac:dyDescent="0.25">
      <c r="A413" s="2"/>
      <c r="B413" s="2"/>
      <c r="C413" s="2"/>
      <c r="D413" s="2">
        <f>COUNTIF(contact[[#This Row],[Bagossy]:[Szo
03:00 - 10:00]],"=~?")</f>
        <v>0</v>
      </c>
      <c r="E413" s="2">
        <f>COUNTIF(contact[[#This Row],[Bagossy]:[Szo
03:00 - 10:00]],"=x")</f>
        <v>0</v>
      </c>
      <c r="F413" s="2">
        <f>SUM(contact[[#This Row],[?]:[x]])</f>
        <v>0</v>
      </c>
      <c r="G4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13" s="2"/>
      <c r="I413" s="2"/>
      <c r="J413" s="3" t="s">
        <v>2249</v>
      </c>
      <c r="K413" s="1" t="s">
        <v>1134</v>
      </c>
      <c r="L413" s="1" t="s">
        <v>2</v>
      </c>
      <c r="M413" s="1" t="s">
        <v>2</v>
      </c>
      <c r="O413" s="2"/>
      <c r="P413" s="2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 s="1" customFormat="1" ht="20.25" customHeight="1" x14ac:dyDescent="0.25">
      <c r="A414" s="2"/>
      <c r="B414" s="2"/>
      <c r="C414" s="2"/>
      <c r="D414" s="2">
        <f>COUNTIF(contact[[#This Row],[Bagossy]:[Szo
03:00 - 10:00]],"=~?")</f>
        <v>0</v>
      </c>
      <c r="E414" s="2">
        <f>COUNTIF(contact[[#This Row],[Bagossy]:[Szo
03:00 - 10:00]],"=x")</f>
        <v>0</v>
      </c>
      <c r="F414" s="2">
        <f>SUM(contact[[#This Row],[?]:[x]])</f>
        <v>0</v>
      </c>
      <c r="G4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4" s="3" t="s">
        <v>1910</v>
      </c>
      <c r="K414" s="1" t="s">
        <v>2</v>
      </c>
      <c r="L414" s="1" t="s">
        <v>2</v>
      </c>
      <c r="M414" s="1" t="s">
        <v>2</v>
      </c>
      <c r="O414" s="2"/>
      <c r="P414" s="2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 s="1" customFormat="1" ht="20.25" customHeight="1" x14ac:dyDescent="0.25">
      <c r="A415" s="2"/>
      <c r="B415" s="2"/>
      <c r="C415" s="2"/>
      <c r="D415" s="2">
        <f>COUNTIF(contact[[#This Row],[Bagossy]:[Szo
03:00 - 10:00]],"=~?")</f>
        <v>0</v>
      </c>
      <c r="E415" s="2">
        <f>COUNTIF(contact[[#This Row],[Bagossy]:[Szo
03:00 - 10:00]],"=x")</f>
        <v>0</v>
      </c>
      <c r="F415" s="2">
        <f>SUM(contact[[#This Row],[?]:[x]])</f>
        <v>0</v>
      </c>
      <c r="G4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5" s="3" t="s">
        <v>1911</v>
      </c>
      <c r="K415" s="1" t="s">
        <v>12</v>
      </c>
      <c r="L415" s="1" t="s">
        <v>2</v>
      </c>
      <c r="M415" s="1" t="s">
        <v>2</v>
      </c>
      <c r="O415" s="2"/>
      <c r="P415" s="2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 s="1" customFormat="1" ht="20.25" customHeight="1" x14ac:dyDescent="0.25">
      <c r="A416" s="2"/>
      <c r="B416" s="2"/>
      <c r="C416" s="2"/>
      <c r="D416" s="2">
        <f>COUNTIF(contact[[#This Row],[Bagossy]:[Szo
03:00 - 10:00]],"=~?")</f>
        <v>0</v>
      </c>
      <c r="E416" s="2">
        <f>COUNTIF(contact[[#This Row],[Bagossy]:[Szo
03:00 - 10:00]],"=x")</f>
        <v>0</v>
      </c>
      <c r="F416" s="2">
        <f>SUM(contact[[#This Row],[?]:[x]])</f>
        <v>0</v>
      </c>
      <c r="G4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6" s="3" t="s">
        <v>4111</v>
      </c>
      <c r="K416" s="1" t="s">
        <v>1788</v>
      </c>
      <c r="L416" s="1" t="s">
        <v>2</v>
      </c>
      <c r="M416" s="1" t="s">
        <v>2</v>
      </c>
      <c r="O416" s="2"/>
      <c r="P416" s="2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 s="1" customFormat="1" ht="20.25" customHeight="1" x14ac:dyDescent="0.25">
      <c r="A417" s="2"/>
      <c r="B417" s="2"/>
      <c r="C417" s="2"/>
      <c r="D417" s="2">
        <f>COUNTIF(contact[[#This Row],[Bagossy]:[Szo
03:00 - 10:00]],"=~?")</f>
        <v>0</v>
      </c>
      <c r="E417" s="2">
        <f>COUNTIF(contact[[#This Row],[Bagossy]:[Szo
03:00 - 10:00]],"=x")</f>
        <v>0</v>
      </c>
      <c r="F417" s="2">
        <f>SUM(contact[[#This Row],[?]:[x]])</f>
        <v>0</v>
      </c>
      <c r="G4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7" s="3" t="s">
        <v>2305</v>
      </c>
      <c r="K417" s="1" t="s">
        <v>2</v>
      </c>
      <c r="L417" s="1" t="s">
        <v>2</v>
      </c>
      <c r="M417" s="1" t="s">
        <v>2</v>
      </c>
      <c r="O417" s="2"/>
      <c r="P417" s="2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 s="1" customFormat="1" ht="20.25" customHeight="1" x14ac:dyDescent="0.25">
      <c r="A418" s="2"/>
      <c r="B418" s="2"/>
      <c r="C418" s="2"/>
      <c r="D418" s="2">
        <f>COUNTIF(contact[[#This Row],[Bagossy]:[Szo
03:00 - 10:00]],"=~?")</f>
        <v>0</v>
      </c>
      <c r="E418" s="2">
        <f>COUNTIF(contact[[#This Row],[Bagossy]:[Szo
03:00 - 10:00]],"=x")</f>
        <v>0</v>
      </c>
      <c r="F418" s="2">
        <f>SUM(contact[[#This Row],[?]:[x]])</f>
        <v>0</v>
      </c>
      <c r="G4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8" s="3" t="s">
        <v>2374</v>
      </c>
      <c r="K418" s="1" t="s">
        <v>2</v>
      </c>
      <c r="L418" s="1" t="s">
        <v>2</v>
      </c>
      <c r="M418" s="1" t="s">
        <v>2</v>
      </c>
      <c r="O418" s="2"/>
      <c r="P418" s="2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 s="1" customFormat="1" ht="20.25" customHeight="1" x14ac:dyDescent="0.25">
      <c r="A419" s="2"/>
      <c r="B419" s="2"/>
      <c r="C419" s="2"/>
      <c r="D419" s="2">
        <f>COUNTIF(contact[[#This Row],[Bagossy]:[Szo
03:00 - 10:00]],"=~?")</f>
        <v>0</v>
      </c>
      <c r="E419" s="2">
        <f>COUNTIF(contact[[#This Row],[Bagossy]:[Szo
03:00 - 10:00]],"=x")</f>
        <v>0</v>
      </c>
      <c r="F419" s="2">
        <f>SUM(contact[[#This Row],[?]:[x]])</f>
        <v>0</v>
      </c>
      <c r="G4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19" s="3" t="s">
        <v>2806</v>
      </c>
      <c r="K419" s="1" t="s">
        <v>2</v>
      </c>
      <c r="L419" s="1" t="s">
        <v>2</v>
      </c>
      <c r="M419" s="1" t="s">
        <v>2</v>
      </c>
      <c r="O419" s="2"/>
      <c r="P419" s="2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 s="1" customFormat="1" ht="20.25" customHeight="1" x14ac:dyDescent="0.25">
      <c r="A420" s="2"/>
      <c r="B420" s="2"/>
      <c r="C420" s="2"/>
      <c r="D420" s="2">
        <f>COUNTIF(contact[[#This Row],[Bagossy]:[Szo
03:00 - 10:00]],"=~?")</f>
        <v>0</v>
      </c>
      <c r="E420" s="2">
        <f>COUNTIF(contact[[#This Row],[Bagossy]:[Szo
03:00 - 10:00]],"=x")</f>
        <v>0</v>
      </c>
      <c r="F420" s="2">
        <f>SUM(contact[[#This Row],[?]:[x]])</f>
        <v>0</v>
      </c>
      <c r="G4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0" s="3" t="s">
        <v>3015</v>
      </c>
      <c r="K420" s="1" t="s">
        <v>2</v>
      </c>
      <c r="L420" s="1" t="s">
        <v>2</v>
      </c>
      <c r="M420" s="1" t="s">
        <v>2</v>
      </c>
      <c r="O420" s="2"/>
      <c r="P420" s="2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 s="1" customFormat="1" ht="20.25" customHeight="1" x14ac:dyDescent="0.25">
      <c r="A421" s="2"/>
      <c r="B421" s="2"/>
      <c r="C421" s="2"/>
      <c r="D421" s="2">
        <f>COUNTIF(contact[[#This Row],[Bagossy]:[Szo
03:00 - 10:00]],"=~?")</f>
        <v>0</v>
      </c>
      <c r="E421" s="2">
        <f>COUNTIF(contact[[#This Row],[Bagossy]:[Szo
03:00 - 10:00]],"=x")</f>
        <v>0</v>
      </c>
      <c r="F421" s="2">
        <f>SUM(contact[[#This Row],[?]:[x]])</f>
        <v>0</v>
      </c>
      <c r="G4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1" s="3" t="s">
        <v>3271</v>
      </c>
      <c r="K421" s="1" t="s">
        <v>2</v>
      </c>
      <c r="L421" s="1" t="s">
        <v>2</v>
      </c>
      <c r="M421" s="1" t="s">
        <v>2</v>
      </c>
      <c r="O421" s="2"/>
      <c r="P421" s="2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 s="1" customFormat="1" ht="20.25" customHeight="1" x14ac:dyDescent="0.25">
      <c r="A422" s="2"/>
      <c r="B422" s="2"/>
      <c r="C422" s="2"/>
      <c r="D422" s="2">
        <f>COUNTIF(contact[[#This Row],[Bagossy]:[Szo
03:00 - 10:00]],"=~?")</f>
        <v>0</v>
      </c>
      <c r="E422" s="2">
        <f>COUNTIF(contact[[#This Row],[Bagossy]:[Szo
03:00 - 10:00]],"=x")</f>
        <v>0</v>
      </c>
      <c r="F422" s="2">
        <f>SUM(contact[[#This Row],[?]:[x]])</f>
        <v>0</v>
      </c>
      <c r="G4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2" s="3" t="s">
        <v>4185</v>
      </c>
      <c r="K422" s="1" t="s">
        <v>1135</v>
      </c>
      <c r="L422" s="1" t="s">
        <v>2</v>
      </c>
      <c r="M422" s="1" t="s">
        <v>2</v>
      </c>
      <c r="O422" s="2"/>
      <c r="P422" s="2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 s="1" customFormat="1" ht="20.25" customHeight="1" x14ac:dyDescent="0.25">
      <c r="A423" s="2"/>
      <c r="B423" s="2"/>
      <c r="C423" s="2"/>
      <c r="D423" s="2">
        <f>COUNTIF(contact[[#This Row],[Bagossy]:[Szo
03:00 - 10:00]],"=~?")</f>
        <v>0</v>
      </c>
      <c r="E423" s="2">
        <f>COUNTIF(contact[[#This Row],[Bagossy]:[Szo
03:00 - 10:00]],"=x")</f>
        <v>0</v>
      </c>
      <c r="F423" s="2">
        <f>SUM(contact[[#This Row],[?]:[x]])</f>
        <v>0</v>
      </c>
      <c r="G4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3" s="3" t="s">
        <v>3023</v>
      </c>
      <c r="K423" s="1" t="s">
        <v>1544</v>
      </c>
      <c r="L423" s="1" t="s">
        <v>2</v>
      </c>
      <c r="M423" s="1" t="s">
        <v>2</v>
      </c>
      <c r="O423" s="2"/>
      <c r="P423" s="2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 s="1" customFormat="1" ht="20.25" customHeight="1" x14ac:dyDescent="0.25">
      <c r="A424" s="2"/>
      <c r="B424" s="2"/>
      <c r="C424" s="2"/>
      <c r="D424" s="2">
        <f>COUNTIF(contact[[#This Row],[Bagossy]:[Szo
03:00 - 10:00]],"=~?")</f>
        <v>0</v>
      </c>
      <c r="E424" s="2">
        <f>COUNTIF(contact[[#This Row],[Bagossy]:[Szo
03:00 - 10:00]],"=x")</f>
        <v>0</v>
      </c>
      <c r="F424" s="2">
        <f>SUM(contact[[#This Row],[?]:[x]])</f>
        <v>0</v>
      </c>
      <c r="G4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4" s="3" t="s">
        <v>3225</v>
      </c>
      <c r="K424" s="1" t="s">
        <v>697</v>
      </c>
      <c r="L424" s="1" t="s">
        <v>2</v>
      </c>
      <c r="M424" s="1" t="s">
        <v>2</v>
      </c>
      <c r="O424" s="2"/>
      <c r="P424" s="2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 s="1" customFormat="1" ht="20.25" customHeight="1" x14ac:dyDescent="0.25">
      <c r="A425" s="2"/>
      <c r="B425" s="2"/>
      <c r="C425" s="2"/>
      <c r="D425" s="2">
        <f>COUNTIF(contact[[#This Row],[Bagossy]:[Szo
03:00 - 10:00]],"=~?")</f>
        <v>0</v>
      </c>
      <c r="E425" s="2">
        <f>COUNTIF(contact[[#This Row],[Bagossy]:[Szo
03:00 - 10:00]],"=x")</f>
        <v>0</v>
      </c>
      <c r="F425" s="2">
        <f>SUM(contact[[#This Row],[?]:[x]])</f>
        <v>0</v>
      </c>
      <c r="G4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5" s="3" t="s">
        <v>2253</v>
      </c>
      <c r="K425" s="1" t="s">
        <v>207</v>
      </c>
      <c r="L425" s="1" t="s">
        <v>2</v>
      </c>
      <c r="M425" s="1" t="s">
        <v>2</v>
      </c>
      <c r="O425" s="2"/>
      <c r="P425" s="2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 s="1" customFormat="1" ht="20.25" customHeight="1" x14ac:dyDescent="0.25">
      <c r="A426" s="2"/>
      <c r="B426" s="2"/>
      <c r="C426" s="2"/>
      <c r="D426" s="2">
        <f>COUNTIF(contact[[#This Row],[Bagossy]:[Szo
03:00 - 10:00]],"=~?")</f>
        <v>0</v>
      </c>
      <c r="E426" s="2">
        <f>COUNTIF(contact[[#This Row],[Bagossy]:[Szo
03:00 - 10:00]],"=x")</f>
        <v>0</v>
      </c>
      <c r="F426" s="2">
        <f>SUM(contact[[#This Row],[?]:[x]])</f>
        <v>0</v>
      </c>
      <c r="G4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6" s="3" t="s">
        <v>2603</v>
      </c>
      <c r="K426" s="1" t="s">
        <v>405</v>
      </c>
      <c r="L426" s="1" t="s">
        <v>2</v>
      </c>
      <c r="M426" s="1" t="s">
        <v>2</v>
      </c>
      <c r="O426" s="2"/>
      <c r="P426" s="2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 s="1" customFormat="1" ht="20.25" customHeight="1" x14ac:dyDescent="0.25">
      <c r="A427" s="2"/>
      <c r="B427" s="2"/>
      <c r="C427" s="2"/>
      <c r="D427" s="2">
        <f>COUNTIF(contact[[#This Row],[Bagossy]:[Szo
03:00 - 10:00]],"=~?")</f>
        <v>0</v>
      </c>
      <c r="E427" s="2">
        <f>COUNTIF(contact[[#This Row],[Bagossy]:[Szo
03:00 - 10:00]],"=x")</f>
        <v>0</v>
      </c>
      <c r="F427" s="2">
        <f>SUM(contact[[#This Row],[?]:[x]])</f>
        <v>0</v>
      </c>
      <c r="G4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27" s="3" t="s">
        <v>2807</v>
      </c>
      <c r="K427" s="1" t="s">
        <v>1293</v>
      </c>
      <c r="L427" s="1" t="s">
        <v>2</v>
      </c>
      <c r="M427" s="1" t="s">
        <v>2</v>
      </c>
      <c r="O427" s="2"/>
      <c r="P427" s="2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 s="1" customFormat="1" ht="20.25" customHeight="1" x14ac:dyDescent="0.25">
      <c r="A428" s="2"/>
      <c r="B428" s="2"/>
      <c r="C428" s="2"/>
      <c r="D428" s="2">
        <f>COUNTIF(contact[[#This Row],[Bagossy]:[Szo
03:00 - 10:00]],"=~?")</f>
        <v>0</v>
      </c>
      <c r="E428" s="2">
        <f>COUNTIF(contact[[#This Row],[Bagossy]:[Szo
03:00 - 10:00]],"=x")</f>
        <v>0</v>
      </c>
      <c r="F428" s="2">
        <f>SUM(contact[[#This Row],[?]:[x]])</f>
        <v>0</v>
      </c>
      <c r="G4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28" s="2"/>
      <c r="I428" s="2"/>
      <c r="J428" s="3" t="s">
        <v>2256</v>
      </c>
      <c r="K428" s="1" t="s">
        <v>1377</v>
      </c>
      <c r="L428" s="1" t="s">
        <v>2</v>
      </c>
      <c r="M428" s="1" t="s">
        <v>2</v>
      </c>
      <c r="O428" s="2"/>
      <c r="P428" s="2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 s="1" customFormat="1" ht="20.25" customHeight="1" x14ac:dyDescent="0.25">
      <c r="A429" s="2"/>
      <c r="B429" s="2"/>
      <c r="C429" s="2"/>
      <c r="D429" s="2">
        <f>COUNTIF(contact[[#This Row],[Bagossy]:[Szo
03:00 - 10:00]],"=~?")</f>
        <v>0</v>
      </c>
      <c r="E429" s="2">
        <f>COUNTIF(contact[[#This Row],[Bagossy]:[Szo
03:00 - 10:00]],"=x")</f>
        <v>0</v>
      </c>
      <c r="F429" s="2">
        <f>SUM(contact[[#This Row],[?]:[x]])</f>
        <v>0</v>
      </c>
      <c r="G4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29" s="2"/>
      <c r="I429" s="2"/>
      <c r="J429" s="3" t="s">
        <v>2258</v>
      </c>
      <c r="K429" s="1" t="s">
        <v>6</v>
      </c>
      <c r="L429" s="1" t="s">
        <v>2</v>
      </c>
      <c r="M429" s="1" t="s">
        <v>2</v>
      </c>
      <c r="O429" s="2"/>
      <c r="P429" s="2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 s="1" customFormat="1" ht="20.25" customHeight="1" x14ac:dyDescent="0.25">
      <c r="A430" s="2"/>
      <c r="B430" s="2"/>
      <c r="C430" s="2"/>
      <c r="D430" s="2">
        <f>COUNTIF(contact[[#This Row],[Bagossy]:[Szo
03:00 - 10:00]],"=~?")</f>
        <v>0</v>
      </c>
      <c r="E430" s="2">
        <f>COUNTIF(contact[[#This Row],[Bagossy]:[Szo
03:00 - 10:00]],"=x")</f>
        <v>0</v>
      </c>
      <c r="F430" s="2">
        <f>SUM(contact[[#This Row],[?]:[x]])</f>
        <v>0</v>
      </c>
      <c r="G4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0" s="3" t="s">
        <v>4377</v>
      </c>
      <c r="K430" s="1" t="s">
        <v>1217</v>
      </c>
      <c r="L430" s="1" t="s">
        <v>108</v>
      </c>
      <c r="M430" s="1" t="s">
        <v>1218</v>
      </c>
      <c r="O430" s="2"/>
      <c r="P430" s="2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 s="1" customFormat="1" ht="20.25" customHeight="1" x14ac:dyDescent="0.25">
      <c r="A431" s="2"/>
      <c r="B431" s="2"/>
      <c r="C431" s="2"/>
      <c r="D431" s="2">
        <f>COUNTIF(contact[[#This Row],[Bagossy]:[Szo
03:00 - 10:00]],"=~?")</f>
        <v>0</v>
      </c>
      <c r="E431" s="2">
        <f>COUNTIF(contact[[#This Row],[Bagossy]:[Szo
03:00 - 10:00]],"=x")</f>
        <v>0</v>
      </c>
      <c r="F431" s="2">
        <f>SUM(contact[[#This Row],[?]:[x]])</f>
        <v>0</v>
      </c>
      <c r="G4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1" s="3" t="s">
        <v>4579</v>
      </c>
      <c r="K431" s="1" t="s">
        <v>2</v>
      </c>
      <c r="L431" s="1" t="s">
        <v>2</v>
      </c>
      <c r="M431" s="1" t="s">
        <v>2</v>
      </c>
      <c r="O431" s="2"/>
      <c r="P431" s="2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 s="1" customFormat="1" ht="20.25" customHeight="1" x14ac:dyDescent="0.25">
      <c r="A432" s="2"/>
      <c r="B432" s="2"/>
      <c r="C432" s="2"/>
      <c r="D432" s="2">
        <f>COUNTIF(contact[[#This Row],[Bagossy]:[Szo
03:00 - 10:00]],"=~?")</f>
        <v>0</v>
      </c>
      <c r="E432" s="2">
        <f>COUNTIF(contact[[#This Row],[Bagossy]:[Szo
03:00 - 10:00]],"=x")</f>
        <v>0</v>
      </c>
      <c r="F432" s="2">
        <f>SUM(contact[[#This Row],[?]:[x]])</f>
        <v>0</v>
      </c>
      <c r="G4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2" s="3" t="s">
        <v>285</v>
      </c>
      <c r="K432" s="1" t="s">
        <v>2</v>
      </c>
      <c r="L432" s="1" t="s">
        <v>2</v>
      </c>
      <c r="M432" s="1" t="s">
        <v>2</v>
      </c>
      <c r="O432" s="2"/>
      <c r="P432" s="2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 s="1" customFormat="1" ht="20.25" customHeight="1" x14ac:dyDescent="0.25">
      <c r="A433" s="2"/>
      <c r="B433" s="2"/>
      <c r="C433" s="2"/>
      <c r="D433" s="2">
        <f>COUNTIF(contact[[#This Row],[Bagossy]:[Szo
03:00 - 10:00]],"=~?")</f>
        <v>0</v>
      </c>
      <c r="E433" s="2">
        <f>COUNTIF(contact[[#This Row],[Bagossy]:[Szo
03:00 - 10:00]],"=x")</f>
        <v>0</v>
      </c>
      <c r="F433" s="2">
        <f>SUM(contact[[#This Row],[?]:[x]])</f>
        <v>0</v>
      </c>
      <c r="G4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3" s="3" t="s">
        <v>4501</v>
      </c>
      <c r="K433" s="1" t="s">
        <v>1260</v>
      </c>
      <c r="L433" s="1" t="s">
        <v>2</v>
      </c>
      <c r="M433" s="1" t="s">
        <v>2</v>
      </c>
      <c r="O433" s="2"/>
      <c r="P433" s="2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 s="1" customFormat="1" ht="20.25" customHeight="1" x14ac:dyDescent="0.25">
      <c r="A434" s="2"/>
      <c r="B434" s="2"/>
      <c r="C434" s="2"/>
      <c r="D434" s="2">
        <f>COUNTIF(contact[[#This Row],[Bagossy]:[Szo
03:00 - 10:00]],"=~?")</f>
        <v>0</v>
      </c>
      <c r="E434" s="2">
        <f>COUNTIF(contact[[#This Row],[Bagossy]:[Szo
03:00 - 10:00]],"=x")</f>
        <v>0</v>
      </c>
      <c r="F434" s="2">
        <f>SUM(contact[[#This Row],[?]:[x]])</f>
        <v>0</v>
      </c>
      <c r="G4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4" s="3" t="s">
        <v>2263</v>
      </c>
      <c r="K434" s="1" t="s">
        <v>1293</v>
      </c>
      <c r="L434" s="1" t="s">
        <v>2</v>
      </c>
      <c r="M434" s="1" t="s">
        <v>2</v>
      </c>
      <c r="O434" s="2"/>
      <c r="P434" s="2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 s="1" customFormat="1" ht="20.25" customHeight="1" x14ac:dyDescent="0.25">
      <c r="A435" s="2"/>
      <c r="B435" s="2"/>
      <c r="C435" s="2"/>
      <c r="D435" s="2">
        <f>COUNTIF(contact[[#This Row],[Bagossy]:[Szo
03:00 - 10:00]],"=~?")</f>
        <v>0</v>
      </c>
      <c r="E435" s="2">
        <f>COUNTIF(contact[[#This Row],[Bagossy]:[Szo
03:00 - 10:00]],"=x")</f>
        <v>0</v>
      </c>
      <c r="F435" s="2">
        <f>SUM(contact[[#This Row],[?]:[x]])</f>
        <v>0</v>
      </c>
      <c r="G4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5" s="3" t="s">
        <v>2575</v>
      </c>
      <c r="K435" s="1" t="s">
        <v>387</v>
      </c>
      <c r="L435" s="1" t="s">
        <v>2</v>
      </c>
      <c r="M435" s="1" t="s">
        <v>2</v>
      </c>
      <c r="O435" s="2"/>
      <c r="P435" s="2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 s="1" customFormat="1" ht="20.25" customHeight="1" x14ac:dyDescent="0.25">
      <c r="A436" s="2"/>
      <c r="B436" s="2"/>
      <c r="C436" s="2"/>
      <c r="D436" s="2">
        <f>COUNTIF(contact[[#This Row],[Bagossy]:[Szo
03:00 - 10:00]],"=~?")</f>
        <v>0</v>
      </c>
      <c r="E436" s="2">
        <f>COUNTIF(contact[[#This Row],[Bagossy]:[Szo
03:00 - 10:00]],"=x")</f>
        <v>0</v>
      </c>
      <c r="F436" s="2">
        <f>SUM(contact[[#This Row],[?]:[x]])</f>
        <v>0</v>
      </c>
      <c r="G4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6" s="3" t="s">
        <v>2812</v>
      </c>
      <c r="K436" s="1" t="s">
        <v>2</v>
      </c>
      <c r="L436" s="1" t="s">
        <v>2</v>
      </c>
      <c r="M436" s="1" t="s">
        <v>2</v>
      </c>
      <c r="O436" s="2"/>
      <c r="P436" s="2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 s="1" customFormat="1" ht="20.25" customHeight="1" x14ac:dyDescent="0.25">
      <c r="A437" s="2"/>
      <c r="B437" s="2"/>
      <c r="C437" s="2"/>
      <c r="D437" s="2">
        <f>COUNTIF(contact[[#This Row],[Bagossy]:[Szo
03:00 - 10:00]],"=~?")</f>
        <v>0</v>
      </c>
      <c r="E437" s="2">
        <f>COUNTIF(contact[[#This Row],[Bagossy]:[Szo
03:00 - 10:00]],"=x")</f>
        <v>0</v>
      </c>
      <c r="F437" s="2">
        <f>SUM(contact[[#This Row],[?]:[x]])</f>
        <v>0</v>
      </c>
      <c r="G4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37" s="2"/>
      <c r="I437" s="2"/>
      <c r="J437" s="3" t="s">
        <v>2259</v>
      </c>
      <c r="K437" s="1" t="s">
        <v>640</v>
      </c>
      <c r="L437" s="1" t="s">
        <v>2</v>
      </c>
      <c r="M437" s="1" t="s">
        <v>2</v>
      </c>
      <c r="O437" s="2"/>
      <c r="P437" s="2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 s="1" customFormat="1" ht="20.25" customHeight="1" x14ac:dyDescent="0.25">
      <c r="A438" s="2"/>
      <c r="B438" s="2"/>
      <c r="C438" s="2"/>
      <c r="D438" s="2">
        <f>COUNTIF(contact[[#This Row],[Bagossy]:[Szo
03:00 - 10:00]],"=~?")</f>
        <v>0</v>
      </c>
      <c r="E438" s="2">
        <f>COUNTIF(contact[[#This Row],[Bagossy]:[Szo
03:00 - 10:00]],"=x")</f>
        <v>0</v>
      </c>
      <c r="F438" s="2">
        <f>SUM(contact[[#This Row],[?]:[x]])</f>
        <v>0</v>
      </c>
      <c r="G4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38" s="2"/>
      <c r="I438" s="2"/>
      <c r="J438" s="3" t="s">
        <v>2260</v>
      </c>
      <c r="K438" s="1" t="s">
        <v>1266</v>
      </c>
      <c r="L438" s="1" t="s">
        <v>2</v>
      </c>
      <c r="M438" s="1" t="s">
        <v>2</v>
      </c>
      <c r="O438" s="2"/>
      <c r="P438" s="2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 s="1" customFormat="1" ht="20.25" customHeight="1" x14ac:dyDescent="0.25">
      <c r="A439" s="2"/>
      <c r="B439" s="2"/>
      <c r="C439" s="2"/>
      <c r="D439" s="2">
        <f>COUNTIF(contact[[#This Row],[Bagossy]:[Szo
03:00 - 10:00]],"=~?")</f>
        <v>0</v>
      </c>
      <c r="E439" s="2">
        <f>COUNTIF(contact[[#This Row],[Bagossy]:[Szo
03:00 - 10:00]],"=x")</f>
        <v>0</v>
      </c>
      <c r="F439" s="2">
        <f>SUM(contact[[#This Row],[?]:[x]])</f>
        <v>0</v>
      </c>
      <c r="G4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39" s="3" t="s">
        <v>3826</v>
      </c>
      <c r="K439" s="1" t="s">
        <v>1725</v>
      </c>
      <c r="L439" s="1" t="s">
        <v>2</v>
      </c>
      <c r="M439" s="1" t="s">
        <v>2</v>
      </c>
      <c r="O439" s="2"/>
      <c r="P439" s="2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 s="1" customFormat="1" ht="20.25" customHeight="1" x14ac:dyDescent="0.25">
      <c r="A440" s="2"/>
      <c r="B440" s="2"/>
      <c r="C440" s="2"/>
      <c r="D440" s="2">
        <f>COUNTIF(contact[[#This Row],[Bagossy]:[Szo
03:00 - 10:00]],"=~?")</f>
        <v>0</v>
      </c>
      <c r="E440" s="2">
        <f>COUNTIF(contact[[#This Row],[Bagossy]:[Szo
03:00 - 10:00]],"=x")</f>
        <v>0</v>
      </c>
      <c r="F440" s="2">
        <f>SUM(contact[[#This Row],[?]:[x]])</f>
        <v>0</v>
      </c>
      <c r="G4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0" s="3" t="s">
        <v>3050</v>
      </c>
      <c r="K440" s="1" t="s">
        <v>620</v>
      </c>
      <c r="L440" s="1" t="s">
        <v>2</v>
      </c>
      <c r="M440" s="1" t="s">
        <v>2</v>
      </c>
      <c r="O440" s="2"/>
      <c r="P440" s="2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 s="1" customFormat="1" ht="20.25" customHeight="1" x14ac:dyDescent="0.25">
      <c r="A441" s="2"/>
      <c r="B441" s="2"/>
      <c r="C441" s="2"/>
      <c r="D441" s="2">
        <f>COUNTIF(contact[[#This Row],[Bagossy]:[Szo
03:00 - 10:00]],"=~?")</f>
        <v>0</v>
      </c>
      <c r="E441" s="2">
        <f>COUNTIF(contact[[#This Row],[Bagossy]:[Szo
03:00 - 10:00]],"=x")</f>
        <v>0</v>
      </c>
      <c r="F441" s="2">
        <f>SUM(contact[[#This Row],[?]:[x]])</f>
        <v>0</v>
      </c>
      <c r="G4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41" s="2"/>
      <c r="I441" s="2"/>
      <c r="J441" s="3" t="s">
        <v>2281</v>
      </c>
      <c r="K441" s="1" t="s">
        <v>1152</v>
      </c>
      <c r="L441" s="1" t="s">
        <v>2</v>
      </c>
      <c r="M441" s="1" t="s">
        <v>2</v>
      </c>
      <c r="O441" s="2"/>
      <c r="P441" s="2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 s="1" customFormat="1" ht="20.25" customHeight="1" x14ac:dyDescent="0.25">
      <c r="A442" s="2"/>
      <c r="B442" s="2"/>
      <c r="C442" s="2"/>
      <c r="D442" s="2">
        <f>COUNTIF(contact[[#This Row],[Bagossy]:[Szo
03:00 - 10:00]],"=~?")</f>
        <v>0</v>
      </c>
      <c r="E442" s="2">
        <f>COUNTIF(contact[[#This Row],[Bagossy]:[Szo
03:00 - 10:00]],"=x")</f>
        <v>0</v>
      </c>
      <c r="F442" s="2">
        <f>SUM(contact[[#This Row],[?]:[x]])</f>
        <v>0</v>
      </c>
      <c r="G4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42" s="2"/>
      <c r="I442" s="2"/>
      <c r="J442" s="3" t="s">
        <v>2287</v>
      </c>
      <c r="K442" s="1" t="s">
        <v>151</v>
      </c>
      <c r="L442" s="1" t="s">
        <v>2</v>
      </c>
      <c r="M442" s="1" t="s">
        <v>2</v>
      </c>
      <c r="O442" s="2"/>
      <c r="P442" s="2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 s="1" customFormat="1" ht="20.25" customHeight="1" x14ac:dyDescent="0.25">
      <c r="A443" s="2"/>
      <c r="B443" s="2"/>
      <c r="C443" s="2"/>
      <c r="D443" s="2">
        <f>COUNTIF(contact[[#This Row],[Bagossy]:[Szo
03:00 - 10:00]],"=~?")</f>
        <v>0</v>
      </c>
      <c r="E443" s="2">
        <f>COUNTIF(contact[[#This Row],[Bagossy]:[Szo
03:00 - 10:00]],"=x")</f>
        <v>0</v>
      </c>
      <c r="F443" s="2">
        <f>SUM(contact[[#This Row],[?]:[x]])</f>
        <v>0</v>
      </c>
      <c r="G4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3" s="3" t="s">
        <v>3752</v>
      </c>
      <c r="K443" s="1" t="s">
        <v>926</v>
      </c>
      <c r="L443" s="1" t="s">
        <v>2</v>
      </c>
      <c r="M443" s="1" t="s">
        <v>2</v>
      </c>
      <c r="O443" s="2"/>
      <c r="P443" s="2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 s="1" customFormat="1" ht="20.25" customHeight="1" x14ac:dyDescent="0.25">
      <c r="A444" s="2"/>
      <c r="B444" s="2"/>
      <c r="C444" s="2"/>
      <c r="D444" s="2">
        <f>COUNTIF(contact[[#This Row],[Bagossy]:[Szo
03:00 - 10:00]],"=~?")</f>
        <v>0</v>
      </c>
      <c r="E444" s="2">
        <f>COUNTIF(contact[[#This Row],[Bagossy]:[Szo
03:00 - 10:00]],"=x")</f>
        <v>0</v>
      </c>
      <c r="F444" s="2">
        <f>SUM(contact[[#This Row],[?]:[x]])</f>
        <v>0</v>
      </c>
      <c r="G4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4" s="3" t="s">
        <v>4321</v>
      </c>
      <c r="K444" s="1" t="s">
        <v>1837</v>
      </c>
      <c r="L444" s="1" t="s">
        <v>2</v>
      </c>
      <c r="M444" s="1" t="s">
        <v>2</v>
      </c>
      <c r="O444" s="2"/>
      <c r="P444" s="2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 s="1" customFormat="1" ht="20.25" customHeight="1" x14ac:dyDescent="0.25">
      <c r="A445" s="2"/>
      <c r="B445" s="2"/>
      <c r="C445" s="2"/>
      <c r="D445" s="2">
        <f>COUNTIF(contact[[#This Row],[Bagossy]:[Szo
03:00 - 10:00]],"=~?")</f>
        <v>0</v>
      </c>
      <c r="E445" s="2">
        <f>COUNTIF(contact[[#This Row],[Bagossy]:[Szo
03:00 - 10:00]],"=x")</f>
        <v>0</v>
      </c>
      <c r="F445" s="2">
        <f>SUM(contact[[#This Row],[?]:[x]])</f>
        <v>0</v>
      </c>
      <c r="G4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5" s="3" t="s">
        <v>4112</v>
      </c>
      <c r="K445" s="1" t="s">
        <v>1789</v>
      </c>
      <c r="L445" s="1" t="s">
        <v>2</v>
      </c>
      <c r="M445" s="1" t="s">
        <v>2</v>
      </c>
      <c r="O445" s="2"/>
      <c r="P445" s="2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 s="1" customFormat="1" ht="20.25" customHeight="1" x14ac:dyDescent="0.25">
      <c r="A446" s="2"/>
      <c r="B446" s="2"/>
      <c r="C446" s="2"/>
      <c r="D446" s="2">
        <f>COUNTIF(contact[[#This Row],[Bagossy]:[Szo
03:00 - 10:00]],"=~?")</f>
        <v>0</v>
      </c>
      <c r="E446" s="2">
        <f>COUNTIF(contact[[#This Row],[Bagossy]:[Szo
03:00 - 10:00]],"=x")</f>
        <v>0</v>
      </c>
      <c r="F446" s="2">
        <f>SUM(contact[[#This Row],[?]:[x]])</f>
        <v>0</v>
      </c>
      <c r="G4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6" s="3" t="s">
        <v>2422</v>
      </c>
      <c r="K446" s="1" t="s">
        <v>1405</v>
      </c>
      <c r="L446" s="1" t="s">
        <v>2</v>
      </c>
      <c r="M446" s="1" t="s">
        <v>2</v>
      </c>
      <c r="O446" s="2"/>
      <c r="P446" s="2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 s="1" customFormat="1" ht="20.25" customHeight="1" x14ac:dyDescent="0.25">
      <c r="A447" s="2"/>
      <c r="B447" s="2"/>
      <c r="C447" s="2"/>
      <c r="D447" s="2">
        <f>COUNTIF(contact[[#This Row],[Bagossy]:[Szo
03:00 - 10:00]],"=~?")</f>
        <v>0</v>
      </c>
      <c r="E447" s="2">
        <f>COUNTIF(contact[[#This Row],[Bagossy]:[Szo
03:00 - 10:00]],"=x")</f>
        <v>0</v>
      </c>
      <c r="F447" s="2">
        <f>SUM(contact[[#This Row],[?]:[x]])</f>
        <v>0</v>
      </c>
      <c r="G4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7" s="3" t="s">
        <v>288</v>
      </c>
      <c r="K447" s="1" t="s">
        <v>2</v>
      </c>
      <c r="L447" s="1" t="s">
        <v>2</v>
      </c>
      <c r="M447" s="1" t="s">
        <v>2</v>
      </c>
      <c r="O447" s="2"/>
      <c r="P447" s="2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 s="1" customFormat="1" ht="20.25" customHeight="1" x14ac:dyDescent="0.25">
      <c r="A448" s="2"/>
      <c r="B448" s="2"/>
      <c r="C448" s="2"/>
      <c r="D448" s="2">
        <f>COUNTIF(contact[[#This Row],[Bagossy]:[Szo
03:00 - 10:00]],"=~?")</f>
        <v>0</v>
      </c>
      <c r="E448" s="2">
        <f>COUNTIF(contact[[#This Row],[Bagossy]:[Szo
03:00 - 10:00]],"=x")</f>
        <v>0</v>
      </c>
      <c r="F448" s="2">
        <f>SUM(contact[[#This Row],[?]:[x]])</f>
        <v>0</v>
      </c>
      <c r="G4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48" s="3" t="s">
        <v>3562</v>
      </c>
      <c r="K448" s="1" t="s">
        <v>2</v>
      </c>
      <c r="L448" s="1" t="s">
        <v>2</v>
      </c>
      <c r="M448" s="1" t="s">
        <v>2</v>
      </c>
      <c r="O448" s="2"/>
      <c r="P448" s="2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 s="1" customFormat="1" ht="20.25" customHeight="1" x14ac:dyDescent="0.25">
      <c r="A449" s="2"/>
      <c r="B449" s="2" t="s">
        <v>1285</v>
      </c>
      <c r="C449" s="2" t="s">
        <v>1285</v>
      </c>
      <c r="D449" s="2">
        <f>COUNTIF(contact[[#This Row],[Bagossy]:[Szo
03:00 - 10:00]],"=~?")</f>
        <v>0</v>
      </c>
      <c r="E449" s="2">
        <f>COUNTIF(contact[[#This Row],[Bagossy]:[Szo
03:00 - 10:00]],"=x")</f>
        <v>0</v>
      </c>
      <c r="F449" s="2">
        <f>SUM(contact[[#This Row],[?]:[x]])</f>
        <v>0</v>
      </c>
      <c r="G4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49" s="2"/>
      <c r="I449" s="2"/>
      <c r="J449" s="3" t="s">
        <v>2304</v>
      </c>
      <c r="K449" s="1" t="s">
        <v>1386</v>
      </c>
      <c r="L449" s="1" t="s">
        <v>2</v>
      </c>
      <c r="M449" s="1" t="s">
        <v>2</v>
      </c>
      <c r="O449" s="2"/>
      <c r="P449" s="2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 s="1" customFormat="1" ht="20.25" customHeight="1" x14ac:dyDescent="0.25">
      <c r="A450" s="2"/>
      <c r="B450" s="2"/>
      <c r="C450" s="2"/>
      <c r="D450" s="2">
        <f>COUNTIF(contact[[#This Row],[Bagossy]:[Szo
03:00 - 10:00]],"=~?")</f>
        <v>0</v>
      </c>
      <c r="E450" s="2">
        <f>COUNTIF(contact[[#This Row],[Bagossy]:[Szo
03:00 - 10:00]],"=x")</f>
        <v>0</v>
      </c>
      <c r="F450" s="2">
        <f>SUM(contact[[#This Row],[?]:[x]])</f>
        <v>0</v>
      </c>
      <c r="G4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50" s="2"/>
      <c r="I450" s="2"/>
      <c r="J450" s="3" t="s">
        <v>2307</v>
      </c>
      <c r="K450" s="1" t="s">
        <v>162</v>
      </c>
      <c r="L450" s="1" t="s">
        <v>2</v>
      </c>
      <c r="M450" s="1" t="s">
        <v>2</v>
      </c>
      <c r="O450" s="2"/>
      <c r="P450" s="2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 s="1" customFormat="1" ht="20.25" customHeight="1" x14ac:dyDescent="0.25">
      <c r="A451" s="2"/>
      <c r="B451" s="2"/>
      <c r="C451" s="2" t="s">
        <v>1285</v>
      </c>
      <c r="D451" s="2">
        <f>COUNTIF(contact[[#This Row],[Bagossy]:[Szo
03:00 - 10:00]],"=~?")</f>
        <v>0</v>
      </c>
      <c r="E451" s="2">
        <f>COUNTIF(contact[[#This Row],[Bagossy]:[Szo
03:00 - 10:00]],"=x")</f>
        <v>0</v>
      </c>
      <c r="F451" s="2">
        <f>SUM(contact[[#This Row],[?]:[x]])</f>
        <v>0</v>
      </c>
      <c r="G4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51" s="2"/>
      <c r="I451" s="2"/>
      <c r="J451" s="3" t="s">
        <v>2309</v>
      </c>
      <c r="K451" s="1" t="s">
        <v>1387</v>
      </c>
      <c r="L451" s="1" t="s">
        <v>2</v>
      </c>
      <c r="M451" s="1" t="s">
        <v>2</v>
      </c>
      <c r="O451" s="2"/>
      <c r="P451" s="2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 s="1" customFormat="1" ht="20.25" customHeight="1" x14ac:dyDescent="0.25">
      <c r="A452" s="2"/>
      <c r="B452" s="2" t="s">
        <v>1285</v>
      </c>
      <c r="C452" s="2" t="s">
        <v>1285</v>
      </c>
      <c r="D452" s="2">
        <f>COUNTIF(contact[[#This Row],[Bagossy]:[Szo
03:00 - 10:00]],"=~?")</f>
        <v>0</v>
      </c>
      <c r="E452" s="2">
        <f>COUNTIF(contact[[#This Row],[Bagossy]:[Szo
03:00 - 10:00]],"=x")</f>
        <v>0</v>
      </c>
      <c r="F452" s="2">
        <f>SUM(contact[[#This Row],[?]:[x]])</f>
        <v>0</v>
      </c>
      <c r="G4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52" s="2" t="s">
        <v>4620</v>
      </c>
      <c r="I452" s="2"/>
      <c r="J452" s="3" t="s">
        <v>2310</v>
      </c>
      <c r="K452" s="1" t="s">
        <v>439</v>
      </c>
      <c r="L452" s="1" t="s">
        <v>2</v>
      </c>
      <c r="M452" s="1" t="s">
        <v>2</v>
      </c>
      <c r="O452" s="2"/>
      <c r="P452" s="2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 s="1" customFormat="1" ht="20.25" customHeight="1" x14ac:dyDescent="0.25">
      <c r="A453" s="2"/>
      <c r="B453" s="2" t="s">
        <v>1285</v>
      </c>
      <c r="C453" s="2" t="s">
        <v>1285</v>
      </c>
      <c r="D453" s="2">
        <f>COUNTIF(contact[[#This Row],[Bagossy]:[Szo
03:00 - 10:00]],"=~?")</f>
        <v>0</v>
      </c>
      <c r="E453" s="2">
        <f>COUNTIF(contact[[#This Row],[Bagossy]:[Szo
03:00 - 10:00]],"=x")</f>
        <v>0</v>
      </c>
      <c r="F453" s="2">
        <f>SUM(contact[[#This Row],[?]:[x]])</f>
        <v>0</v>
      </c>
      <c r="G4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53" s="2"/>
      <c r="I453" s="2"/>
      <c r="J453" s="3" t="s">
        <v>2312</v>
      </c>
      <c r="K453" s="1" t="s">
        <v>584</v>
      </c>
      <c r="L453" s="1" t="s">
        <v>2</v>
      </c>
      <c r="M453" s="1" t="s">
        <v>2</v>
      </c>
      <c r="O453" s="2"/>
      <c r="P453" s="2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 s="1" customFormat="1" ht="20.25" customHeight="1" x14ac:dyDescent="0.25">
      <c r="A454" s="2"/>
      <c r="B454" s="2"/>
      <c r="C454" s="2"/>
      <c r="D454" s="2">
        <f>COUNTIF(contact[[#This Row],[Bagossy]:[Szo
03:00 - 10:00]],"=~?")</f>
        <v>0</v>
      </c>
      <c r="E454" s="2">
        <f>COUNTIF(contact[[#This Row],[Bagossy]:[Szo
03:00 - 10:00]],"=x")</f>
        <v>0</v>
      </c>
      <c r="F454" s="2">
        <f>SUM(contact[[#This Row],[?]:[x]])</f>
        <v>0</v>
      </c>
      <c r="G4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54" s="3" t="s">
        <v>2935</v>
      </c>
      <c r="K454" s="1" t="s">
        <v>1521</v>
      </c>
      <c r="L454" s="1" t="s">
        <v>2</v>
      </c>
      <c r="M454" s="1" t="s">
        <v>2</v>
      </c>
      <c r="O454" s="2"/>
      <c r="P454" s="2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 s="1" customFormat="1" ht="20.25" customHeight="1" x14ac:dyDescent="0.25">
      <c r="A455" s="2"/>
      <c r="B455" s="2"/>
      <c r="C455" s="2"/>
      <c r="D455" s="2">
        <f>COUNTIF(contact[[#This Row],[Bagossy]:[Szo
03:00 - 10:00]],"=~?")</f>
        <v>0</v>
      </c>
      <c r="E455" s="2">
        <f>COUNTIF(contact[[#This Row],[Bagossy]:[Szo
03:00 - 10:00]],"=x")</f>
        <v>0</v>
      </c>
      <c r="F455" s="2">
        <f>SUM(contact[[#This Row],[?]:[x]])</f>
        <v>0</v>
      </c>
      <c r="G4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55" s="3" t="s">
        <v>2423</v>
      </c>
      <c r="K455" s="1" t="s">
        <v>300</v>
      </c>
      <c r="L455" s="1" t="s">
        <v>2</v>
      </c>
      <c r="M455" s="1" t="s">
        <v>2</v>
      </c>
      <c r="O455" s="2"/>
      <c r="P455" s="2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 s="1" customFormat="1" ht="20.25" customHeight="1" x14ac:dyDescent="0.25">
      <c r="A456" s="2"/>
      <c r="B456" s="2"/>
      <c r="C456" s="2"/>
      <c r="D456" s="2">
        <f>COUNTIF(contact[[#This Row],[Bagossy]:[Szo
03:00 - 10:00]],"=~?")</f>
        <v>0</v>
      </c>
      <c r="E456" s="2">
        <f>COUNTIF(contact[[#This Row],[Bagossy]:[Szo
03:00 - 10:00]],"=x")</f>
        <v>0</v>
      </c>
      <c r="F456" s="2">
        <f>SUM(contact[[#This Row],[?]:[x]])</f>
        <v>0</v>
      </c>
      <c r="G4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56" s="3" t="s">
        <v>2924</v>
      </c>
      <c r="K456" s="1" t="s">
        <v>2</v>
      </c>
      <c r="L456" s="1" t="s">
        <v>2</v>
      </c>
      <c r="M456" s="1" t="s">
        <v>2</v>
      </c>
      <c r="O456" s="2"/>
      <c r="P456" s="2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 s="1" customFormat="1" ht="20.25" customHeight="1" x14ac:dyDescent="0.25">
      <c r="A457" s="2"/>
      <c r="B457" s="2"/>
      <c r="C457" s="2"/>
      <c r="D457" s="2">
        <f>COUNTIF(contact[[#This Row],[Bagossy]:[Szo
03:00 - 10:00]],"=~?")</f>
        <v>0</v>
      </c>
      <c r="E457" s="2">
        <f>COUNTIF(contact[[#This Row],[Bagossy]:[Szo
03:00 - 10:00]],"=x")</f>
        <v>0</v>
      </c>
      <c r="F457" s="2">
        <f>SUM(contact[[#This Row],[?]:[x]])</f>
        <v>0</v>
      </c>
      <c r="G4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57" s="2"/>
      <c r="I457" s="2"/>
      <c r="J457" s="3" t="s">
        <v>2318</v>
      </c>
      <c r="K457" s="1" t="s">
        <v>6</v>
      </c>
      <c r="L457" s="1" t="s">
        <v>2</v>
      </c>
      <c r="M457" s="1" t="s">
        <v>2</v>
      </c>
      <c r="O457" s="2"/>
      <c r="P457" s="2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 s="1" customFormat="1" ht="20.25" customHeight="1" x14ac:dyDescent="0.25">
      <c r="A458" s="2"/>
      <c r="B458" s="2"/>
      <c r="C458" s="2"/>
      <c r="D458" s="2">
        <f>COUNTIF(contact[[#This Row],[Bagossy]:[Szo
03:00 - 10:00]],"=~?")</f>
        <v>0</v>
      </c>
      <c r="E458" s="2">
        <f>COUNTIF(contact[[#This Row],[Bagossy]:[Szo
03:00 - 10:00]],"=x")</f>
        <v>0</v>
      </c>
      <c r="F458" s="2">
        <f>SUM(contact[[#This Row],[?]:[x]])</f>
        <v>0</v>
      </c>
      <c r="G4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58" s="3" t="s">
        <v>3788</v>
      </c>
      <c r="K458" s="1" t="s">
        <v>949</v>
      </c>
      <c r="L458" s="1" t="s">
        <v>2</v>
      </c>
      <c r="M458" s="1" t="s">
        <v>2</v>
      </c>
      <c r="O458" s="2"/>
      <c r="P458" s="2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 s="1" customFormat="1" ht="20.25" customHeight="1" x14ac:dyDescent="0.25">
      <c r="A459" s="2"/>
      <c r="B459" s="2"/>
      <c r="C459" s="2"/>
      <c r="D459" s="2">
        <f>COUNTIF(contact[[#This Row],[Bagossy]:[Szo
03:00 - 10:00]],"=~?")</f>
        <v>0</v>
      </c>
      <c r="E459" s="2">
        <f>COUNTIF(contact[[#This Row],[Bagossy]:[Szo
03:00 - 10:00]],"=x")</f>
        <v>0</v>
      </c>
      <c r="F459" s="2">
        <f>SUM(contact[[#This Row],[?]:[x]])</f>
        <v>0</v>
      </c>
      <c r="G4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59" s="2"/>
      <c r="I459" s="2"/>
      <c r="J459" s="3" t="s">
        <v>2319</v>
      </c>
      <c r="K459" s="1" t="s">
        <v>6</v>
      </c>
      <c r="L459" s="1" t="s">
        <v>2</v>
      </c>
      <c r="M459" s="1" t="s">
        <v>2</v>
      </c>
      <c r="O459" s="2"/>
      <c r="P459" s="2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 s="1" customFormat="1" ht="20.25" customHeight="1" x14ac:dyDescent="0.25">
      <c r="A460" s="2"/>
      <c r="B460" s="2"/>
      <c r="C460" s="2"/>
      <c r="D460" s="2">
        <f>COUNTIF(contact[[#This Row],[Bagossy]:[Szo
03:00 - 10:00]],"=~?")</f>
        <v>0</v>
      </c>
      <c r="E460" s="2">
        <f>COUNTIF(contact[[#This Row],[Bagossy]:[Szo
03:00 - 10:00]],"=x")</f>
        <v>0</v>
      </c>
      <c r="F460" s="2">
        <f>SUM(contact[[#This Row],[?]:[x]])</f>
        <v>0</v>
      </c>
      <c r="G4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0" s="3" t="s">
        <v>3591</v>
      </c>
      <c r="K460" s="1" t="s">
        <v>1678</v>
      </c>
      <c r="L460" s="1" t="s">
        <v>2</v>
      </c>
      <c r="M460" s="1" t="s">
        <v>2</v>
      </c>
      <c r="O460" s="2"/>
      <c r="P460" s="2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 s="1" customFormat="1" ht="20.25" customHeight="1" x14ac:dyDescent="0.25">
      <c r="A461" s="2"/>
      <c r="B461" s="2"/>
      <c r="C461" s="2"/>
      <c r="D461" s="2">
        <f>COUNTIF(contact[[#This Row],[Bagossy]:[Szo
03:00 - 10:00]],"=~?")</f>
        <v>0</v>
      </c>
      <c r="E461" s="2">
        <f>COUNTIF(contact[[#This Row],[Bagossy]:[Szo
03:00 - 10:00]],"=x")</f>
        <v>0</v>
      </c>
      <c r="F461" s="2">
        <f>SUM(contact[[#This Row],[?]:[x]])</f>
        <v>0</v>
      </c>
      <c r="G4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1" s="3" t="s">
        <v>2172</v>
      </c>
      <c r="K461" s="1" t="s">
        <v>152</v>
      </c>
      <c r="L461" s="1" t="s">
        <v>2</v>
      </c>
      <c r="M461" s="1" t="s">
        <v>2</v>
      </c>
      <c r="O461" s="2"/>
      <c r="P461" s="2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 s="1" customFormat="1" ht="20.25" customHeight="1" x14ac:dyDescent="0.25">
      <c r="A462" s="2"/>
      <c r="B462" s="2"/>
      <c r="C462" s="2"/>
      <c r="D462" s="2">
        <f>COUNTIF(contact[[#This Row],[Bagossy]:[Szo
03:00 - 10:00]],"=~?")</f>
        <v>0</v>
      </c>
      <c r="E462" s="2">
        <f>COUNTIF(contact[[#This Row],[Bagossy]:[Szo
03:00 - 10:00]],"=x")</f>
        <v>0</v>
      </c>
      <c r="F462" s="2">
        <f>SUM(contact[[#This Row],[?]:[x]])</f>
        <v>0</v>
      </c>
      <c r="G4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2" s="3" t="s">
        <v>2821</v>
      </c>
      <c r="K462" s="1" t="s">
        <v>2</v>
      </c>
      <c r="L462" s="1" t="s">
        <v>2</v>
      </c>
      <c r="M462" s="1" t="s">
        <v>2</v>
      </c>
      <c r="O462" s="2"/>
      <c r="P462" s="2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 s="1" customFormat="1" ht="20.25" customHeight="1" x14ac:dyDescent="0.25">
      <c r="A463" s="2"/>
      <c r="B463" s="2"/>
      <c r="C463" s="2"/>
      <c r="D463" s="2">
        <f>COUNTIF(contact[[#This Row],[Bagossy]:[Szo
03:00 - 10:00]],"=~?")</f>
        <v>0</v>
      </c>
      <c r="E463" s="2">
        <f>COUNTIF(contact[[#This Row],[Bagossy]:[Szo
03:00 - 10:00]],"=x")</f>
        <v>0</v>
      </c>
      <c r="F463" s="2">
        <f>SUM(contact[[#This Row],[?]:[x]])</f>
        <v>0</v>
      </c>
      <c r="G4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3" s="3" t="s">
        <v>4271</v>
      </c>
      <c r="K463" s="1" t="s">
        <v>2</v>
      </c>
      <c r="L463" s="1" t="s">
        <v>2</v>
      </c>
      <c r="M463" s="1" t="s">
        <v>2</v>
      </c>
      <c r="O463" s="2"/>
      <c r="P463" s="2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 s="1" customFormat="1" ht="20.25" customHeight="1" x14ac:dyDescent="0.25">
      <c r="A464" s="2"/>
      <c r="B464" s="2"/>
      <c r="C464" s="2"/>
      <c r="D464" s="2">
        <f>COUNTIF(contact[[#This Row],[Bagossy]:[Szo
03:00 - 10:00]],"=~?")</f>
        <v>0</v>
      </c>
      <c r="E464" s="2">
        <f>COUNTIF(contact[[#This Row],[Bagossy]:[Szo
03:00 - 10:00]],"=x")</f>
        <v>0</v>
      </c>
      <c r="F464" s="2">
        <f>SUM(contact[[#This Row],[?]:[x]])</f>
        <v>0</v>
      </c>
      <c r="G4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4" s="3" t="s">
        <v>2795</v>
      </c>
      <c r="K464" s="1" t="s">
        <v>2</v>
      </c>
      <c r="L464" s="1" t="s">
        <v>2</v>
      </c>
      <c r="M464" s="1" t="s">
        <v>2</v>
      </c>
      <c r="O464" s="2"/>
      <c r="P464" s="2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 s="1" customFormat="1" ht="20.25" customHeight="1" x14ac:dyDescent="0.25">
      <c r="A465" s="2"/>
      <c r="B465" s="2"/>
      <c r="C465" s="2"/>
      <c r="D465" s="2">
        <f>COUNTIF(contact[[#This Row],[Bagossy]:[Szo
03:00 - 10:00]],"=~?")</f>
        <v>0</v>
      </c>
      <c r="E465" s="2">
        <f>COUNTIF(contact[[#This Row],[Bagossy]:[Szo
03:00 - 10:00]],"=x")</f>
        <v>0</v>
      </c>
      <c r="F465" s="2">
        <f>SUM(contact[[#This Row],[?]:[x]])</f>
        <v>0</v>
      </c>
      <c r="G4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5" s="3" t="s">
        <v>4186</v>
      </c>
      <c r="K465" s="1" t="s">
        <v>1807</v>
      </c>
      <c r="L465" s="1" t="s">
        <v>2</v>
      </c>
      <c r="M465" s="1" t="s">
        <v>2</v>
      </c>
      <c r="O465" s="2"/>
      <c r="P465" s="2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 s="1" customFormat="1" ht="20.25" customHeight="1" x14ac:dyDescent="0.25">
      <c r="A466" s="2"/>
      <c r="B466" s="2"/>
      <c r="C466" s="2"/>
      <c r="D466" s="2">
        <f>COUNTIF(contact[[#This Row],[Bagossy]:[Szo
03:00 - 10:00]],"=~?")</f>
        <v>0</v>
      </c>
      <c r="E466" s="2">
        <f>COUNTIF(contact[[#This Row],[Bagossy]:[Szo
03:00 - 10:00]],"=x")</f>
        <v>0</v>
      </c>
      <c r="F466" s="2">
        <f>SUM(contact[[#This Row],[?]:[x]])</f>
        <v>0</v>
      </c>
      <c r="G4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6" s="3" t="s">
        <v>2128</v>
      </c>
      <c r="K466" s="1" t="s">
        <v>126</v>
      </c>
      <c r="L466" s="1" t="s">
        <v>2</v>
      </c>
      <c r="M466" s="1" t="s">
        <v>2</v>
      </c>
      <c r="O466" s="2"/>
      <c r="P466" s="2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 s="1" customFormat="1" ht="20.25" customHeight="1" x14ac:dyDescent="0.25">
      <c r="A467" s="2"/>
      <c r="B467" s="2"/>
      <c r="C467" s="2"/>
      <c r="D467" s="2">
        <f>COUNTIF(contact[[#This Row],[Bagossy]:[Szo
03:00 - 10:00]],"=~?")</f>
        <v>0</v>
      </c>
      <c r="E467" s="2">
        <f>COUNTIF(contact[[#This Row],[Bagossy]:[Szo
03:00 - 10:00]],"=x")</f>
        <v>0</v>
      </c>
      <c r="F467" s="2">
        <f>SUM(contact[[#This Row],[?]:[x]])</f>
        <v>0</v>
      </c>
      <c r="G4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7" s="3" t="s">
        <v>293</v>
      </c>
      <c r="K467" s="1" t="s">
        <v>294</v>
      </c>
      <c r="L467" s="1" t="s">
        <v>2</v>
      </c>
      <c r="M467" s="1" t="s">
        <v>2</v>
      </c>
      <c r="O467" s="2"/>
      <c r="P467" s="2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 s="1" customFormat="1" ht="20.25" customHeight="1" x14ac:dyDescent="0.25">
      <c r="A468" s="2"/>
      <c r="B468" s="2"/>
      <c r="C468" s="2"/>
      <c r="D468" s="2">
        <f>COUNTIF(contact[[#This Row],[Bagossy]:[Szo
03:00 - 10:00]],"=~?")</f>
        <v>0</v>
      </c>
      <c r="E468" s="2">
        <f>COUNTIF(contact[[#This Row],[Bagossy]:[Szo
03:00 - 10:00]],"=x")</f>
        <v>0</v>
      </c>
      <c r="F468" s="2">
        <f>SUM(contact[[#This Row],[?]:[x]])</f>
        <v>0</v>
      </c>
      <c r="G4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68" s="3" t="s">
        <v>4361</v>
      </c>
      <c r="K468" s="1" t="s">
        <v>1211</v>
      </c>
      <c r="L468" s="1" t="s">
        <v>2</v>
      </c>
      <c r="M468" s="1" t="s">
        <v>2</v>
      </c>
      <c r="O468" s="2"/>
      <c r="P468" s="2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 s="1" customFormat="1" ht="20.25" customHeight="1" x14ac:dyDescent="0.25">
      <c r="A469" s="2"/>
      <c r="B469" s="2"/>
      <c r="C469" s="2"/>
      <c r="D469" s="2">
        <f>COUNTIF(contact[[#This Row],[Bagossy]:[Szo
03:00 - 10:00]],"=~?")</f>
        <v>0</v>
      </c>
      <c r="E469" s="2">
        <f>COUNTIF(contact[[#This Row],[Bagossy]:[Szo
03:00 - 10:00]],"=x")</f>
        <v>0</v>
      </c>
      <c r="F469" s="2">
        <f>SUM(contact[[#This Row],[?]:[x]])</f>
        <v>0</v>
      </c>
      <c r="G4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69" s="2"/>
      <c r="I469" s="2"/>
      <c r="J469" s="3" t="s">
        <v>2320</v>
      </c>
      <c r="K469" s="1" t="s">
        <v>6</v>
      </c>
      <c r="L469" s="1" t="s">
        <v>2</v>
      </c>
      <c r="M469" s="1" t="s">
        <v>2</v>
      </c>
      <c r="O469" s="2"/>
      <c r="P469" s="2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 s="1" customFormat="1" ht="20.25" customHeight="1" x14ac:dyDescent="0.25">
      <c r="A470" s="2"/>
      <c r="B470" s="2"/>
      <c r="C470" s="2"/>
      <c r="D470" s="2">
        <f>COUNTIF(contact[[#This Row],[Bagossy]:[Szo
03:00 - 10:00]],"=~?")</f>
        <v>0</v>
      </c>
      <c r="E470" s="2">
        <f>COUNTIF(contact[[#This Row],[Bagossy]:[Szo
03:00 - 10:00]],"=x")</f>
        <v>0</v>
      </c>
      <c r="F470" s="2">
        <f>SUM(contact[[#This Row],[?]:[x]])</f>
        <v>0</v>
      </c>
      <c r="G4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70" s="2"/>
      <c r="I470" s="2"/>
      <c r="J470" s="3" t="s">
        <v>2330</v>
      </c>
      <c r="K470" s="1" t="s">
        <v>6</v>
      </c>
      <c r="L470" s="1" t="s">
        <v>2</v>
      </c>
      <c r="M470" s="1" t="s">
        <v>2</v>
      </c>
      <c r="O470" s="2"/>
      <c r="P470" s="2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 s="1" customFormat="1" ht="20.25" customHeight="1" x14ac:dyDescent="0.25">
      <c r="A471" s="2"/>
      <c r="B471" s="2"/>
      <c r="C471" s="2"/>
      <c r="D471" s="2">
        <f>COUNTIF(contact[[#This Row],[Bagossy]:[Szo
03:00 - 10:00]],"=~?")</f>
        <v>0</v>
      </c>
      <c r="E471" s="2">
        <f>COUNTIF(contact[[#This Row],[Bagossy]:[Szo
03:00 - 10:00]],"=x")</f>
        <v>0</v>
      </c>
      <c r="F471" s="2">
        <f>SUM(contact[[#This Row],[?]:[x]])</f>
        <v>0</v>
      </c>
      <c r="G4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1" s="3" t="s">
        <v>2163</v>
      </c>
      <c r="K471" s="1" t="s">
        <v>147</v>
      </c>
      <c r="L471" s="1" t="s">
        <v>2</v>
      </c>
      <c r="M471" s="1" t="s">
        <v>2</v>
      </c>
      <c r="O471" s="2"/>
      <c r="P471" s="2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 s="1" customFormat="1" ht="20.25" customHeight="1" x14ac:dyDescent="0.25">
      <c r="A472" s="2"/>
      <c r="B472" s="2"/>
      <c r="C472" s="2"/>
      <c r="D472" s="2">
        <f>COUNTIF(contact[[#This Row],[Bagossy]:[Szo
03:00 - 10:00]],"=~?")</f>
        <v>0</v>
      </c>
      <c r="E472" s="2">
        <f>COUNTIF(contact[[#This Row],[Bagossy]:[Szo
03:00 - 10:00]],"=x")</f>
        <v>0</v>
      </c>
      <c r="F472" s="2">
        <f>SUM(contact[[#This Row],[?]:[x]])</f>
        <v>0</v>
      </c>
      <c r="G4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2" s="3" t="s">
        <v>295</v>
      </c>
      <c r="K472" s="1" t="s">
        <v>2</v>
      </c>
      <c r="L472" s="1" t="s">
        <v>2</v>
      </c>
      <c r="M472" s="1" t="s">
        <v>2</v>
      </c>
      <c r="O472" s="2"/>
      <c r="P472" s="2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 s="1" customFormat="1" ht="20.25" customHeight="1" x14ac:dyDescent="0.25">
      <c r="A473" s="2"/>
      <c r="B473" s="2"/>
      <c r="C473" s="2"/>
      <c r="D473" s="2">
        <f>COUNTIF(contact[[#This Row],[Bagossy]:[Szo
03:00 - 10:00]],"=~?")</f>
        <v>0</v>
      </c>
      <c r="E473" s="2">
        <f>COUNTIF(contact[[#This Row],[Bagossy]:[Szo
03:00 - 10:00]],"=x")</f>
        <v>0</v>
      </c>
      <c r="F473" s="2">
        <f>SUM(contact[[#This Row],[?]:[x]])</f>
        <v>0</v>
      </c>
      <c r="G4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3" s="3" t="s">
        <v>3948</v>
      </c>
      <c r="K473" s="1" t="s">
        <v>2</v>
      </c>
      <c r="L473" s="1" t="s">
        <v>2</v>
      </c>
      <c r="M473" s="1" t="s">
        <v>2</v>
      </c>
      <c r="O473" s="2"/>
      <c r="P473" s="2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 s="1" customFormat="1" ht="20.25" customHeight="1" x14ac:dyDescent="0.25">
      <c r="A474" s="2"/>
      <c r="B474" s="2"/>
      <c r="C474" s="2"/>
      <c r="D474" s="2">
        <f>COUNTIF(contact[[#This Row],[Bagossy]:[Szo
03:00 - 10:00]],"=~?")</f>
        <v>0</v>
      </c>
      <c r="E474" s="2">
        <f>COUNTIF(contact[[#This Row],[Bagossy]:[Szo
03:00 - 10:00]],"=x")</f>
        <v>0</v>
      </c>
      <c r="F474" s="2">
        <f>SUM(contact[[#This Row],[?]:[x]])</f>
        <v>0</v>
      </c>
      <c r="G4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4" s="3" t="s">
        <v>3742</v>
      </c>
      <c r="K474" s="1" t="s">
        <v>2</v>
      </c>
      <c r="L474" s="1" t="s">
        <v>2</v>
      </c>
      <c r="M474" s="1" t="s">
        <v>2</v>
      </c>
      <c r="O474" s="2"/>
      <c r="P474" s="2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 s="1" customFormat="1" ht="20.25" customHeight="1" x14ac:dyDescent="0.25">
      <c r="A475" s="2"/>
      <c r="B475" s="2"/>
      <c r="C475" s="2"/>
      <c r="D475" s="2">
        <f>COUNTIF(contact[[#This Row],[Bagossy]:[Szo
03:00 - 10:00]],"=~?")</f>
        <v>0</v>
      </c>
      <c r="E475" s="2">
        <f>COUNTIF(contact[[#This Row],[Bagossy]:[Szo
03:00 - 10:00]],"=x")</f>
        <v>0</v>
      </c>
      <c r="F475" s="2">
        <f>SUM(contact[[#This Row],[?]:[x]])</f>
        <v>0</v>
      </c>
      <c r="G4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5" s="3" t="s">
        <v>297</v>
      </c>
      <c r="K475" s="1" t="s">
        <v>2</v>
      </c>
      <c r="L475" s="1" t="s">
        <v>2</v>
      </c>
      <c r="M475" s="1" t="s">
        <v>2</v>
      </c>
      <c r="O475" s="2"/>
      <c r="P475" s="2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 s="1" customFormat="1" ht="20.25" customHeight="1" x14ac:dyDescent="0.25">
      <c r="A476" s="2"/>
      <c r="B476" s="2"/>
      <c r="C476" s="2"/>
      <c r="D476" s="2">
        <f>COUNTIF(contact[[#This Row],[Bagossy]:[Szo
03:00 - 10:00]],"=~?")</f>
        <v>0</v>
      </c>
      <c r="E476" s="2">
        <f>COUNTIF(contact[[#This Row],[Bagossy]:[Szo
03:00 - 10:00]],"=x")</f>
        <v>0</v>
      </c>
      <c r="F476" s="2">
        <f>SUM(contact[[#This Row],[?]:[x]])</f>
        <v>0</v>
      </c>
      <c r="G4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6" s="3" t="s">
        <v>3292</v>
      </c>
      <c r="K476" s="1" t="s">
        <v>2</v>
      </c>
      <c r="L476" s="1" t="s">
        <v>2</v>
      </c>
      <c r="M476" s="1" t="s">
        <v>2</v>
      </c>
      <c r="O476" s="2"/>
      <c r="P476" s="2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 s="1" customFormat="1" ht="20.25" customHeight="1" x14ac:dyDescent="0.25">
      <c r="A477" s="2"/>
      <c r="B477" s="2"/>
      <c r="C477" s="2"/>
      <c r="D477" s="2">
        <f>COUNTIF(contact[[#This Row],[Bagossy]:[Szo
03:00 - 10:00]],"=~?")</f>
        <v>0</v>
      </c>
      <c r="E477" s="2">
        <f>COUNTIF(contact[[#This Row],[Bagossy]:[Szo
03:00 - 10:00]],"=x")</f>
        <v>0</v>
      </c>
      <c r="F477" s="2">
        <f>SUM(contact[[#This Row],[?]:[x]])</f>
        <v>0</v>
      </c>
      <c r="G4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7" s="3" t="s">
        <v>298</v>
      </c>
      <c r="K477" s="1" t="s">
        <v>2</v>
      </c>
      <c r="L477" s="1" t="s">
        <v>2</v>
      </c>
      <c r="M477" s="1" t="s">
        <v>2</v>
      </c>
      <c r="O477" s="2"/>
      <c r="P477" s="2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 s="1" customFormat="1" ht="20.25" customHeight="1" x14ac:dyDescent="0.25">
      <c r="A478" s="2"/>
      <c r="B478" s="2"/>
      <c r="C478" s="2"/>
      <c r="D478" s="2">
        <f>COUNTIF(contact[[#This Row],[Bagossy]:[Szo
03:00 - 10:00]],"=~?")</f>
        <v>0</v>
      </c>
      <c r="E478" s="2">
        <f>COUNTIF(contact[[#This Row],[Bagossy]:[Szo
03:00 - 10:00]],"=x")</f>
        <v>0</v>
      </c>
      <c r="F478" s="2">
        <f>SUM(contact[[#This Row],[?]:[x]])</f>
        <v>0</v>
      </c>
      <c r="G4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8" s="3" t="s">
        <v>299</v>
      </c>
      <c r="K478" s="1" t="s">
        <v>2</v>
      </c>
      <c r="L478" s="1" t="s">
        <v>2</v>
      </c>
      <c r="M478" s="1" t="s">
        <v>2</v>
      </c>
      <c r="O478" s="2"/>
      <c r="P478" s="2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 s="1" customFormat="1" ht="20.25" customHeight="1" x14ac:dyDescent="0.25">
      <c r="A479" s="2"/>
      <c r="B479" s="2"/>
      <c r="C479" s="2"/>
      <c r="D479" s="2">
        <f>COUNTIF(contact[[#This Row],[Bagossy]:[Szo
03:00 - 10:00]],"=~?")</f>
        <v>0</v>
      </c>
      <c r="E479" s="2">
        <f>COUNTIF(contact[[#This Row],[Bagossy]:[Szo
03:00 - 10:00]],"=x")</f>
        <v>0</v>
      </c>
      <c r="F479" s="2">
        <f>SUM(contact[[#This Row],[?]:[x]])</f>
        <v>0</v>
      </c>
      <c r="G4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79" s="3" t="s">
        <v>2800</v>
      </c>
      <c r="K479" s="1" t="s">
        <v>502</v>
      </c>
      <c r="L479" s="1" t="s">
        <v>2</v>
      </c>
      <c r="M479" s="1" t="s">
        <v>2</v>
      </c>
      <c r="O479" s="2"/>
      <c r="P479" s="2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 s="1" customFormat="1" ht="20.25" customHeight="1" x14ac:dyDescent="0.25">
      <c r="A480" s="2"/>
      <c r="B480" s="2"/>
      <c r="C480" s="2"/>
      <c r="D480" s="2">
        <f>COUNTIF(contact[[#This Row],[Bagossy]:[Szo
03:00 - 10:00]],"=~?")</f>
        <v>0</v>
      </c>
      <c r="E480" s="2">
        <f>COUNTIF(contact[[#This Row],[Bagossy]:[Szo
03:00 - 10:00]],"=x")</f>
        <v>0</v>
      </c>
      <c r="F480" s="2">
        <f>SUM(contact[[#This Row],[?]:[x]])</f>
        <v>0</v>
      </c>
      <c r="G4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0" s="3" t="s">
        <v>2404</v>
      </c>
      <c r="K480" s="1" t="s">
        <v>2</v>
      </c>
      <c r="L480" s="1" t="s">
        <v>2</v>
      </c>
      <c r="M480" s="1" t="s">
        <v>2</v>
      </c>
      <c r="O480" s="2"/>
      <c r="P480" s="2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 s="1" customFormat="1" ht="20.25" customHeight="1" x14ac:dyDescent="0.25">
      <c r="A481" s="2"/>
      <c r="B481" s="2"/>
      <c r="C481" s="2"/>
      <c r="D481" s="2">
        <f>COUNTIF(contact[[#This Row],[Bagossy]:[Szo
03:00 - 10:00]],"=~?")</f>
        <v>0</v>
      </c>
      <c r="E481" s="2">
        <f>COUNTIF(contact[[#This Row],[Bagossy]:[Szo
03:00 - 10:00]],"=x")</f>
        <v>0</v>
      </c>
      <c r="F481" s="2">
        <f>SUM(contact[[#This Row],[?]:[x]])</f>
        <v>0</v>
      </c>
      <c r="G4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1" s="3" t="s">
        <v>2428</v>
      </c>
      <c r="K481" s="1" t="s">
        <v>2</v>
      </c>
      <c r="L481" s="1" t="s">
        <v>2</v>
      </c>
      <c r="M481" s="1" t="s">
        <v>2</v>
      </c>
      <c r="O481" s="2"/>
      <c r="P481" s="2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 s="1" customFormat="1" ht="20.25" customHeight="1" x14ac:dyDescent="0.25">
      <c r="A482" s="2"/>
      <c r="B482" s="2"/>
      <c r="C482" s="2"/>
      <c r="D482" s="2">
        <f>COUNTIF(contact[[#This Row],[Bagossy]:[Szo
03:00 - 10:00]],"=~?")</f>
        <v>0</v>
      </c>
      <c r="E482" s="2">
        <f>COUNTIF(contact[[#This Row],[Bagossy]:[Szo
03:00 - 10:00]],"=x")</f>
        <v>0</v>
      </c>
      <c r="F482" s="2">
        <f>SUM(contact[[#This Row],[?]:[x]])</f>
        <v>0</v>
      </c>
      <c r="G4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2" s="3" t="s">
        <v>2570</v>
      </c>
      <c r="K482" s="1" t="s">
        <v>383</v>
      </c>
      <c r="L482" s="1" t="s">
        <v>2</v>
      </c>
      <c r="M482" s="1" t="s">
        <v>2</v>
      </c>
      <c r="O482" s="2"/>
      <c r="P482" s="2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 s="1" customFormat="1" ht="20.25" customHeight="1" x14ac:dyDescent="0.25">
      <c r="A483" s="2"/>
      <c r="B483" s="2"/>
      <c r="C483" s="2"/>
      <c r="D483" s="2">
        <f>COUNTIF(contact[[#This Row],[Bagossy]:[Szo
03:00 - 10:00]],"=~?")</f>
        <v>0</v>
      </c>
      <c r="E483" s="2">
        <f>COUNTIF(contact[[#This Row],[Bagossy]:[Szo
03:00 - 10:00]],"=x")</f>
        <v>0</v>
      </c>
      <c r="F483" s="2">
        <f>SUM(contact[[#This Row],[?]:[x]])</f>
        <v>0</v>
      </c>
      <c r="G4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3" s="3" t="s">
        <v>2397</v>
      </c>
      <c r="K483" s="1" t="s">
        <v>2</v>
      </c>
      <c r="L483" s="1" t="s">
        <v>2</v>
      </c>
      <c r="M483" s="1" t="s">
        <v>2</v>
      </c>
      <c r="O483" s="2"/>
      <c r="P483" s="2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 s="1" customFormat="1" ht="20.25" customHeight="1" x14ac:dyDescent="0.25">
      <c r="A484" s="2"/>
      <c r="B484" s="2"/>
      <c r="C484" s="2"/>
      <c r="D484" s="2">
        <f>COUNTIF(contact[[#This Row],[Bagossy]:[Szo
03:00 - 10:00]],"=~?")</f>
        <v>0</v>
      </c>
      <c r="E484" s="2">
        <f>COUNTIF(contact[[#This Row],[Bagossy]:[Szo
03:00 - 10:00]],"=x")</f>
        <v>0</v>
      </c>
      <c r="F484" s="2">
        <f>SUM(contact[[#This Row],[?]:[x]])</f>
        <v>0</v>
      </c>
      <c r="G4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4" s="3" t="s">
        <v>3703</v>
      </c>
      <c r="K484" s="1" t="s">
        <v>1702</v>
      </c>
      <c r="L484" s="1" t="s">
        <v>2</v>
      </c>
      <c r="M484" s="1" t="s">
        <v>2</v>
      </c>
      <c r="O484" s="2"/>
      <c r="P484" s="2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 s="1" customFormat="1" ht="20.25" customHeight="1" x14ac:dyDescent="0.25">
      <c r="A485" s="2"/>
      <c r="B485" s="2"/>
      <c r="C485" s="2"/>
      <c r="D485" s="2">
        <f>COUNTIF(contact[[#This Row],[Bagossy]:[Szo
03:00 - 10:00]],"=~?")</f>
        <v>0</v>
      </c>
      <c r="E485" s="2">
        <f>COUNTIF(contact[[#This Row],[Bagossy]:[Szo
03:00 - 10:00]],"=x")</f>
        <v>0</v>
      </c>
      <c r="F485" s="2">
        <f>SUM(contact[[#This Row],[?]:[x]])</f>
        <v>0</v>
      </c>
      <c r="G4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5" s="3" t="s">
        <v>4334</v>
      </c>
      <c r="K485" s="1" t="s">
        <v>1202</v>
      </c>
      <c r="L485" s="1" t="s">
        <v>2</v>
      </c>
      <c r="M485" s="1" t="s">
        <v>2</v>
      </c>
      <c r="O485" s="2"/>
      <c r="P485" s="2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 s="1" customFormat="1" ht="20.25" customHeight="1" x14ac:dyDescent="0.25">
      <c r="A486" s="2"/>
      <c r="B486" s="2"/>
      <c r="C486" s="2"/>
      <c r="D486" s="2">
        <f>COUNTIF(contact[[#This Row],[Bagossy]:[Szo
03:00 - 10:00]],"=~?")</f>
        <v>0</v>
      </c>
      <c r="E486" s="2">
        <f>COUNTIF(contact[[#This Row],[Bagossy]:[Szo
03:00 - 10:00]],"=x")</f>
        <v>0</v>
      </c>
      <c r="F486" s="2">
        <f>SUM(contact[[#This Row],[?]:[x]])</f>
        <v>0</v>
      </c>
      <c r="G4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6" s="3" t="s">
        <v>324</v>
      </c>
      <c r="K486" s="1" t="s">
        <v>2</v>
      </c>
      <c r="L486" s="1" t="s">
        <v>2</v>
      </c>
      <c r="M486" s="1" t="s">
        <v>2</v>
      </c>
      <c r="O486" s="2"/>
      <c r="P486" s="2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 s="1" customFormat="1" ht="20.25" customHeight="1" x14ac:dyDescent="0.25">
      <c r="A487" s="2"/>
      <c r="B487" s="2"/>
      <c r="C487" s="2"/>
      <c r="D487" s="2">
        <f>COUNTIF(contact[[#This Row],[Bagossy]:[Szo
03:00 - 10:00]],"=~?")</f>
        <v>0</v>
      </c>
      <c r="E487" s="2">
        <f>COUNTIF(contact[[#This Row],[Bagossy]:[Szo
03:00 - 10:00]],"=x")</f>
        <v>0</v>
      </c>
      <c r="F487" s="2">
        <f>SUM(contact[[#This Row],[?]:[x]])</f>
        <v>0</v>
      </c>
      <c r="G4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7" s="3" t="s">
        <v>2144</v>
      </c>
      <c r="K487" s="1" t="s">
        <v>2</v>
      </c>
      <c r="L487" s="1" t="s">
        <v>2</v>
      </c>
      <c r="M487" s="1" t="s">
        <v>2</v>
      </c>
      <c r="O487" s="2"/>
      <c r="P487" s="2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 s="1" customFormat="1" ht="20.25" customHeight="1" x14ac:dyDescent="0.25">
      <c r="A488" s="2"/>
      <c r="B488" s="2"/>
      <c r="C488" s="2"/>
      <c r="D488" s="2">
        <f>COUNTIF(contact[[#This Row],[Bagossy]:[Szo
03:00 - 10:00]],"=~?")</f>
        <v>0</v>
      </c>
      <c r="E488" s="2">
        <f>COUNTIF(contact[[#This Row],[Bagossy]:[Szo
03:00 - 10:00]],"=x")</f>
        <v>0</v>
      </c>
      <c r="F488" s="2">
        <f>SUM(contact[[#This Row],[?]:[x]])</f>
        <v>0</v>
      </c>
      <c r="G4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8" s="3" t="s">
        <v>3297</v>
      </c>
      <c r="K488" s="1" t="s">
        <v>2</v>
      </c>
      <c r="L488" s="1" t="s">
        <v>2</v>
      </c>
      <c r="M488" s="1" t="s">
        <v>2</v>
      </c>
      <c r="O488" s="2"/>
      <c r="P488" s="2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 s="1" customFormat="1" ht="20.25" customHeight="1" x14ac:dyDescent="0.25">
      <c r="A489" s="2"/>
      <c r="B489" s="2"/>
      <c r="C489" s="2"/>
      <c r="D489" s="2">
        <f>COUNTIF(contact[[#This Row],[Bagossy]:[Szo
03:00 - 10:00]],"=~?")</f>
        <v>0</v>
      </c>
      <c r="E489" s="2">
        <f>COUNTIF(contact[[#This Row],[Bagossy]:[Szo
03:00 - 10:00]],"=x")</f>
        <v>0</v>
      </c>
      <c r="F489" s="2">
        <f>SUM(contact[[#This Row],[?]:[x]])</f>
        <v>0</v>
      </c>
      <c r="G4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89" s="3" t="s">
        <v>4108</v>
      </c>
      <c r="K489" s="1" t="s">
        <v>1103</v>
      </c>
      <c r="L489" s="1" t="s">
        <v>2</v>
      </c>
      <c r="M489" s="1" t="s">
        <v>2</v>
      </c>
      <c r="O489" s="2"/>
      <c r="P489" s="2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 s="1" customFormat="1" ht="20.25" customHeight="1" x14ac:dyDescent="0.25">
      <c r="A490" s="2"/>
      <c r="B490" s="2"/>
      <c r="C490" s="2"/>
      <c r="D490" s="2">
        <f>COUNTIF(contact[[#This Row],[Bagossy]:[Szo
03:00 - 10:00]],"=~?")</f>
        <v>0</v>
      </c>
      <c r="E490" s="2">
        <f>COUNTIF(contact[[#This Row],[Bagossy]:[Szo
03:00 - 10:00]],"=x")</f>
        <v>0</v>
      </c>
      <c r="F490" s="2">
        <f>SUM(contact[[#This Row],[?]:[x]])</f>
        <v>0</v>
      </c>
      <c r="G4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90" s="3" t="s">
        <v>2592</v>
      </c>
      <c r="K490" s="1" t="s">
        <v>1450</v>
      </c>
      <c r="L490" s="1" t="s">
        <v>2</v>
      </c>
      <c r="M490" s="1" t="s">
        <v>2</v>
      </c>
      <c r="O490" s="2"/>
      <c r="P490" s="2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1:32" s="1" customFormat="1" ht="20.25" customHeight="1" x14ac:dyDescent="0.25">
      <c r="A491" s="2"/>
      <c r="B491" s="2"/>
      <c r="C491" s="2"/>
      <c r="D491" s="2">
        <f>COUNTIF(contact[[#This Row],[Bagossy]:[Szo
03:00 - 10:00]],"=~?")</f>
        <v>0</v>
      </c>
      <c r="E491" s="2">
        <f>COUNTIF(contact[[#This Row],[Bagossy]:[Szo
03:00 - 10:00]],"=x")</f>
        <v>0</v>
      </c>
      <c r="F491" s="2">
        <f>SUM(contact[[#This Row],[?]:[x]])</f>
        <v>0</v>
      </c>
      <c r="G4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91" s="3" t="s">
        <v>3440</v>
      </c>
      <c r="K491" s="1" t="s">
        <v>796</v>
      </c>
      <c r="L491" s="1" t="s">
        <v>2</v>
      </c>
      <c r="M491" s="1" t="s">
        <v>2</v>
      </c>
      <c r="O491" s="2"/>
      <c r="P491" s="2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1:32" s="1" customFormat="1" ht="20.25" customHeight="1" x14ac:dyDescent="0.25">
      <c r="A492" s="2"/>
      <c r="B492" s="2"/>
      <c r="C492" s="2"/>
      <c r="D492" s="2">
        <f>COUNTIF(contact[[#This Row],[Bagossy]:[Szo
03:00 - 10:00]],"=~?")</f>
        <v>0</v>
      </c>
      <c r="E492" s="2">
        <f>COUNTIF(contact[[#This Row],[Bagossy]:[Szo
03:00 - 10:00]],"=x")</f>
        <v>0</v>
      </c>
      <c r="F492" s="2">
        <f>SUM(contact[[#This Row],[?]:[x]])</f>
        <v>0</v>
      </c>
      <c r="G4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92" s="3" t="s">
        <v>3440</v>
      </c>
      <c r="K492" s="1" t="s">
        <v>797</v>
      </c>
      <c r="L492" s="1" t="s">
        <v>2</v>
      </c>
      <c r="M492" s="1" t="s">
        <v>2</v>
      </c>
      <c r="O492" s="2"/>
      <c r="P492" s="2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1:32" s="1" customFormat="1" ht="20.25" customHeight="1" x14ac:dyDescent="0.25">
      <c r="A493" s="2"/>
      <c r="B493" s="2"/>
      <c r="C493" s="2"/>
      <c r="D493" s="2">
        <f>COUNTIF(contact[[#This Row],[Bagossy]:[Szo
03:00 - 10:00]],"=~?")</f>
        <v>0</v>
      </c>
      <c r="E493" s="2">
        <f>COUNTIF(contact[[#This Row],[Bagossy]:[Szo
03:00 - 10:00]],"=x")</f>
        <v>0</v>
      </c>
      <c r="F493" s="2">
        <f>SUM(contact[[#This Row],[?]:[x]])</f>
        <v>0</v>
      </c>
      <c r="G4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93" s="3" t="s">
        <v>2690</v>
      </c>
      <c r="K493" s="1" t="s">
        <v>1472</v>
      </c>
      <c r="L493" s="1" t="s">
        <v>2</v>
      </c>
      <c r="M493" s="1" t="s">
        <v>2</v>
      </c>
      <c r="O493" s="2"/>
      <c r="P493" s="2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1:32" s="1" customFormat="1" ht="20.25" customHeight="1" x14ac:dyDescent="0.25">
      <c r="A494" s="2"/>
      <c r="B494" s="2"/>
      <c r="C494" s="2"/>
      <c r="D494" s="2">
        <f>COUNTIF(contact[[#This Row],[Bagossy]:[Szo
03:00 - 10:00]],"=~?")</f>
        <v>0</v>
      </c>
      <c r="E494" s="2">
        <f>COUNTIF(contact[[#This Row],[Bagossy]:[Szo
03:00 - 10:00]],"=x")</f>
        <v>0</v>
      </c>
      <c r="F494" s="2">
        <f>SUM(contact[[#This Row],[?]:[x]])</f>
        <v>0</v>
      </c>
      <c r="G4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94" s="2"/>
      <c r="I494" s="2"/>
      <c r="J494" s="3" t="s">
        <v>2331</v>
      </c>
      <c r="K494" s="1" t="s">
        <v>863</v>
      </c>
      <c r="L494" s="1" t="s">
        <v>2</v>
      </c>
      <c r="M494" s="1" t="s">
        <v>2</v>
      </c>
      <c r="O494" s="2"/>
      <c r="P494" s="2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1:32" s="1" customFormat="1" ht="20.25" customHeight="1" x14ac:dyDescent="0.25">
      <c r="A495" s="2"/>
      <c r="B495" s="2"/>
      <c r="C495" s="2"/>
      <c r="D495" s="2">
        <f>COUNTIF(contact[[#This Row],[Bagossy]:[Szo
03:00 - 10:00]],"=~?")</f>
        <v>0</v>
      </c>
      <c r="E495" s="2">
        <f>COUNTIF(contact[[#This Row],[Bagossy]:[Szo
03:00 - 10:00]],"=x")</f>
        <v>0</v>
      </c>
      <c r="F495" s="2">
        <f>SUM(contact[[#This Row],[?]:[x]])</f>
        <v>0</v>
      </c>
      <c r="G4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95" s="3" t="s">
        <v>3707</v>
      </c>
      <c r="K495" s="1" t="s">
        <v>907</v>
      </c>
      <c r="L495" s="1" t="s">
        <v>2</v>
      </c>
      <c r="M495" s="1" t="s">
        <v>2</v>
      </c>
      <c r="O495" s="2"/>
      <c r="P495" s="2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1:32" s="1" customFormat="1" ht="20.25" customHeight="1" x14ac:dyDescent="0.25">
      <c r="A496" s="2"/>
      <c r="B496" s="2"/>
      <c r="C496" s="2"/>
      <c r="D496" s="2">
        <f>COUNTIF(contact[[#This Row],[Bagossy]:[Szo
03:00 - 10:00]],"=~?")</f>
        <v>0</v>
      </c>
      <c r="E496" s="2">
        <f>COUNTIF(contact[[#This Row],[Bagossy]:[Szo
03:00 - 10:00]],"=x")</f>
        <v>0</v>
      </c>
      <c r="F496" s="2">
        <f>SUM(contact[[#This Row],[?]:[x]])</f>
        <v>0</v>
      </c>
      <c r="G4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96" s="3" t="s">
        <v>3702</v>
      </c>
      <c r="K496" s="1" t="s">
        <v>2</v>
      </c>
      <c r="L496" s="1" t="s">
        <v>2</v>
      </c>
      <c r="M496" s="1" t="s">
        <v>2</v>
      </c>
      <c r="O496" s="2"/>
      <c r="P496" s="2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1:32" s="1" customFormat="1" ht="20.25" customHeight="1" x14ac:dyDescent="0.25">
      <c r="A497" s="2"/>
      <c r="B497" s="2"/>
      <c r="C497" s="2"/>
      <c r="D497" s="2">
        <f>COUNTIF(contact[[#This Row],[Bagossy]:[Szo
03:00 - 10:00]],"=~?")</f>
        <v>0</v>
      </c>
      <c r="E497" s="2">
        <f>COUNTIF(contact[[#This Row],[Bagossy]:[Szo
03:00 - 10:00]],"=x")</f>
        <v>0</v>
      </c>
      <c r="F497" s="2">
        <f>SUM(contact[[#This Row],[?]:[x]])</f>
        <v>0</v>
      </c>
      <c r="G4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97" s="2"/>
      <c r="I497" s="2"/>
      <c r="J497" s="3" t="s">
        <v>2337</v>
      </c>
      <c r="K497" s="1" t="s">
        <v>1393</v>
      </c>
      <c r="L497" s="1" t="s">
        <v>2</v>
      </c>
      <c r="M497" s="1" t="s">
        <v>2</v>
      </c>
      <c r="O497" s="2"/>
      <c r="P497" s="2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1:32" s="1" customFormat="1" ht="20.25" customHeight="1" x14ac:dyDescent="0.25">
      <c r="A498" s="2"/>
      <c r="B498" s="2"/>
      <c r="C498" s="2"/>
      <c r="D498" s="2">
        <f>COUNTIF(contact[[#This Row],[Bagossy]:[Szo
03:00 - 10:00]],"=~?")</f>
        <v>0</v>
      </c>
      <c r="E498" s="2">
        <f>COUNTIF(contact[[#This Row],[Bagossy]:[Szo
03:00 - 10:00]],"=x")</f>
        <v>0</v>
      </c>
      <c r="F498" s="2">
        <f>SUM(contact[[#This Row],[?]:[x]])</f>
        <v>0</v>
      </c>
      <c r="G4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498" s="3" t="s">
        <v>3441</v>
      </c>
      <c r="K498" s="1" t="s">
        <v>1646</v>
      </c>
      <c r="L498" s="1" t="s">
        <v>2</v>
      </c>
      <c r="M498" s="1" t="s">
        <v>2</v>
      </c>
      <c r="O498" s="2"/>
      <c r="P498" s="2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1:32" s="1" customFormat="1" ht="20.25" customHeight="1" x14ac:dyDescent="0.25">
      <c r="A499" s="2"/>
      <c r="B499" s="2"/>
      <c r="C499" s="2"/>
      <c r="D499" s="2">
        <f>COUNTIF(contact[[#This Row],[Bagossy]:[Szo
03:00 - 10:00]],"=~?")</f>
        <v>0</v>
      </c>
      <c r="E499" s="2">
        <f>COUNTIF(contact[[#This Row],[Bagossy]:[Szo
03:00 - 10:00]],"=x")</f>
        <v>0</v>
      </c>
      <c r="F499" s="2">
        <f>SUM(contact[[#This Row],[?]:[x]])</f>
        <v>0</v>
      </c>
      <c r="G4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499" s="2"/>
      <c r="I499" s="2"/>
      <c r="J499" s="3" t="s">
        <v>2338</v>
      </c>
      <c r="K499" s="1" t="s">
        <v>1025</v>
      </c>
      <c r="L499" s="1" t="s">
        <v>2</v>
      </c>
      <c r="M499" s="1" t="s">
        <v>2</v>
      </c>
      <c r="O499" s="2"/>
      <c r="P499" s="2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1:32" s="1" customFormat="1" ht="20.25" customHeight="1" x14ac:dyDescent="0.25">
      <c r="A500" s="2"/>
      <c r="B500" s="2"/>
      <c r="C500" s="2"/>
      <c r="D500" s="2">
        <f>COUNTIF(contact[[#This Row],[Bagossy]:[Szo
03:00 - 10:00]],"=~?")</f>
        <v>0</v>
      </c>
      <c r="E500" s="2">
        <f>COUNTIF(contact[[#This Row],[Bagossy]:[Szo
03:00 - 10:00]],"=x")</f>
        <v>0</v>
      </c>
      <c r="F500" s="2">
        <f>SUM(contact[[#This Row],[?]:[x]])</f>
        <v>0</v>
      </c>
      <c r="G5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0" s="3" t="s">
        <v>1985</v>
      </c>
      <c r="K500" s="1" t="s">
        <v>52</v>
      </c>
      <c r="L500" s="1" t="s">
        <v>2</v>
      </c>
      <c r="M500" s="1" t="s">
        <v>2</v>
      </c>
      <c r="O500" s="2"/>
      <c r="P500" s="2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1:32" s="1" customFormat="1" ht="20.25" customHeight="1" x14ac:dyDescent="0.25">
      <c r="A501" s="2"/>
      <c r="B501" s="2"/>
      <c r="C501" s="2"/>
      <c r="D501" s="2">
        <f>COUNTIF(contact[[#This Row],[Bagossy]:[Szo
03:00 - 10:00]],"=~?")</f>
        <v>0</v>
      </c>
      <c r="E501" s="2">
        <f>COUNTIF(contact[[#This Row],[Bagossy]:[Szo
03:00 - 10:00]],"=x")</f>
        <v>0</v>
      </c>
      <c r="F501" s="2">
        <f>SUM(contact[[#This Row],[?]:[x]])</f>
        <v>0</v>
      </c>
      <c r="G5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1" s="3" t="s">
        <v>4073</v>
      </c>
      <c r="K501" s="1" t="s">
        <v>2</v>
      </c>
      <c r="L501" s="1" t="s">
        <v>2</v>
      </c>
      <c r="M501" s="1" t="s">
        <v>2</v>
      </c>
      <c r="O501" s="2"/>
      <c r="P501" s="2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1:32" s="1" customFormat="1" ht="20.25" customHeight="1" x14ac:dyDescent="0.25">
      <c r="A502" s="2"/>
      <c r="B502" s="2"/>
      <c r="C502" s="2"/>
      <c r="D502" s="2">
        <f>COUNTIF(contact[[#This Row],[Bagossy]:[Szo
03:00 - 10:00]],"=~?")</f>
        <v>0</v>
      </c>
      <c r="E502" s="2">
        <f>COUNTIF(contact[[#This Row],[Bagossy]:[Szo
03:00 - 10:00]],"=x")</f>
        <v>0</v>
      </c>
      <c r="F502" s="2">
        <f>SUM(contact[[#This Row],[?]:[x]])</f>
        <v>0</v>
      </c>
      <c r="G5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02" s="2"/>
      <c r="I502" s="2"/>
      <c r="J502" s="3" t="s">
        <v>2340</v>
      </c>
      <c r="K502" s="1" t="s">
        <v>634</v>
      </c>
      <c r="L502" s="1" t="s">
        <v>2</v>
      </c>
      <c r="M502" s="1" t="s">
        <v>2</v>
      </c>
      <c r="O502" s="2"/>
      <c r="P502" s="2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1:32" s="1" customFormat="1" ht="20.25" customHeight="1" x14ac:dyDescent="0.25">
      <c r="A503" s="2"/>
      <c r="B503" s="2"/>
      <c r="C503" s="2"/>
      <c r="D503" s="2">
        <f>COUNTIF(contact[[#This Row],[Bagossy]:[Szo
03:00 - 10:00]],"=~?")</f>
        <v>0</v>
      </c>
      <c r="E503" s="2">
        <f>COUNTIF(contact[[#This Row],[Bagossy]:[Szo
03:00 - 10:00]],"=x")</f>
        <v>0</v>
      </c>
      <c r="F503" s="2">
        <f>SUM(contact[[#This Row],[?]:[x]])</f>
        <v>0</v>
      </c>
      <c r="G5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3" s="3" t="s">
        <v>2961</v>
      </c>
      <c r="K503" s="1" t="s">
        <v>1303</v>
      </c>
      <c r="L503" s="1" t="s">
        <v>2</v>
      </c>
      <c r="M503" s="1" t="s">
        <v>2</v>
      </c>
      <c r="O503" s="2"/>
      <c r="P503" s="2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1:32" s="1" customFormat="1" ht="20.25" customHeight="1" x14ac:dyDescent="0.25">
      <c r="A504" s="2"/>
      <c r="B504" s="2"/>
      <c r="C504" s="2"/>
      <c r="D504" s="2">
        <f>COUNTIF(contact[[#This Row],[Bagossy]:[Szo
03:00 - 10:00]],"=~?")</f>
        <v>0</v>
      </c>
      <c r="E504" s="2">
        <f>COUNTIF(contact[[#This Row],[Bagossy]:[Szo
03:00 - 10:00]],"=x")</f>
        <v>0</v>
      </c>
      <c r="F504" s="2">
        <f>SUM(contact[[#This Row],[?]:[x]])</f>
        <v>0</v>
      </c>
      <c r="G5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4" s="3" t="s">
        <v>2434</v>
      </c>
      <c r="K504" s="1" t="s">
        <v>306</v>
      </c>
      <c r="L504" s="1" t="s">
        <v>2</v>
      </c>
      <c r="M504" s="1" t="s">
        <v>2</v>
      </c>
      <c r="O504" s="2"/>
      <c r="P504" s="2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1:32" s="1" customFormat="1" ht="20.25" customHeight="1" x14ac:dyDescent="0.25">
      <c r="A505" s="2"/>
      <c r="B505" s="2"/>
      <c r="C505" s="2"/>
      <c r="D505" s="2">
        <f>COUNTIF(contact[[#This Row],[Bagossy]:[Szo
03:00 - 10:00]],"=~?")</f>
        <v>0</v>
      </c>
      <c r="E505" s="2">
        <f>COUNTIF(contact[[#This Row],[Bagossy]:[Szo
03:00 - 10:00]],"=x")</f>
        <v>0</v>
      </c>
      <c r="F505" s="2">
        <f>SUM(contact[[#This Row],[?]:[x]])</f>
        <v>0</v>
      </c>
      <c r="G5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05" s="2"/>
      <c r="I505" s="2"/>
      <c r="J505" s="3" t="s">
        <v>2342</v>
      </c>
      <c r="K505" s="1" t="s">
        <v>6</v>
      </c>
      <c r="L505" s="1" t="s">
        <v>2</v>
      </c>
      <c r="M505" s="1" t="s">
        <v>2</v>
      </c>
      <c r="O505" s="2"/>
      <c r="P505" s="2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1:32" s="1" customFormat="1" ht="20.25" customHeight="1" x14ac:dyDescent="0.25">
      <c r="A506" s="2"/>
      <c r="B506" s="2"/>
      <c r="C506" s="2"/>
      <c r="D506" s="2">
        <f>COUNTIF(contact[[#This Row],[Bagossy]:[Szo
03:00 - 10:00]],"=~?")</f>
        <v>0</v>
      </c>
      <c r="E506" s="2">
        <f>COUNTIF(contact[[#This Row],[Bagossy]:[Szo
03:00 - 10:00]],"=x")</f>
        <v>0</v>
      </c>
      <c r="F506" s="2">
        <f>SUM(contact[[#This Row],[?]:[x]])</f>
        <v>0</v>
      </c>
      <c r="G5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6" s="3" t="s">
        <v>4502</v>
      </c>
      <c r="K506" s="1" t="s">
        <v>2</v>
      </c>
      <c r="L506" s="1" t="s">
        <v>2</v>
      </c>
      <c r="M506" s="1" t="s">
        <v>2</v>
      </c>
      <c r="O506" s="2"/>
      <c r="P506" s="2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1:32" s="1" customFormat="1" ht="20.25" customHeight="1" x14ac:dyDescent="0.25">
      <c r="A507" s="2"/>
      <c r="B507" s="2"/>
      <c r="C507" s="2"/>
      <c r="D507" s="2">
        <f>COUNTIF(contact[[#This Row],[Bagossy]:[Szo
03:00 - 10:00]],"=~?")</f>
        <v>0</v>
      </c>
      <c r="E507" s="2">
        <f>COUNTIF(contact[[#This Row],[Bagossy]:[Szo
03:00 - 10:00]],"=x")</f>
        <v>0</v>
      </c>
      <c r="F507" s="2">
        <f>SUM(contact[[#This Row],[?]:[x]])</f>
        <v>0</v>
      </c>
      <c r="G5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7" s="3" t="s">
        <v>2004</v>
      </c>
      <c r="K507" s="1" t="s">
        <v>63</v>
      </c>
      <c r="L507" s="1" t="s">
        <v>2</v>
      </c>
      <c r="M507" s="1" t="s">
        <v>2</v>
      </c>
      <c r="O507" s="2"/>
      <c r="P507" s="2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1:32" s="1" customFormat="1" ht="20.25" customHeight="1" x14ac:dyDescent="0.25">
      <c r="A508" s="2"/>
      <c r="B508" s="2"/>
      <c r="C508" s="2"/>
      <c r="D508" s="2">
        <f>COUNTIF(contact[[#This Row],[Bagossy]:[Szo
03:00 - 10:00]],"=~?")</f>
        <v>0</v>
      </c>
      <c r="E508" s="2">
        <f>COUNTIF(contact[[#This Row],[Bagossy]:[Szo
03:00 - 10:00]],"=x")</f>
        <v>0</v>
      </c>
      <c r="F508" s="2">
        <f>SUM(contact[[#This Row],[?]:[x]])</f>
        <v>0</v>
      </c>
      <c r="G5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08" s="3" t="s">
        <v>3924</v>
      </c>
      <c r="K508" s="1" t="s">
        <v>1011</v>
      </c>
      <c r="L508" s="1" t="s">
        <v>2</v>
      </c>
      <c r="M508" s="1" t="s">
        <v>2</v>
      </c>
      <c r="O508" s="2"/>
      <c r="P508" s="2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1:32" s="1" customFormat="1" ht="20.25" customHeight="1" x14ac:dyDescent="0.25">
      <c r="A509" s="2"/>
      <c r="B509" s="2"/>
      <c r="C509" s="2" t="s">
        <v>1285</v>
      </c>
      <c r="D509" s="2">
        <f>COUNTIF(contact[[#This Row],[Bagossy]:[Szo
03:00 - 10:00]],"=~?")</f>
        <v>0</v>
      </c>
      <c r="E509" s="2">
        <f>COUNTIF(contact[[#This Row],[Bagossy]:[Szo
03:00 - 10:00]],"=x")</f>
        <v>0</v>
      </c>
      <c r="F509" s="2">
        <f>SUM(contact[[#This Row],[?]:[x]])</f>
        <v>0</v>
      </c>
      <c r="G5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09" s="2"/>
      <c r="I509" s="2"/>
      <c r="J509" s="3" t="s">
        <v>2345</v>
      </c>
      <c r="K509" s="1" t="s">
        <v>95</v>
      </c>
      <c r="L509" s="1" t="s">
        <v>2</v>
      </c>
      <c r="M509" s="1" t="s">
        <v>2</v>
      </c>
      <c r="O509" s="2"/>
      <c r="P509" s="2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1:32" s="1" customFormat="1" ht="20.25" customHeight="1" x14ac:dyDescent="0.25">
      <c r="A510" s="2"/>
      <c r="B510" s="2"/>
      <c r="C510" s="2"/>
      <c r="D510" s="2">
        <f>COUNTIF(contact[[#This Row],[Bagossy]:[Szo
03:00 - 10:00]],"=~?")</f>
        <v>0</v>
      </c>
      <c r="E510" s="2">
        <f>COUNTIF(contact[[#This Row],[Bagossy]:[Szo
03:00 - 10:00]],"=x")</f>
        <v>0</v>
      </c>
      <c r="F510" s="2">
        <f>SUM(contact[[#This Row],[?]:[x]])</f>
        <v>0</v>
      </c>
      <c r="G5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0" s="3" t="s">
        <v>2049</v>
      </c>
      <c r="K510" s="1" t="s">
        <v>88</v>
      </c>
      <c r="L510" s="1" t="s">
        <v>2</v>
      </c>
      <c r="M510" s="1" t="s">
        <v>2</v>
      </c>
      <c r="O510" s="2"/>
      <c r="P510" s="2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1:32" s="1" customFormat="1" ht="20.25" customHeight="1" x14ac:dyDescent="0.25">
      <c r="A511" s="2"/>
      <c r="B511" s="2"/>
      <c r="C511" s="2"/>
      <c r="D511" s="2">
        <f>COUNTIF(contact[[#This Row],[Bagossy]:[Szo
03:00 - 10:00]],"=~?")</f>
        <v>0</v>
      </c>
      <c r="E511" s="2">
        <f>COUNTIF(contact[[#This Row],[Bagossy]:[Szo
03:00 - 10:00]],"=x")</f>
        <v>0</v>
      </c>
      <c r="F511" s="2">
        <f>SUM(contact[[#This Row],[?]:[x]])</f>
        <v>0</v>
      </c>
      <c r="G5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11" s="2"/>
      <c r="I511" s="2"/>
      <c r="J511" s="3" t="s">
        <v>2350</v>
      </c>
      <c r="K511" s="1" t="s">
        <v>92</v>
      </c>
      <c r="L511" s="1" t="s">
        <v>2</v>
      </c>
      <c r="M511" s="1" t="s">
        <v>2</v>
      </c>
      <c r="O511" s="2"/>
      <c r="P511" s="2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1:32" s="1" customFormat="1" ht="20.25" customHeight="1" x14ac:dyDescent="0.25">
      <c r="A512" s="2"/>
      <c r="B512" s="2"/>
      <c r="C512" s="2"/>
      <c r="D512" s="2">
        <f>COUNTIF(contact[[#This Row],[Bagossy]:[Szo
03:00 - 10:00]],"=~?")</f>
        <v>0</v>
      </c>
      <c r="E512" s="2">
        <f>COUNTIF(contact[[#This Row],[Bagossy]:[Szo
03:00 - 10:00]],"=x")</f>
        <v>0</v>
      </c>
      <c r="F512" s="2">
        <f>SUM(contact[[#This Row],[?]:[x]])</f>
        <v>0</v>
      </c>
      <c r="G5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2" s="3" t="s">
        <v>2565</v>
      </c>
      <c r="K512" s="1" t="s">
        <v>213</v>
      </c>
      <c r="L512" s="1" t="s">
        <v>2</v>
      </c>
      <c r="M512" s="1" t="s">
        <v>2</v>
      </c>
      <c r="O512" s="2"/>
      <c r="P512" s="2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1:32" s="1" customFormat="1" ht="20.25" customHeight="1" x14ac:dyDescent="0.25">
      <c r="A513" s="2"/>
      <c r="B513" s="2"/>
      <c r="C513" s="2"/>
      <c r="D513" s="2">
        <f>COUNTIF(contact[[#This Row],[Bagossy]:[Szo
03:00 - 10:00]],"=~?")</f>
        <v>0</v>
      </c>
      <c r="E513" s="2">
        <f>COUNTIF(contact[[#This Row],[Bagossy]:[Szo
03:00 - 10:00]],"=x")</f>
        <v>0</v>
      </c>
      <c r="F513" s="2">
        <f>SUM(contact[[#This Row],[?]:[x]])</f>
        <v>0</v>
      </c>
      <c r="G5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3" s="3" t="s">
        <v>1913</v>
      </c>
      <c r="K513" s="1" t="s">
        <v>2</v>
      </c>
      <c r="L513" s="1" t="s">
        <v>2</v>
      </c>
      <c r="M513" s="1" t="s">
        <v>2</v>
      </c>
      <c r="O513" s="2"/>
      <c r="P513" s="2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1:32" s="1" customFormat="1" ht="20.25" customHeight="1" x14ac:dyDescent="0.25">
      <c r="A514" s="2"/>
      <c r="B514" s="2"/>
      <c r="C514" s="2"/>
      <c r="D514" s="2">
        <f>COUNTIF(contact[[#This Row],[Bagossy]:[Szo
03:00 - 10:00]],"=~?")</f>
        <v>0</v>
      </c>
      <c r="E514" s="2">
        <f>COUNTIF(contact[[#This Row],[Bagossy]:[Szo
03:00 - 10:00]],"=x")</f>
        <v>0</v>
      </c>
      <c r="F514" s="2">
        <f>SUM(contact[[#This Row],[?]:[x]])</f>
        <v>0</v>
      </c>
      <c r="G5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4" s="3" t="s">
        <v>2005</v>
      </c>
      <c r="K514" s="1" t="s">
        <v>2</v>
      </c>
      <c r="L514" s="1" t="s">
        <v>2</v>
      </c>
      <c r="M514" s="1" t="s">
        <v>2</v>
      </c>
      <c r="O514" s="2"/>
      <c r="P514" s="2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1:32" s="1" customFormat="1" ht="20.25" customHeight="1" x14ac:dyDescent="0.25">
      <c r="A515" s="2"/>
      <c r="B515" s="2"/>
      <c r="C515" s="2"/>
      <c r="D515" s="2">
        <f>COUNTIF(contact[[#This Row],[Bagossy]:[Szo
03:00 - 10:00]],"=~?")</f>
        <v>0</v>
      </c>
      <c r="E515" s="2">
        <f>COUNTIF(contact[[#This Row],[Bagossy]:[Szo
03:00 - 10:00]],"=x")</f>
        <v>0</v>
      </c>
      <c r="F515" s="2">
        <f>SUM(contact[[#This Row],[?]:[x]])</f>
        <v>0</v>
      </c>
      <c r="G5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5" s="3" t="s">
        <v>2135</v>
      </c>
      <c r="K515" s="1" t="s">
        <v>1327</v>
      </c>
      <c r="L515" s="1" t="s">
        <v>2</v>
      </c>
      <c r="M515" s="1" t="s">
        <v>2</v>
      </c>
      <c r="O515" s="2"/>
      <c r="P515" s="2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1:32" s="1" customFormat="1" ht="20.25" customHeight="1" x14ac:dyDescent="0.25">
      <c r="A516" s="2"/>
      <c r="B516" s="2"/>
      <c r="C516" s="2"/>
      <c r="D516" s="2">
        <f>COUNTIF(contact[[#This Row],[Bagossy]:[Szo
03:00 - 10:00]],"=~?")</f>
        <v>0</v>
      </c>
      <c r="E516" s="2">
        <f>COUNTIF(contact[[#This Row],[Bagossy]:[Szo
03:00 - 10:00]],"=x")</f>
        <v>0</v>
      </c>
      <c r="F516" s="2">
        <f>SUM(contact[[#This Row],[?]:[x]])</f>
        <v>0</v>
      </c>
      <c r="G5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6" s="3" t="s">
        <v>2599</v>
      </c>
      <c r="K516" s="1" t="s">
        <v>1332</v>
      </c>
      <c r="L516" s="1" t="s">
        <v>2</v>
      </c>
      <c r="M516" s="1" t="s">
        <v>2</v>
      </c>
      <c r="O516" s="2"/>
      <c r="P516" s="2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1:32" s="1" customFormat="1" ht="20.25" customHeight="1" x14ac:dyDescent="0.25">
      <c r="A517" s="2"/>
      <c r="B517" s="2"/>
      <c r="C517" s="2"/>
      <c r="D517" s="2">
        <f>COUNTIF(contact[[#This Row],[Bagossy]:[Szo
03:00 - 10:00]],"=~?")</f>
        <v>0</v>
      </c>
      <c r="E517" s="2">
        <f>COUNTIF(contact[[#This Row],[Bagossy]:[Szo
03:00 - 10:00]],"=x")</f>
        <v>0</v>
      </c>
      <c r="F517" s="2">
        <f>SUM(contact[[#This Row],[?]:[x]])</f>
        <v>0</v>
      </c>
      <c r="G5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7" s="3" t="s">
        <v>3072</v>
      </c>
      <c r="K517" s="1" t="s">
        <v>1556</v>
      </c>
      <c r="L517" s="1" t="s">
        <v>2</v>
      </c>
      <c r="M517" s="1" t="s">
        <v>2</v>
      </c>
      <c r="O517" s="2"/>
      <c r="P517" s="2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1:32" s="1" customFormat="1" ht="20.25" customHeight="1" x14ac:dyDescent="0.25">
      <c r="A518" s="2"/>
      <c r="B518" s="2"/>
      <c r="C518" s="2"/>
      <c r="D518" s="2">
        <f>COUNTIF(contact[[#This Row],[Bagossy]:[Szo
03:00 - 10:00]],"=~?")</f>
        <v>0</v>
      </c>
      <c r="E518" s="2">
        <f>COUNTIF(contact[[#This Row],[Bagossy]:[Szo
03:00 - 10:00]],"=x")</f>
        <v>0</v>
      </c>
      <c r="F518" s="2">
        <f>SUM(contact[[#This Row],[?]:[x]])</f>
        <v>0</v>
      </c>
      <c r="G5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8" s="3" t="s">
        <v>1986</v>
      </c>
      <c r="K518" s="1" t="s">
        <v>53</v>
      </c>
      <c r="L518" s="1" t="s">
        <v>2</v>
      </c>
      <c r="M518" s="1" t="s">
        <v>2</v>
      </c>
      <c r="O518" s="2"/>
      <c r="P518" s="2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1:32" s="1" customFormat="1" ht="20.25" customHeight="1" x14ac:dyDescent="0.25">
      <c r="A519" s="2"/>
      <c r="B519" s="2"/>
      <c r="C519" s="2"/>
      <c r="D519" s="2">
        <f>COUNTIF(contact[[#This Row],[Bagossy]:[Szo
03:00 - 10:00]],"=~?")</f>
        <v>0</v>
      </c>
      <c r="E519" s="2">
        <f>COUNTIF(contact[[#This Row],[Bagossy]:[Szo
03:00 - 10:00]],"=x")</f>
        <v>0</v>
      </c>
      <c r="F519" s="2">
        <f>SUM(contact[[#This Row],[?]:[x]])</f>
        <v>0</v>
      </c>
      <c r="G5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19" s="3" t="s">
        <v>3775</v>
      </c>
      <c r="K519" s="1" t="s">
        <v>938</v>
      </c>
      <c r="L519" s="1" t="s">
        <v>2</v>
      </c>
      <c r="M519" s="1" t="s">
        <v>2</v>
      </c>
      <c r="O519" s="2"/>
      <c r="P519" s="2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1:32" s="1" customFormat="1" ht="20.25" customHeight="1" x14ac:dyDescent="0.25">
      <c r="A520" s="2"/>
      <c r="B520" s="2"/>
      <c r="C520" s="2"/>
      <c r="D520" s="2">
        <f>COUNTIF(contact[[#This Row],[Bagossy]:[Szo
03:00 - 10:00]],"=~?")</f>
        <v>0</v>
      </c>
      <c r="E520" s="2">
        <f>COUNTIF(contact[[#This Row],[Bagossy]:[Szo
03:00 - 10:00]],"=x")</f>
        <v>0</v>
      </c>
      <c r="F520" s="2">
        <f>SUM(contact[[#This Row],[?]:[x]])</f>
        <v>0</v>
      </c>
      <c r="G5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0" s="3" t="s">
        <v>3869</v>
      </c>
      <c r="K520" s="1" t="s">
        <v>2</v>
      </c>
      <c r="L520" s="1" t="s">
        <v>2</v>
      </c>
      <c r="M520" s="1" t="s">
        <v>2</v>
      </c>
      <c r="O520" s="2"/>
      <c r="P520" s="2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1:32" s="1" customFormat="1" ht="20.25" customHeight="1" x14ac:dyDescent="0.25">
      <c r="A521" s="2"/>
      <c r="B521" s="2"/>
      <c r="C521" s="2"/>
      <c r="D521" s="2">
        <f>COUNTIF(contact[[#This Row],[Bagossy]:[Szo
03:00 - 10:00]],"=~?")</f>
        <v>0</v>
      </c>
      <c r="E521" s="2">
        <f>COUNTIF(contact[[#This Row],[Bagossy]:[Szo
03:00 - 10:00]],"=x")</f>
        <v>0</v>
      </c>
      <c r="F521" s="2">
        <f>SUM(contact[[#This Row],[?]:[x]])</f>
        <v>0</v>
      </c>
      <c r="G5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1" s="3" t="s">
        <v>2011</v>
      </c>
      <c r="K521" s="1" t="s">
        <v>2</v>
      </c>
      <c r="L521" s="1" t="s">
        <v>2</v>
      </c>
      <c r="M521" s="1" t="s">
        <v>2</v>
      </c>
      <c r="O521" s="2"/>
      <c r="P521" s="2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1:32" s="1" customFormat="1" ht="20.25" customHeight="1" x14ac:dyDescent="0.25">
      <c r="A522" s="2"/>
      <c r="B522" s="2"/>
      <c r="C522" s="2"/>
      <c r="D522" s="2">
        <f>COUNTIF(contact[[#This Row],[Bagossy]:[Szo
03:00 - 10:00]],"=~?")</f>
        <v>0</v>
      </c>
      <c r="E522" s="2">
        <f>COUNTIF(contact[[#This Row],[Bagossy]:[Szo
03:00 - 10:00]],"=x")</f>
        <v>0</v>
      </c>
      <c r="F522" s="2">
        <f>SUM(contact[[#This Row],[?]:[x]])</f>
        <v>0</v>
      </c>
      <c r="G5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22" s="2"/>
      <c r="I522" s="2"/>
      <c r="J522" s="3" t="s">
        <v>2351</v>
      </c>
      <c r="K522" s="1" t="s">
        <v>511</v>
      </c>
      <c r="L522" s="1" t="s">
        <v>2</v>
      </c>
      <c r="M522" s="1" t="s">
        <v>2</v>
      </c>
      <c r="O522" s="2"/>
      <c r="P522" s="2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1:32" s="1" customFormat="1" ht="20.25" customHeight="1" x14ac:dyDescent="0.25">
      <c r="A523" s="2"/>
      <c r="B523" s="2"/>
      <c r="C523" s="2"/>
      <c r="D523" s="2">
        <f>COUNTIF(contact[[#This Row],[Bagossy]:[Szo
03:00 - 10:00]],"=~?")</f>
        <v>0</v>
      </c>
      <c r="E523" s="2">
        <f>COUNTIF(contact[[#This Row],[Bagossy]:[Szo
03:00 - 10:00]],"=x")</f>
        <v>0</v>
      </c>
      <c r="F523" s="2">
        <f>SUM(contact[[#This Row],[?]:[x]])</f>
        <v>0</v>
      </c>
      <c r="G5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3" s="3" t="s">
        <v>3977</v>
      </c>
      <c r="K523" s="1" t="s">
        <v>1045</v>
      </c>
      <c r="L523" s="1" t="s">
        <v>2</v>
      </c>
      <c r="M523" s="1" t="s">
        <v>2</v>
      </c>
      <c r="O523" s="2"/>
      <c r="P523" s="2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1:32" s="1" customFormat="1" ht="20.25" customHeight="1" x14ac:dyDescent="0.25">
      <c r="A524" s="2"/>
      <c r="B524" s="2"/>
      <c r="C524" s="2"/>
      <c r="D524" s="2">
        <f>COUNTIF(contact[[#This Row],[Bagossy]:[Szo
03:00 - 10:00]],"=~?")</f>
        <v>0</v>
      </c>
      <c r="E524" s="2">
        <f>COUNTIF(contact[[#This Row],[Bagossy]:[Szo
03:00 - 10:00]],"=x")</f>
        <v>0</v>
      </c>
      <c r="F524" s="2">
        <f>SUM(contact[[#This Row],[?]:[x]])</f>
        <v>0</v>
      </c>
      <c r="G5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4" s="3" t="s">
        <v>3025</v>
      </c>
      <c r="K524" s="1" t="s">
        <v>2</v>
      </c>
      <c r="L524" s="1" t="s">
        <v>2</v>
      </c>
      <c r="M524" s="1" t="s">
        <v>2</v>
      </c>
      <c r="O524" s="2"/>
      <c r="P524" s="2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1:32" s="1" customFormat="1" ht="20.25" customHeight="1" x14ac:dyDescent="0.25">
      <c r="A525" s="2"/>
      <c r="B525" s="2"/>
      <c r="C525" s="2"/>
      <c r="D525" s="2">
        <f>COUNTIF(contact[[#This Row],[Bagossy]:[Szo
03:00 - 10:00]],"=~?")</f>
        <v>0</v>
      </c>
      <c r="E525" s="2">
        <f>COUNTIF(contact[[#This Row],[Bagossy]:[Szo
03:00 - 10:00]],"=x")</f>
        <v>0</v>
      </c>
      <c r="F525" s="2">
        <f>SUM(contact[[#This Row],[?]:[x]])</f>
        <v>0</v>
      </c>
      <c r="G5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5" s="3" t="s">
        <v>326</v>
      </c>
      <c r="K525" s="1" t="s">
        <v>2</v>
      </c>
      <c r="L525" s="1" t="s">
        <v>2</v>
      </c>
      <c r="M525" s="1" t="s">
        <v>2</v>
      </c>
      <c r="O525" s="2"/>
      <c r="P525" s="2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1:32" s="1" customFormat="1" ht="20.25" customHeight="1" x14ac:dyDescent="0.25">
      <c r="A526" s="2"/>
      <c r="B526" s="2"/>
      <c r="C526" s="2"/>
      <c r="D526" s="2">
        <f>COUNTIF(contact[[#This Row],[Bagossy]:[Szo
03:00 - 10:00]],"=~?")</f>
        <v>0</v>
      </c>
      <c r="E526" s="2">
        <f>COUNTIF(contact[[#This Row],[Bagossy]:[Szo
03:00 - 10:00]],"=x")</f>
        <v>0</v>
      </c>
      <c r="F526" s="2">
        <f>SUM(contact[[#This Row],[?]:[x]])</f>
        <v>0</v>
      </c>
      <c r="G5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6" s="3" t="s">
        <v>4187</v>
      </c>
      <c r="K526" s="1" t="s">
        <v>1808</v>
      </c>
      <c r="L526" s="1" t="s">
        <v>2</v>
      </c>
      <c r="M526" s="1" t="s">
        <v>2</v>
      </c>
      <c r="O526" s="2"/>
      <c r="P526" s="2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1:32" s="1" customFormat="1" ht="20.25" customHeight="1" x14ac:dyDescent="0.25">
      <c r="A527" s="2"/>
      <c r="B527" s="2"/>
      <c r="C527" s="2"/>
      <c r="D527" s="2">
        <f>COUNTIF(contact[[#This Row],[Bagossy]:[Szo
03:00 - 10:00]],"=~?")</f>
        <v>0</v>
      </c>
      <c r="E527" s="2">
        <f>COUNTIF(contact[[#This Row],[Bagossy]:[Szo
03:00 - 10:00]],"=x")</f>
        <v>0</v>
      </c>
      <c r="F527" s="2">
        <f>SUM(contact[[#This Row],[?]:[x]])</f>
        <v>0</v>
      </c>
      <c r="G5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7" s="3" t="s">
        <v>2418</v>
      </c>
      <c r="K527" s="1" t="s">
        <v>2</v>
      </c>
      <c r="L527" s="1" t="s">
        <v>2</v>
      </c>
      <c r="M527" s="1" t="s">
        <v>2</v>
      </c>
      <c r="O527" s="2"/>
      <c r="P527" s="2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pans="1:32" s="1" customFormat="1" ht="20.25" customHeight="1" x14ac:dyDescent="0.25">
      <c r="A528" s="2"/>
      <c r="B528" s="2"/>
      <c r="C528" s="2"/>
      <c r="D528" s="2">
        <f>COUNTIF(contact[[#This Row],[Bagossy]:[Szo
03:00 - 10:00]],"=~?")</f>
        <v>0</v>
      </c>
      <c r="E528" s="2">
        <f>COUNTIF(contact[[#This Row],[Bagossy]:[Szo
03:00 - 10:00]],"=x")</f>
        <v>0</v>
      </c>
      <c r="F528" s="2">
        <f>SUM(contact[[#This Row],[?]:[x]])</f>
        <v>0</v>
      </c>
      <c r="G5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8" s="3" t="s">
        <v>4528</v>
      </c>
      <c r="K528" s="1" t="s">
        <v>1267</v>
      </c>
      <c r="L528" s="1" t="s">
        <v>2</v>
      </c>
      <c r="M528" s="1" t="s">
        <v>2</v>
      </c>
      <c r="O528" s="2"/>
      <c r="P528" s="2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pans="1:32" s="1" customFormat="1" ht="20.25" customHeight="1" x14ac:dyDescent="0.25">
      <c r="A529" s="2"/>
      <c r="B529" s="2"/>
      <c r="C529" s="2"/>
      <c r="D529" s="2">
        <f>COUNTIF(contact[[#This Row],[Bagossy]:[Szo
03:00 - 10:00]],"=~?")</f>
        <v>0</v>
      </c>
      <c r="E529" s="2">
        <f>COUNTIF(contact[[#This Row],[Bagossy]:[Szo
03:00 - 10:00]],"=x")</f>
        <v>0</v>
      </c>
      <c r="F529" s="2">
        <f>SUM(contact[[#This Row],[?]:[x]])</f>
        <v>0</v>
      </c>
      <c r="G5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29" s="3" t="s">
        <v>2295</v>
      </c>
      <c r="K529" s="1" t="s">
        <v>1384</v>
      </c>
      <c r="L529" s="1" t="s">
        <v>2</v>
      </c>
      <c r="M529" s="1" t="s">
        <v>2</v>
      </c>
      <c r="O529" s="2"/>
      <c r="P529" s="2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spans="1:32" s="1" customFormat="1" ht="20.25" customHeight="1" x14ac:dyDescent="0.25">
      <c r="A530" s="2"/>
      <c r="B530" s="2"/>
      <c r="C530" s="2"/>
      <c r="D530" s="2">
        <f>COUNTIF(contact[[#This Row],[Bagossy]:[Szo
03:00 - 10:00]],"=~?")</f>
        <v>0</v>
      </c>
      <c r="E530" s="2">
        <f>COUNTIF(contact[[#This Row],[Bagossy]:[Szo
03:00 - 10:00]],"=x")</f>
        <v>0</v>
      </c>
      <c r="F530" s="2">
        <f>SUM(contact[[#This Row],[?]:[x]])</f>
        <v>0</v>
      </c>
      <c r="G5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30" s="3" t="s">
        <v>2405</v>
      </c>
      <c r="K530" s="1" t="s">
        <v>2</v>
      </c>
      <c r="L530" s="1" t="s">
        <v>2</v>
      </c>
      <c r="M530" s="1" t="s">
        <v>2</v>
      </c>
      <c r="O530" s="2"/>
      <c r="P530" s="2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spans="1:32" s="1" customFormat="1" ht="20.25" customHeight="1" x14ac:dyDescent="0.25">
      <c r="A531" s="2"/>
      <c r="B531" s="2"/>
      <c r="C531" s="2"/>
      <c r="D531" s="2">
        <f>COUNTIF(contact[[#This Row],[Bagossy]:[Szo
03:00 - 10:00]],"=~?")</f>
        <v>0</v>
      </c>
      <c r="E531" s="2">
        <f>COUNTIF(contact[[#This Row],[Bagossy]:[Szo
03:00 - 10:00]],"=x")</f>
        <v>0</v>
      </c>
      <c r="F531" s="2">
        <f>SUM(contact[[#This Row],[?]:[x]])</f>
        <v>0</v>
      </c>
      <c r="G5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31" s="3" t="s">
        <v>1899</v>
      </c>
      <c r="K531" s="1" t="s">
        <v>2</v>
      </c>
      <c r="L531" s="1" t="s">
        <v>2</v>
      </c>
      <c r="M531" s="1" t="s">
        <v>2</v>
      </c>
      <c r="O531" s="2"/>
      <c r="P531" s="2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spans="1:32" s="1" customFormat="1" ht="20.25" customHeight="1" x14ac:dyDescent="0.25">
      <c r="A532" s="2"/>
      <c r="B532" s="2"/>
      <c r="C532" s="2"/>
      <c r="D532" s="2">
        <f>COUNTIF(contact[[#This Row],[Bagossy]:[Szo
03:00 - 10:00]],"=~?")</f>
        <v>0</v>
      </c>
      <c r="E532" s="2">
        <f>COUNTIF(contact[[#This Row],[Bagossy]:[Szo
03:00 - 10:00]],"=x")</f>
        <v>0</v>
      </c>
      <c r="F532" s="2">
        <f>SUM(contact[[#This Row],[?]:[x]])</f>
        <v>0</v>
      </c>
      <c r="G5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32" s="3" t="s">
        <v>2296</v>
      </c>
      <c r="K532" s="1" t="s">
        <v>2</v>
      </c>
      <c r="L532" s="1" t="s">
        <v>2</v>
      </c>
      <c r="M532" s="1" t="s">
        <v>2</v>
      </c>
      <c r="O532" s="2"/>
      <c r="P532" s="2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spans="1:32" s="1" customFormat="1" ht="20.25" customHeight="1" x14ac:dyDescent="0.25">
      <c r="A533" s="2" t="s">
        <v>1285</v>
      </c>
      <c r="B533" s="2" t="s">
        <v>1285</v>
      </c>
      <c r="C533" s="2" t="s">
        <v>1285</v>
      </c>
      <c r="D533" s="2">
        <f>COUNTIF(contact[[#This Row],[Bagossy]:[Szo
03:00 - 10:00]],"=~?")</f>
        <v>1</v>
      </c>
      <c r="E533" s="2">
        <f>COUNTIF(contact[[#This Row],[Bagossy]:[Szo
03:00 - 10:00]],"=x")</f>
        <v>10</v>
      </c>
      <c r="F533" s="2">
        <f>SUM(contact[[#This Row],[?]:[x]])</f>
        <v>11</v>
      </c>
      <c r="G533" s="2">
        <f>COUNTIF(contact[[#This Row],[Sze
10:00 - 22:00]:[Cs
03:00 - 08:00]],"=x")+COUNTIF(contact[[#This Row],[P
08:00 - 12:00]:[P
03:00 - 08:00]],"=x")+COUNTIF(contact[[#This Row],[Szo
08:00 - 12:00]:[Szo
03:00 - 10:00]],"=x")</f>
        <v>8</v>
      </c>
      <c r="H533" s="2" t="s">
        <v>4623</v>
      </c>
      <c r="I533" s="2" t="s">
        <v>1285</v>
      </c>
      <c r="J533" s="3" t="s">
        <v>4637</v>
      </c>
      <c r="K533" s="1" t="s">
        <v>254</v>
      </c>
      <c r="L533" s="1" t="s">
        <v>2</v>
      </c>
      <c r="M533" s="1" t="s">
        <v>2</v>
      </c>
      <c r="N533" s="2" t="s">
        <v>4612</v>
      </c>
      <c r="O533" s="2" t="s">
        <v>1285</v>
      </c>
      <c r="P533" s="2"/>
      <c r="Q533" s="6"/>
      <c r="R533" s="6"/>
      <c r="S533" s="6"/>
      <c r="T533" s="6"/>
      <c r="U533" s="6"/>
      <c r="V533" s="6" t="s">
        <v>1285</v>
      </c>
      <c r="W533" s="6" t="s">
        <v>1285</v>
      </c>
      <c r="X533" s="6" t="s">
        <v>1285</v>
      </c>
      <c r="Y533" s="6" t="s">
        <v>1285</v>
      </c>
      <c r="Z533" s="6" t="s">
        <v>1285</v>
      </c>
      <c r="AA533" s="6" t="s">
        <v>1285</v>
      </c>
      <c r="AB533" s="6"/>
      <c r="AC533" s="6" t="s">
        <v>1285</v>
      </c>
      <c r="AD533" s="6" t="s">
        <v>1285</v>
      </c>
      <c r="AE533" s="6" t="s">
        <v>1285</v>
      </c>
      <c r="AF533" s="6" t="s">
        <v>4616</v>
      </c>
    </row>
    <row r="534" spans="1:32" s="1" customFormat="1" ht="20.25" customHeight="1" x14ac:dyDescent="0.25">
      <c r="A534" s="2"/>
      <c r="B534" s="2"/>
      <c r="C534" s="2"/>
      <c r="D534" s="2">
        <f>COUNTIF(contact[[#This Row],[Bagossy]:[Szo
03:00 - 10:00]],"=~?")</f>
        <v>0</v>
      </c>
      <c r="E534" s="2">
        <f>COUNTIF(contact[[#This Row],[Bagossy]:[Szo
03:00 - 10:00]],"=x")</f>
        <v>0</v>
      </c>
      <c r="F534" s="2">
        <f>SUM(contact[[#This Row],[?]:[x]])</f>
        <v>0</v>
      </c>
      <c r="G5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34" s="3" t="s">
        <v>3743</v>
      </c>
      <c r="K534" s="1" t="s">
        <v>924</v>
      </c>
      <c r="L534" s="1" t="s">
        <v>2</v>
      </c>
      <c r="M534" s="1" t="s">
        <v>2</v>
      </c>
      <c r="O534" s="2"/>
      <c r="P534" s="2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spans="1:32" s="1" customFormat="1" ht="20.25" customHeight="1" x14ac:dyDescent="0.25">
      <c r="A535" s="2" t="s">
        <v>1285</v>
      </c>
      <c r="B535" s="2" t="s">
        <v>1285</v>
      </c>
      <c r="C535" s="2" t="s">
        <v>1285</v>
      </c>
      <c r="D535" s="2">
        <f>COUNTIF(contact[[#This Row],[Bagossy]:[Szo
03:00 - 10:00]],"=~?")</f>
        <v>1</v>
      </c>
      <c r="E535" s="2">
        <f>COUNTIF(contact[[#This Row],[Bagossy]:[Szo
03:00 - 10:00]],"=x")</f>
        <v>2</v>
      </c>
      <c r="F535" s="2">
        <f>SUM(contact[[#This Row],[?]:[x]])</f>
        <v>3</v>
      </c>
      <c r="G5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35" s="2" t="s">
        <v>4623</v>
      </c>
      <c r="I535" s="2"/>
      <c r="J535" s="3" t="s">
        <v>143</v>
      </c>
      <c r="K535" s="1" t="s">
        <v>307</v>
      </c>
      <c r="L535" s="1" t="s">
        <v>2</v>
      </c>
      <c r="M535" s="1" t="s">
        <v>2</v>
      </c>
      <c r="N535" s="2" t="s">
        <v>4612</v>
      </c>
      <c r="O535" s="2"/>
      <c r="P535" s="2"/>
      <c r="Q535" s="6"/>
      <c r="R535" s="6"/>
      <c r="S535" s="6"/>
      <c r="T535" s="6"/>
      <c r="U535" s="6"/>
      <c r="V535" s="6"/>
      <c r="W535" s="6" t="s">
        <v>1285</v>
      </c>
      <c r="X535" s="6"/>
      <c r="Y535" s="6"/>
      <c r="Z535" s="6"/>
      <c r="AA535" s="6"/>
      <c r="AB535" s="6" t="s">
        <v>1285</v>
      </c>
      <c r="AC535" s="6" t="s">
        <v>4616</v>
      </c>
      <c r="AD535" s="6"/>
      <c r="AE535" s="6"/>
      <c r="AF535" s="6"/>
    </row>
    <row r="536" spans="1:32" s="1" customFormat="1" ht="20.25" customHeight="1" x14ac:dyDescent="0.25">
      <c r="A536" s="2"/>
      <c r="B536" s="2"/>
      <c r="C536" s="2"/>
      <c r="D536" s="2">
        <f>COUNTIF(contact[[#This Row],[Bagossy]:[Szo
03:00 - 10:00]],"=~?")</f>
        <v>0</v>
      </c>
      <c r="E536" s="2">
        <f>COUNTIF(contact[[#This Row],[Bagossy]:[Szo
03:00 - 10:00]],"=x")</f>
        <v>0</v>
      </c>
      <c r="F536" s="2">
        <f>SUM(contact[[#This Row],[?]:[x]])</f>
        <v>0</v>
      </c>
      <c r="G5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36" s="3" t="s">
        <v>3154</v>
      </c>
      <c r="K536" s="1" t="s">
        <v>670</v>
      </c>
      <c r="L536" s="1" t="s">
        <v>2</v>
      </c>
      <c r="M536" s="1" t="s">
        <v>2</v>
      </c>
      <c r="O536" s="2"/>
      <c r="P536" s="2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spans="1:32" s="1" customFormat="1" ht="20.25" customHeight="1" x14ac:dyDescent="0.25">
      <c r="A537" s="2"/>
      <c r="B537" s="2"/>
      <c r="C537" s="2"/>
      <c r="D537" s="2">
        <f>COUNTIF(contact[[#This Row],[Bagossy]:[Szo
03:00 - 10:00]],"=~?")</f>
        <v>0</v>
      </c>
      <c r="E537" s="2">
        <f>COUNTIF(contact[[#This Row],[Bagossy]:[Szo
03:00 - 10:00]],"=x")</f>
        <v>0</v>
      </c>
      <c r="F537" s="2">
        <f>SUM(contact[[#This Row],[?]:[x]])</f>
        <v>0</v>
      </c>
      <c r="G5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37" s="2"/>
      <c r="I537" s="2"/>
      <c r="J537" s="3" t="s">
        <v>2411</v>
      </c>
      <c r="K537" s="1" t="s">
        <v>1402</v>
      </c>
      <c r="L537" s="1" t="s">
        <v>2</v>
      </c>
      <c r="M537" s="1" t="s">
        <v>2</v>
      </c>
      <c r="O537" s="2"/>
      <c r="P537" s="2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spans="1:32" s="1" customFormat="1" ht="20.25" customHeight="1" x14ac:dyDescent="0.25">
      <c r="A538" s="2"/>
      <c r="B538" s="2"/>
      <c r="C538" s="2"/>
      <c r="D538" s="2">
        <f>COUNTIF(contact[[#This Row],[Bagossy]:[Szo
03:00 - 10:00]],"=~?")</f>
        <v>0</v>
      </c>
      <c r="E538" s="2">
        <f>COUNTIF(contact[[#This Row],[Bagossy]:[Szo
03:00 - 10:00]],"=x")</f>
        <v>0</v>
      </c>
      <c r="F538" s="2">
        <f>SUM(contact[[#This Row],[?]:[x]])</f>
        <v>0</v>
      </c>
      <c r="G5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38" s="2"/>
      <c r="I538" s="2"/>
      <c r="J538" s="3" t="s">
        <v>2432</v>
      </c>
      <c r="K538" s="1" t="s">
        <v>1406</v>
      </c>
      <c r="L538" s="1" t="s">
        <v>2</v>
      </c>
      <c r="M538" s="1" t="s">
        <v>2</v>
      </c>
      <c r="O538" s="2"/>
      <c r="P538" s="2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spans="1:32" s="1" customFormat="1" ht="20.25" customHeight="1" x14ac:dyDescent="0.25">
      <c r="A539" s="2"/>
      <c r="B539" s="2"/>
      <c r="C539" s="2"/>
      <c r="D539" s="2">
        <f>COUNTIF(contact[[#This Row],[Bagossy]:[Szo
03:00 - 10:00]],"=~?")</f>
        <v>0</v>
      </c>
      <c r="E539" s="2">
        <f>COUNTIF(contact[[#This Row],[Bagossy]:[Szo
03:00 - 10:00]],"=x")</f>
        <v>0</v>
      </c>
      <c r="F539" s="2">
        <f>SUM(contact[[#This Row],[?]:[x]])</f>
        <v>0</v>
      </c>
      <c r="G5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39" s="3" t="s">
        <v>3073</v>
      </c>
      <c r="K539" s="1" t="s">
        <v>635</v>
      </c>
      <c r="L539" s="1" t="s">
        <v>2</v>
      </c>
      <c r="M539" s="1" t="s">
        <v>2</v>
      </c>
      <c r="O539" s="2"/>
      <c r="P539" s="2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spans="1:32" s="1" customFormat="1" ht="20.25" customHeight="1" x14ac:dyDescent="0.25">
      <c r="A540" s="2"/>
      <c r="B540" s="2"/>
      <c r="C540" s="2"/>
      <c r="D540" s="2">
        <f>COUNTIF(contact[[#This Row],[Bagossy]:[Szo
03:00 - 10:00]],"=~?")</f>
        <v>0</v>
      </c>
      <c r="E540" s="2">
        <f>COUNTIF(contact[[#This Row],[Bagossy]:[Szo
03:00 - 10:00]],"=x")</f>
        <v>0</v>
      </c>
      <c r="F540" s="2">
        <f>SUM(contact[[#This Row],[?]:[x]])</f>
        <v>0</v>
      </c>
      <c r="G5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0" s="3" t="s">
        <v>2720</v>
      </c>
      <c r="K540" s="1" t="s">
        <v>1475</v>
      </c>
      <c r="L540" s="1" t="s">
        <v>2</v>
      </c>
      <c r="M540" s="1" t="s">
        <v>2</v>
      </c>
      <c r="O540" s="2"/>
      <c r="P540" s="2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spans="1:32" s="1" customFormat="1" ht="20.25" customHeight="1" x14ac:dyDescent="0.25">
      <c r="A541" s="2"/>
      <c r="B541" s="2"/>
      <c r="C541" s="2"/>
      <c r="D541" s="2">
        <f>COUNTIF(contact[[#This Row],[Bagossy]:[Szo
03:00 - 10:00]],"=~?")</f>
        <v>0</v>
      </c>
      <c r="E541" s="2">
        <f>COUNTIF(contact[[#This Row],[Bagossy]:[Szo
03:00 - 10:00]],"=x")</f>
        <v>0</v>
      </c>
      <c r="F541" s="2">
        <f>SUM(contact[[#This Row],[?]:[x]])</f>
        <v>0</v>
      </c>
      <c r="G5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1" s="3" t="s">
        <v>3074</v>
      </c>
      <c r="K541" s="1" t="s">
        <v>2</v>
      </c>
      <c r="L541" s="1" t="s">
        <v>2</v>
      </c>
      <c r="M541" s="1" t="s">
        <v>2</v>
      </c>
      <c r="O541" s="2"/>
      <c r="P541" s="2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spans="1:32" s="1" customFormat="1" ht="20.25" customHeight="1" x14ac:dyDescent="0.25">
      <c r="A542" s="2"/>
      <c r="B542" s="2"/>
      <c r="C542" s="2"/>
      <c r="D542" s="2">
        <f>COUNTIF(contact[[#This Row],[Bagossy]:[Szo
03:00 - 10:00]],"=~?")</f>
        <v>0</v>
      </c>
      <c r="E542" s="2">
        <f>COUNTIF(contact[[#This Row],[Bagossy]:[Szo
03:00 - 10:00]],"=x")</f>
        <v>0</v>
      </c>
      <c r="F542" s="2">
        <f>SUM(contact[[#This Row],[?]:[x]])</f>
        <v>0</v>
      </c>
      <c r="G5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2" s="3" t="s">
        <v>3870</v>
      </c>
      <c r="K542" s="1" t="s">
        <v>990</v>
      </c>
      <c r="L542" s="1" t="s">
        <v>2</v>
      </c>
      <c r="M542" s="1" t="s">
        <v>2</v>
      </c>
      <c r="O542" s="2"/>
      <c r="P542" s="2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spans="1:32" s="1" customFormat="1" ht="20.25" customHeight="1" x14ac:dyDescent="0.25">
      <c r="A543" s="2"/>
      <c r="B543" s="2"/>
      <c r="C543" s="2"/>
      <c r="D543" s="2">
        <f>COUNTIF(contact[[#This Row],[Bagossy]:[Szo
03:00 - 10:00]],"=~?")</f>
        <v>0</v>
      </c>
      <c r="E543" s="2">
        <f>COUNTIF(contact[[#This Row],[Bagossy]:[Szo
03:00 - 10:00]],"=x")</f>
        <v>0</v>
      </c>
      <c r="F543" s="2">
        <f>SUM(contact[[#This Row],[?]:[x]])</f>
        <v>0</v>
      </c>
      <c r="G5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3" s="3" t="s">
        <v>4188</v>
      </c>
      <c r="K543" s="1" t="s">
        <v>2</v>
      </c>
      <c r="L543" s="1" t="s">
        <v>2</v>
      </c>
      <c r="M543" s="1" t="s">
        <v>2</v>
      </c>
      <c r="O543" s="2"/>
      <c r="P543" s="2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spans="1:32" s="1" customFormat="1" ht="20.25" customHeight="1" x14ac:dyDescent="0.25">
      <c r="A544" s="2"/>
      <c r="B544" s="2"/>
      <c r="C544" s="2"/>
      <c r="D544" s="2">
        <f>COUNTIF(contact[[#This Row],[Bagossy]:[Szo
03:00 - 10:00]],"=~?")</f>
        <v>0</v>
      </c>
      <c r="E544" s="2">
        <f>COUNTIF(contact[[#This Row],[Bagossy]:[Szo
03:00 - 10:00]],"=x")</f>
        <v>0</v>
      </c>
      <c r="F544" s="2">
        <f>SUM(contact[[#This Row],[?]:[x]])</f>
        <v>0</v>
      </c>
      <c r="G5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4" s="3" t="s">
        <v>2436</v>
      </c>
      <c r="K544" s="1" t="s">
        <v>1409</v>
      </c>
      <c r="L544" s="1" t="s">
        <v>2</v>
      </c>
      <c r="M544" s="1" t="s">
        <v>2</v>
      </c>
      <c r="O544" s="2"/>
      <c r="P544" s="2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spans="1:32" s="1" customFormat="1" ht="20.25" customHeight="1" x14ac:dyDescent="0.25">
      <c r="A545" s="2"/>
      <c r="B545" s="2"/>
      <c r="C545" s="2"/>
      <c r="D545" s="2">
        <f>COUNTIF(contact[[#This Row],[Bagossy]:[Szo
03:00 - 10:00]],"=~?")</f>
        <v>0</v>
      </c>
      <c r="E545" s="2">
        <f>COUNTIF(contact[[#This Row],[Bagossy]:[Szo
03:00 - 10:00]],"=x")</f>
        <v>0</v>
      </c>
      <c r="F545" s="2">
        <f>SUM(contact[[#This Row],[?]:[x]])</f>
        <v>0</v>
      </c>
      <c r="G5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5" s="3" t="s">
        <v>2484</v>
      </c>
      <c r="K545" s="1" t="s">
        <v>2</v>
      </c>
      <c r="L545" s="1" t="s">
        <v>2</v>
      </c>
      <c r="M545" s="1" t="s">
        <v>2</v>
      </c>
      <c r="O545" s="2"/>
      <c r="P545" s="2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spans="1:32" s="1" customFormat="1" ht="20.25" customHeight="1" x14ac:dyDescent="0.25">
      <c r="A546" s="2"/>
      <c r="B546" s="2"/>
      <c r="C546" s="2"/>
      <c r="D546" s="2">
        <f>COUNTIF(contact[[#This Row],[Bagossy]:[Szo
03:00 - 10:00]],"=~?")</f>
        <v>0</v>
      </c>
      <c r="E546" s="2">
        <f>COUNTIF(contact[[#This Row],[Bagossy]:[Szo
03:00 - 10:00]],"=x")</f>
        <v>0</v>
      </c>
      <c r="F546" s="2">
        <f>SUM(contact[[#This Row],[?]:[x]])</f>
        <v>0</v>
      </c>
      <c r="G5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6" s="3" t="s">
        <v>4189</v>
      </c>
      <c r="K546" s="1" t="s">
        <v>1136</v>
      </c>
      <c r="L546" s="1" t="s">
        <v>2</v>
      </c>
      <c r="M546" s="1" t="s">
        <v>2</v>
      </c>
      <c r="O546" s="2"/>
      <c r="P546" s="2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spans="1:32" s="1" customFormat="1" ht="20.25" customHeight="1" x14ac:dyDescent="0.25">
      <c r="A547" s="2"/>
      <c r="B547" s="2"/>
      <c r="C547" s="2"/>
      <c r="D547" s="2">
        <f>COUNTIF(contact[[#This Row],[Bagossy]:[Szo
03:00 - 10:00]],"=~?")</f>
        <v>0</v>
      </c>
      <c r="E547" s="2">
        <f>COUNTIF(contact[[#This Row],[Bagossy]:[Szo
03:00 - 10:00]],"=x")</f>
        <v>0</v>
      </c>
      <c r="F547" s="2">
        <f>SUM(contact[[#This Row],[?]:[x]])</f>
        <v>0</v>
      </c>
      <c r="G5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7" s="3" t="s">
        <v>327</v>
      </c>
      <c r="K547" s="1" t="s">
        <v>2</v>
      </c>
      <c r="L547" s="1" t="s">
        <v>2</v>
      </c>
      <c r="M547" s="1" t="s">
        <v>2</v>
      </c>
      <c r="O547" s="2"/>
      <c r="P547" s="2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spans="1:32" s="1" customFormat="1" ht="20.25" customHeight="1" x14ac:dyDescent="0.25">
      <c r="A548" s="2"/>
      <c r="B548" s="2"/>
      <c r="C548" s="2"/>
      <c r="D548" s="2">
        <f>COUNTIF(contact[[#This Row],[Bagossy]:[Szo
03:00 - 10:00]],"=~?")</f>
        <v>0</v>
      </c>
      <c r="E548" s="2">
        <f>COUNTIF(contact[[#This Row],[Bagossy]:[Szo
03:00 - 10:00]],"=x")</f>
        <v>0</v>
      </c>
      <c r="F548" s="2">
        <f>SUM(contact[[#This Row],[?]:[x]])</f>
        <v>0</v>
      </c>
      <c r="G5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8" s="3" t="s">
        <v>3534</v>
      </c>
      <c r="K548" s="1" t="s">
        <v>830</v>
      </c>
      <c r="L548" s="1" t="s">
        <v>2</v>
      </c>
      <c r="M548" s="1" t="s">
        <v>2</v>
      </c>
      <c r="O548" s="2"/>
      <c r="P548" s="2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spans="1:32" s="1" customFormat="1" ht="20.25" customHeight="1" x14ac:dyDescent="0.25">
      <c r="A549" s="2"/>
      <c r="B549" s="2"/>
      <c r="C549" s="2"/>
      <c r="D549" s="2">
        <f>COUNTIF(contact[[#This Row],[Bagossy]:[Szo
03:00 - 10:00]],"=~?")</f>
        <v>0</v>
      </c>
      <c r="E549" s="2">
        <f>COUNTIF(contact[[#This Row],[Bagossy]:[Szo
03:00 - 10:00]],"=x")</f>
        <v>0</v>
      </c>
      <c r="F549" s="2">
        <f>SUM(contact[[#This Row],[?]:[x]])</f>
        <v>0</v>
      </c>
      <c r="G5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49" s="3" t="s">
        <v>2485</v>
      </c>
      <c r="K549" s="1" t="s">
        <v>1424</v>
      </c>
      <c r="L549" s="1" t="s">
        <v>2</v>
      </c>
      <c r="M549" s="1" t="s">
        <v>2</v>
      </c>
      <c r="O549" s="2"/>
      <c r="P549" s="2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spans="1:32" s="1" customFormat="1" ht="20.25" customHeight="1" x14ac:dyDescent="0.25">
      <c r="A550" s="2"/>
      <c r="B550" s="2"/>
      <c r="C550" s="2"/>
      <c r="D550" s="2">
        <f>COUNTIF(contact[[#This Row],[Bagossy]:[Szo
03:00 - 10:00]],"=~?")</f>
        <v>0</v>
      </c>
      <c r="E550" s="2">
        <f>COUNTIF(contact[[#This Row],[Bagossy]:[Szo
03:00 - 10:00]],"=x")</f>
        <v>0</v>
      </c>
      <c r="F550" s="2">
        <f>SUM(contact[[#This Row],[?]:[x]])</f>
        <v>0</v>
      </c>
      <c r="G5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50" s="3" t="s">
        <v>3744</v>
      </c>
      <c r="K550" s="1" t="s">
        <v>1708</v>
      </c>
      <c r="L550" s="1" t="s">
        <v>2</v>
      </c>
      <c r="M550" s="1" t="s">
        <v>2</v>
      </c>
      <c r="O550" s="2"/>
      <c r="P550" s="2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spans="1:32" s="1" customFormat="1" ht="20.25" customHeight="1" x14ac:dyDescent="0.25">
      <c r="A551" s="2"/>
      <c r="B551" s="2"/>
      <c r="C551" s="2"/>
      <c r="D551" s="2">
        <f>COUNTIF(contact[[#This Row],[Bagossy]:[Szo
03:00 - 10:00]],"=~?")</f>
        <v>0</v>
      </c>
      <c r="E551" s="2">
        <f>COUNTIF(contact[[#This Row],[Bagossy]:[Szo
03:00 - 10:00]],"=x")</f>
        <v>0</v>
      </c>
      <c r="F551" s="2">
        <f>SUM(contact[[#This Row],[?]:[x]])</f>
        <v>0</v>
      </c>
      <c r="G5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51" s="2"/>
      <c r="I551" s="2"/>
      <c r="J551" s="3" t="s">
        <v>2433</v>
      </c>
      <c r="K551" s="1" t="s">
        <v>1407</v>
      </c>
      <c r="L551" s="1" t="s">
        <v>2</v>
      </c>
      <c r="M551" s="1" t="s">
        <v>2</v>
      </c>
      <c r="O551" s="2"/>
      <c r="P551" s="2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spans="1:32" s="1" customFormat="1" ht="20.25" customHeight="1" x14ac:dyDescent="0.25">
      <c r="A552" s="2"/>
      <c r="B552" s="2"/>
      <c r="C552" s="2"/>
      <c r="D552" s="2">
        <f>COUNTIF(contact[[#This Row],[Bagossy]:[Szo
03:00 - 10:00]],"=~?")</f>
        <v>0</v>
      </c>
      <c r="E552" s="2">
        <f>COUNTIF(contact[[#This Row],[Bagossy]:[Szo
03:00 - 10:00]],"=x")</f>
        <v>0</v>
      </c>
      <c r="F552" s="2">
        <f>SUM(contact[[#This Row],[?]:[x]])</f>
        <v>0</v>
      </c>
      <c r="G5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52" s="2"/>
      <c r="I552" s="2"/>
      <c r="J552" s="3" t="s">
        <v>2435</v>
      </c>
      <c r="K552" s="1" t="s">
        <v>1408</v>
      </c>
      <c r="L552" s="1" t="s">
        <v>2</v>
      </c>
      <c r="M552" s="1" t="s">
        <v>2</v>
      </c>
      <c r="O552" s="2"/>
      <c r="P552" s="2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spans="1:32" s="1" customFormat="1" ht="20.25" customHeight="1" x14ac:dyDescent="0.25">
      <c r="A553" s="2"/>
      <c r="B553" s="2"/>
      <c r="C553" s="2"/>
      <c r="D553" s="2">
        <f>COUNTIF(contact[[#This Row],[Bagossy]:[Szo
03:00 - 10:00]],"=~?")</f>
        <v>0</v>
      </c>
      <c r="E553" s="2">
        <f>COUNTIF(contact[[#This Row],[Bagossy]:[Szo
03:00 - 10:00]],"=x")</f>
        <v>0</v>
      </c>
      <c r="F553" s="2">
        <f>SUM(contact[[#This Row],[?]:[x]])</f>
        <v>0</v>
      </c>
      <c r="G5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53" s="3" t="s">
        <v>2721</v>
      </c>
      <c r="K553" s="1" t="s">
        <v>460</v>
      </c>
      <c r="L553" s="1" t="s">
        <v>2</v>
      </c>
      <c r="M553" s="1" t="s">
        <v>2</v>
      </c>
      <c r="O553" s="2"/>
      <c r="P553" s="2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spans="1:32" s="1" customFormat="1" ht="20.25" customHeight="1" x14ac:dyDescent="0.25">
      <c r="A554" s="2"/>
      <c r="B554" s="2"/>
      <c r="C554" s="2"/>
      <c r="D554" s="2">
        <f>COUNTIF(contact[[#This Row],[Bagossy]:[Szo
03:00 - 10:00]],"=~?")</f>
        <v>0</v>
      </c>
      <c r="E554" s="2">
        <f>COUNTIF(contact[[#This Row],[Bagossy]:[Szo
03:00 - 10:00]],"=x")</f>
        <v>0</v>
      </c>
      <c r="F554" s="2">
        <f>SUM(contact[[#This Row],[?]:[x]])</f>
        <v>0</v>
      </c>
      <c r="G5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54" s="2"/>
      <c r="I554" s="2"/>
      <c r="J554" s="3" t="s">
        <v>2438</v>
      </c>
      <c r="K554" s="1" t="s">
        <v>1376</v>
      </c>
      <c r="L554" s="1" t="s">
        <v>2</v>
      </c>
      <c r="M554" s="1" t="s">
        <v>2</v>
      </c>
      <c r="O554" s="2"/>
      <c r="P554" s="2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spans="1:32" s="1" customFormat="1" ht="20.25" customHeight="1" x14ac:dyDescent="0.25">
      <c r="A555" s="2"/>
      <c r="B555" s="2"/>
      <c r="C555" s="2"/>
      <c r="D555" s="2">
        <f>COUNTIF(contact[[#This Row],[Bagossy]:[Szo
03:00 - 10:00]],"=~?")</f>
        <v>0</v>
      </c>
      <c r="E555" s="2">
        <f>COUNTIF(contact[[#This Row],[Bagossy]:[Szo
03:00 - 10:00]],"=x")</f>
        <v>0</v>
      </c>
      <c r="F555" s="2">
        <f>SUM(contact[[#This Row],[?]:[x]])</f>
        <v>0</v>
      </c>
      <c r="G5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55" s="2"/>
      <c r="I555" s="2"/>
      <c r="J555" s="3" t="s">
        <v>2441</v>
      </c>
      <c r="K555" s="1" t="s">
        <v>1410</v>
      </c>
      <c r="L555" s="1" t="s">
        <v>2</v>
      </c>
      <c r="M555" s="1" t="s">
        <v>2</v>
      </c>
      <c r="O555" s="2"/>
      <c r="P555" s="2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spans="1:32" s="1" customFormat="1" ht="20.25" customHeight="1" x14ac:dyDescent="0.25">
      <c r="A556" s="2"/>
      <c r="B556" s="2"/>
      <c r="C556" s="2"/>
      <c r="D556" s="2">
        <f>COUNTIF(contact[[#This Row],[Bagossy]:[Szo
03:00 - 10:00]],"=~?")</f>
        <v>0</v>
      </c>
      <c r="E556" s="2">
        <f>COUNTIF(contact[[#This Row],[Bagossy]:[Szo
03:00 - 10:00]],"=x")</f>
        <v>0</v>
      </c>
      <c r="F556" s="2">
        <f>SUM(contact[[#This Row],[?]:[x]])</f>
        <v>0</v>
      </c>
      <c r="G5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56" s="3" t="s">
        <v>3623</v>
      </c>
      <c r="K556" s="1" t="s">
        <v>869</v>
      </c>
      <c r="L556" s="1" t="s">
        <v>2</v>
      </c>
      <c r="M556" s="1" t="s">
        <v>2</v>
      </c>
      <c r="O556" s="2"/>
      <c r="P556" s="2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spans="1:32" s="1" customFormat="1" ht="20.25" customHeight="1" x14ac:dyDescent="0.25">
      <c r="A557" s="2"/>
      <c r="B557" s="2"/>
      <c r="C557" s="2"/>
      <c r="D557" s="2">
        <f>COUNTIF(contact[[#This Row],[Bagossy]:[Szo
03:00 - 10:00]],"=~?")</f>
        <v>0</v>
      </c>
      <c r="E557" s="2">
        <f>COUNTIF(contact[[#This Row],[Bagossy]:[Szo
03:00 - 10:00]],"=x")</f>
        <v>0</v>
      </c>
      <c r="F557" s="2">
        <f>SUM(contact[[#This Row],[?]:[x]])</f>
        <v>0</v>
      </c>
      <c r="G5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57" s="3" t="s">
        <v>3763</v>
      </c>
      <c r="K557" s="1" t="s">
        <v>1710</v>
      </c>
      <c r="L557" s="1" t="s">
        <v>2</v>
      </c>
      <c r="M557" s="1" t="s">
        <v>2</v>
      </c>
      <c r="O557" s="2"/>
      <c r="P557" s="2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pans="1:32" s="1" customFormat="1" ht="20.25" customHeight="1" x14ac:dyDescent="0.25">
      <c r="A558" s="2"/>
      <c r="B558" s="2"/>
      <c r="C558" s="2"/>
      <c r="D558" s="2">
        <f>COUNTIF(contact[[#This Row],[Bagossy]:[Szo
03:00 - 10:00]],"=~?")</f>
        <v>0</v>
      </c>
      <c r="E558" s="2">
        <f>COUNTIF(contact[[#This Row],[Bagossy]:[Szo
03:00 - 10:00]],"=x")</f>
        <v>0</v>
      </c>
      <c r="F558" s="2">
        <f>SUM(contact[[#This Row],[?]:[x]])</f>
        <v>0</v>
      </c>
      <c r="G5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58" s="3" t="s">
        <v>3354</v>
      </c>
      <c r="K558" s="1" t="s">
        <v>1619</v>
      </c>
      <c r="L558" s="1" t="s">
        <v>2</v>
      </c>
      <c r="M558" s="1" t="s">
        <v>2</v>
      </c>
      <c r="O558" s="2"/>
      <c r="P558" s="2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spans="1:32" s="1" customFormat="1" ht="20.25" customHeight="1" x14ac:dyDescent="0.25">
      <c r="A559" s="2"/>
      <c r="B559" s="2"/>
      <c r="C559" s="2"/>
      <c r="D559" s="2">
        <f>COUNTIF(contact[[#This Row],[Bagossy]:[Szo
03:00 - 10:00]],"=~?")</f>
        <v>0</v>
      </c>
      <c r="E559" s="2">
        <f>COUNTIF(contact[[#This Row],[Bagossy]:[Szo
03:00 - 10:00]],"=x")</f>
        <v>0</v>
      </c>
      <c r="F559" s="2">
        <f>SUM(contact[[#This Row],[?]:[x]])</f>
        <v>0</v>
      </c>
      <c r="G5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59" s="3" t="s">
        <v>2902</v>
      </c>
      <c r="K559" s="1" t="s">
        <v>2</v>
      </c>
      <c r="L559" s="1" t="s">
        <v>2</v>
      </c>
      <c r="M559" s="1" t="s">
        <v>2</v>
      </c>
      <c r="O559" s="2"/>
      <c r="P559" s="2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spans="1:32" s="1" customFormat="1" ht="20.25" customHeight="1" x14ac:dyDescent="0.25">
      <c r="A560" s="2"/>
      <c r="B560" s="2"/>
      <c r="C560" s="2"/>
      <c r="D560" s="2">
        <f>COUNTIF(contact[[#This Row],[Bagossy]:[Szo
03:00 - 10:00]],"=~?")</f>
        <v>0</v>
      </c>
      <c r="E560" s="2">
        <f>COUNTIF(contact[[#This Row],[Bagossy]:[Szo
03:00 - 10:00]],"=x")</f>
        <v>0</v>
      </c>
      <c r="F560" s="2">
        <f>SUM(contact[[#This Row],[?]:[x]])</f>
        <v>0</v>
      </c>
      <c r="G5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0" s="3" t="s">
        <v>1955</v>
      </c>
      <c r="K560" s="1" t="s">
        <v>36</v>
      </c>
      <c r="L560" s="1" t="s">
        <v>2</v>
      </c>
      <c r="M560" s="1" t="s">
        <v>2</v>
      </c>
      <c r="O560" s="2"/>
      <c r="P560" s="2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spans="1:32" s="1" customFormat="1" ht="20.25" customHeight="1" x14ac:dyDescent="0.25">
      <c r="A561" s="2"/>
      <c r="B561" s="2"/>
      <c r="C561" s="2" t="s">
        <v>1285</v>
      </c>
      <c r="D561" s="2">
        <f>COUNTIF(contact[[#This Row],[Bagossy]:[Szo
03:00 - 10:00]],"=~?")</f>
        <v>0</v>
      </c>
      <c r="E561" s="2">
        <f>COUNTIF(contact[[#This Row],[Bagossy]:[Szo
03:00 - 10:00]],"=x")</f>
        <v>0</v>
      </c>
      <c r="F561" s="2">
        <f>SUM(contact[[#This Row],[?]:[x]])</f>
        <v>0</v>
      </c>
      <c r="G5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61" s="2"/>
      <c r="I561" s="2"/>
      <c r="J561" s="3" t="s">
        <v>2449</v>
      </c>
      <c r="K561" s="1" t="s">
        <v>24</v>
      </c>
      <c r="L561" s="1" t="s">
        <v>2</v>
      </c>
      <c r="M561" s="1" t="s">
        <v>2</v>
      </c>
      <c r="O561" s="2"/>
      <c r="P561" s="2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spans="1:32" s="1" customFormat="1" ht="20.25" customHeight="1" x14ac:dyDescent="0.25">
      <c r="A562" s="2"/>
      <c r="B562" s="2"/>
      <c r="C562" s="2"/>
      <c r="D562" s="2">
        <f>COUNTIF(contact[[#This Row],[Bagossy]:[Szo
03:00 - 10:00]],"=~?")</f>
        <v>0</v>
      </c>
      <c r="E562" s="2">
        <f>COUNTIF(contact[[#This Row],[Bagossy]:[Szo
03:00 - 10:00]],"=x")</f>
        <v>0</v>
      </c>
      <c r="F562" s="2">
        <f>SUM(contact[[#This Row],[?]:[x]])</f>
        <v>0</v>
      </c>
      <c r="G5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2" s="3" t="s">
        <v>3651</v>
      </c>
      <c r="K562" s="1" t="s">
        <v>2</v>
      </c>
      <c r="L562" s="1" t="s">
        <v>2</v>
      </c>
      <c r="M562" s="1" t="s">
        <v>2</v>
      </c>
      <c r="O562" s="2"/>
      <c r="P562" s="2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pans="1:32" s="1" customFormat="1" ht="20.25" customHeight="1" x14ac:dyDescent="0.25">
      <c r="A563" s="2"/>
      <c r="B563" s="2"/>
      <c r="C563" s="2"/>
      <c r="D563" s="2">
        <f>COUNTIF(contact[[#This Row],[Bagossy]:[Szo
03:00 - 10:00]],"=~?")</f>
        <v>0</v>
      </c>
      <c r="E563" s="2">
        <f>COUNTIF(contact[[#This Row],[Bagossy]:[Szo
03:00 - 10:00]],"=x")</f>
        <v>0</v>
      </c>
      <c r="F563" s="2">
        <f>SUM(contact[[#This Row],[?]:[x]])</f>
        <v>0</v>
      </c>
      <c r="G5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3" s="3" t="s">
        <v>2486</v>
      </c>
      <c r="K563" s="1" t="s">
        <v>1327</v>
      </c>
      <c r="L563" s="1" t="s">
        <v>2</v>
      </c>
      <c r="M563" s="1" t="s">
        <v>2</v>
      </c>
      <c r="O563" s="2"/>
      <c r="P563" s="2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pans="1:32" s="1" customFormat="1" ht="20.25" customHeight="1" x14ac:dyDescent="0.25">
      <c r="A564" s="2"/>
      <c r="B564" s="2"/>
      <c r="C564" s="2"/>
      <c r="D564" s="2">
        <f>COUNTIF(contact[[#This Row],[Bagossy]:[Szo
03:00 - 10:00]],"=~?")</f>
        <v>0</v>
      </c>
      <c r="E564" s="2">
        <f>COUNTIF(contact[[#This Row],[Bagossy]:[Szo
03:00 - 10:00]],"=x")</f>
        <v>0</v>
      </c>
      <c r="F564" s="2">
        <f>SUM(contact[[#This Row],[?]:[x]])</f>
        <v>0</v>
      </c>
      <c r="G5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4" s="3" t="s">
        <v>3666</v>
      </c>
      <c r="K564" s="1" t="s">
        <v>893</v>
      </c>
      <c r="L564" s="1" t="s">
        <v>2</v>
      </c>
      <c r="M564" s="1" t="s">
        <v>2</v>
      </c>
      <c r="O564" s="2"/>
      <c r="P564" s="2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spans="1:32" s="1" customFormat="1" ht="20.25" customHeight="1" x14ac:dyDescent="0.25">
      <c r="A565" s="2"/>
      <c r="B565" s="2"/>
      <c r="C565" s="2"/>
      <c r="D565" s="2">
        <f>COUNTIF(contact[[#This Row],[Bagossy]:[Szo
03:00 - 10:00]],"=~?")</f>
        <v>0</v>
      </c>
      <c r="E565" s="2">
        <f>COUNTIF(contact[[#This Row],[Bagossy]:[Szo
03:00 - 10:00]],"=x")</f>
        <v>0</v>
      </c>
      <c r="F565" s="2">
        <f>SUM(contact[[#This Row],[?]:[x]])</f>
        <v>0</v>
      </c>
      <c r="G5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5" s="3" t="s">
        <v>2808</v>
      </c>
      <c r="K565" s="1" t="s">
        <v>2</v>
      </c>
      <c r="L565" s="1" t="s">
        <v>2</v>
      </c>
      <c r="M565" s="1" t="s">
        <v>2</v>
      </c>
      <c r="O565" s="2"/>
      <c r="P565" s="2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spans="1:32" s="1" customFormat="1" ht="20.25" customHeight="1" x14ac:dyDescent="0.25">
      <c r="A566" s="2"/>
      <c r="B566" s="2"/>
      <c r="C566" s="2"/>
      <c r="D566" s="2">
        <f>COUNTIF(contact[[#This Row],[Bagossy]:[Szo
03:00 - 10:00]],"=~?")</f>
        <v>0</v>
      </c>
      <c r="E566" s="2">
        <f>COUNTIF(contact[[#This Row],[Bagossy]:[Szo
03:00 - 10:00]],"=x")</f>
        <v>0</v>
      </c>
      <c r="F566" s="2">
        <f>SUM(contact[[#This Row],[?]:[x]])</f>
        <v>0</v>
      </c>
      <c r="G5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66" s="2"/>
      <c r="I566" s="2"/>
      <c r="J566" s="3" t="s">
        <v>2461</v>
      </c>
      <c r="K566" s="1" t="s">
        <v>1414</v>
      </c>
      <c r="L566" s="1" t="s">
        <v>2</v>
      </c>
      <c r="M566" s="1" t="s">
        <v>2</v>
      </c>
      <c r="O566" s="2"/>
      <c r="P566" s="2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spans="1:32" s="1" customFormat="1" ht="20.25" customHeight="1" x14ac:dyDescent="0.25">
      <c r="A567" s="2"/>
      <c r="B567" s="2"/>
      <c r="C567" s="2"/>
      <c r="D567" s="2">
        <f>COUNTIF(contact[[#This Row],[Bagossy]:[Szo
03:00 - 10:00]],"=~?")</f>
        <v>0</v>
      </c>
      <c r="E567" s="2">
        <f>COUNTIF(contact[[#This Row],[Bagossy]:[Szo
03:00 - 10:00]],"=x")</f>
        <v>0</v>
      </c>
      <c r="F567" s="2">
        <f>SUM(contact[[#This Row],[?]:[x]])</f>
        <v>0</v>
      </c>
      <c r="G5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7" s="3" t="s">
        <v>2699</v>
      </c>
      <c r="K567" s="1" t="s">
        <v>2</v>
      </c>
      <c r="L567" s="1" t="s">
        <v>2</v>
      </c>
      <c r="M567" s="1" t="s">
        <v>2</v>
      </c>
      <c r="O567" s="2"/>
      <c r="P567" s="2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spans="1:32" s="1" customFormat="1" ht="20.25" customHeight="1" x14ac:dyDescent="0.25">
      <c r="A568" s="2"/>
      <c r="B568" s="2"/>
      <c r="C568" s="2"/>
      <c r="D568" s="2">
        <f>COUNTIF(contact[[#This Row],[Bagossy]:[Szo
03:00 - 10:00]],"=~?")</f>
        <v>0</v>
      </c>
      <c r="E568" s="2">
        <f>COUNTIF(contact[[#This Row],[Bagossy]:[Szo
03:00 - 10:00]],"=x")</f>
        <v>0</v>
      </c>
      <c r="F568" s="2">
        <f>SUM(contact[[#This Row],[?]:[x]])</f>
        <v>0</v>
      </c>
      <c r="G5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8" s="3" t="s">
        <v>3662</v>
      </c>
      <c r="K568" s="1" t="s">
        <v>62</v>
      </c>
      <c r="L568" s="1" t="s">
        <v>2</v>
      </c>
      <c r="M568" s="1" t="s">
        <v>2</v>
      </c>
      <c r="O568" s="2"/>
      <c r="P568" s="2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spans="1:32" s="1" customFormat="1" ht="20.25" customHeight="1" x14ac:dyDescent="0.25">
      <c r="A569" s="2"/>
      <c r="B569" s="2"/>
      <c r="C569" s="2"/>
      <c r="D569" s="2">
        <f>COUNTIF(contact[[#This Row],[Bagossy]:[Szo
03:00 - 10:00]],"=~?")</f>
        <v>0</v>
      </c>
      <c r="E569" s="2">
        <f>COUNTIF(contact[[#This Row],[Bagossy]:[Szo
03:00 - 10:00]],"=x")</f>
        <v>0</v>
      </c>
      <c r="F569" s="2">
        <f>SUM(contact[[#This Row],[?]:[x]])</f>
        <v>0</v>
      </c>
      <c r="G5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69" s="3" t="s">
        <v>3975</v>
      </c>
      <c r="K569" s="1" t="s">
        <v>2</v>
      </c>
      <c r="L569" s="1" t="s">
        <v>2</v>
      </c>
      <c r="M569" s="1" t="s">
        <v>2</v>
      </c>
      <c r="O569" s="2"/>
      <c r="P569" s="2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spans="1:32" s="1" customFormat="1" ht="20.25" customHeight="1" x14ac:dyDescent="0.25">
      <c r="A570" s="2"/>
      <c r="B570" s="2"/>
      <c r="C570" s="2"/>
      <c r="D570" s="2">
        <f>COUNTIF(contact[[#This Row],[Bagossy]:[Szo
03:00 - 10:00]],"=~?")</f>
        <v>0</v>
      </c>
      <c r="E570" s="2">
        <f>COUNTIF(contact[[#This Row],[Bagossy]:[Szo
03:00 - 10:00]],"=x")</f>
        <v>0</v>
      </c>
      <c r="F570" s="2">
        <f>SUM(contact[[#This Row],[?]:[x]])</f>
        <v>0</v>
      </c>
      <c r="G5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0" s="3" t="s">
        <v>329</v>
      </c>
      <c r="K570" s="1" t="s">
        <v>2</v>
      </c>
      <c r="L570" s="1" t="s">
        <v>2</v>
      </c>
      <c r="M570" s="1" t="s">
        <v>2</v>
      </c>
      <c r="O570" s="2"/>
      <c r="P570" s="2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spans="1:32" s="1" customFormat="1" ht="20.25" customHeight="1" x14ac:dyDescent="0.25">
      <c r="A571" s="2"/>
      <c r="B571" s="2"/>
      <c r="C571" s="2"/>
      <c r="D571" s="2">
        <f>COUNTIF(contact[[#This Row],[Bagossy]:[Szo
03:00 - 10:00]],"=~?")</f>
        <v>0</v>
      </c>
      <c r="E571" s="2">
        <f>COUNTIF(contact[[#This Row],[Bagossy]:[Szo
03:00 - 10:00]],"=x")</f>
        <v>0</v>
      </c>
      <c r="F571" s="2">
        <f>SUM(contact[[#This Row],[?]:[x]])</f>
        <v>0</v>
      </c>
      <c r="G5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1" s="3" t="s">
        <v>330</v>
      </c>
      <c r="K571" s="1" t="s">
        <v>2</v>
      </c>
      <c r="L571" s="1" t="s">
        <v>2</v>
      </c>
      <c r="M571" s="1" t="s">
        <v>2</v>
      </c>
      <c r="O571" s="2"/>
      <c r="P571" s="2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spans="1:32" s="1" customFormat="1" ht="20.25" customHeight="1" x14ac:dyDescent="0.25">
      <c r="A572" s="2"/>
      <c r="B572" s="2"/>
      <c r="C572" s="2"/>
      <c r="D572" s="2">
        <f>COUNTIF(contact[[#This Row],[Bagossy]:[Szo
03:00 - 10:00]],"=~?")</f>
        <v>0</v>
      </c>
      <c r="E572" s="2">
        <f>COUNTIF(contact[[#This Row],[Bagossy]:[Szo
03:00 - 10:00]],"=x")</f>
        <v>0</v>
      </c>
      <c r="F572" s="2">
        <f>SUM(contact[[#This Row],[?]:[x]])</f>
        <v>0</v>
      </c>
      <c r="G5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2" s="3" t="s">
        <v>335</v>
      </c>
      <c r="K572" s="1" t="s">
        <v>2</v>
      </c>
      <c r="L572" s="1" t="s">
        <v>2</v>
      </c>
      <c r="M572" s="1" t="s">
        <v>2</v>
      </c>
      <c r="O572" s="2"/>
      <c r="P572" s="2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spans="1:32" s="1" customFormat="1" ht="20.25" customHeight="1" x14ac:dyDescent="0.25">
      <c r="A573" s="2"/>
      <c r="B573" s="2"/>
      <c r="C573" s="2"/>
      <c r="D573" s="2">
        <f>COUNTIF(contact[[#This Row],[Bagossy]:[Szo
03:00 - 10:00]],"=~?")</f>
        <v>0</v>
      </c>
      <c r="E573" s="2">
        <f>COUNTIF(contact[[#This Row],[Bagossy]:[Szo
03:00 - 10:00]],"=x")</f>
        <v>0</v>
      </c>
      <c r="F573" s="2">
        <f>SUM(contact[[#This Row],[?]:[x]])</f>
        <v>0</v>
      </c>
      <c r="G5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3" s="3" t="s">
        <v>336</v>
      </c>
      <c r="K573" s="1" t="s">
        <v>2</v>
      </c>
      <c r="L573" s="1" t="s">
        <v>2</v>
      </c>
      <c r="M573" s="1" t="s">
        <v>2</v>
      </c>
      <c r="O573" s="2"/>
      <c r="P573" s="2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pans="1:32" s="1" customFormat="1" ht="20.25" customHeight="1" x14ac:dyDescent="0.25">
      <c r="A574" s="2"/>
      <c r="B574" s="2"/>
      <c r="C574" s="2"/>
      <c r="D574" s="2">
        <f>COUNTIF(contact[[#This Row],[Bagossy]:[Szo
03:00 - 10:00]],"=~?")</f>
        <v>0</v>
      </c>
      <c r="E574" s="2">
        <f>COUNTIF(contact[[#This Row],[Bagossy]:[Szo
03:00 - 10:00]],"=x")</f>
        <v>0</v>
      </c>
      <c r="F574" s="2">
        <f>SUM(contact[[#This Row],[?]:[x]])</f>
        <v>0</v>
      </c>
      <c r="G5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4" s="3" t="s">
        <v>4310</v>
      </c>
      <c r="K574" s="1" t="s">
        <v>1303</v>
      </c>
      <c r="L574" s="1" t="s">
        <v>2</v>
      </c>
      <c r="M574" s="1" t="s">
        <v>2</v>
      </c>
      <c r="O574" s="2"/>
      <c r="P574" s="2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pans="1:32" s="1" customFormat="1" ht="20.25" customHeight="1" x14ac:dyDescent="0.25">
      <c r="A575" s="2"/>
      <c r="B575" s="2"/>
      <c r="C575" s="2"/>
      <c r="D575" s="2">
        <f>COUNTIF(contact[[#This Row],[Bagossy]:[Szo
03:00 - 10:00]],"=~?")</f>
        <v>0</v>
      </c>
      <c r="E575" s="2">
        <f>COUNTIF(contact[[#This Row],[Bagossy]:[Szo
03:00 - 10:00]],"=x")</f>
        <v>0</v>
      </c>
      <c r="F575" s="2">
        <f>SUM(contact[[#This Row],[?]:[x]])</f>
        <v>0</v>
      </c>
      <c r="G5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5" s="3" t="s">
        <v>4322</v>
      </c>
      <c r="K575" s="1" t="s">
        <v>1838</v>
      </c>
      <c r="L575" s="1" t="s">
        <v>2</v>
      </c>
      <c r="M575" s="1" t="s">
        <v>2</v>
      </c>
      <c r="O575" s="2"/>
      <c r="P575" s="2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spans="1:32" s="1" customFormat="1" ht="20.25" customHeight="1" x14ac:dyDescent="0.25">
      <c r="A576" s="2"/>
      <c r="B576" s="2"/>
      <c r="C576" s="2"/>
      <c r="D576" s="2">
        <f>COUNTIF(contact[[#This Row],[Bagossy]:[Szo
03:00 - 10:00]],"=~?")</f>
        <v>0</v>
      </c>
      <c r="E576" s="2">
        <f>COUNTIF(contact[[#This Row],[Bagossy]:[Szo
03:00 - 10:00]],"=x")</f>
        <v>0</v>
      </c>
      <c r="F576" s="2">
        <f>SUM(contact[[#This Row],[?]:[x]])</f>
        <v>0</v>
      </c>
      <c r="G5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6" s="3" t="s">
        <v>2600</v>
      </c>
      <c r="K576" s="1" t="s">
        <v>1346</v>
      </c>
      <c r="L576" s="1" t="s">
        <v>2</v>
      </c>
      <c r="M576" s="1" t="s">
        <v>2</v>
      </c>
      <c r="O576" s="2"/>
      <c r="P576" s="2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pans="1:32" s="1" customFormat="1" ht="20.25" customHeight="1" x14ac:dyDescent="0.25">
      <c r="A577" s="2"/>
      <c r="B577" s="2"/>
      <c r="C577" s="2"/>
      <c r="D577" s="2">
        <f>COUNTIF(contact[[#This Row],[Bagossy]:[Szo
03:00 - 10:00]],"=~?")</f>
        <v>0</v>
      </c>
      <c r="E577" s="2">
        <f>COUNTIF(contact[[#This Row],[Bagossy]:[Szo
03:00 - 10:00]],"=x")</f>
        <v>0</v>
      </c>
      <c r="F577" s="2">
        <f>SUM(contact[[#This Row],[?]:[x]])</f>
        <v>0</v>
      </c>
      <c r="G5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7" s="3" t="s">
        <v>3156</v>
      </c>
      <c r="K577" s="1" t="s">
        <v>2</v>
      </c>
      <c r="L577" s="1" t="s">
        <v>2</v>
      </c>
      <c r="M577" s="1" t="s">
        <v>2</v>
      </c>
      <c r="O577" s="2"/>
      <c r="P577" s="2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pans="1:32" s="1" customFormat="1" ht="20.25" customHeight="1" x14ac:dyDescent="0.25">
      <c r="A578" s="2"/>
      <c r="B578" s="2"/>
      <c r="C578" s="2"/>
      <c r="D578" s="2">
        <f>COUNTIF(contact[[#This Row],[Bagossy]:[Szo
03:00 - 10:00]],"=~?")</f>
        <v>0</v>
      </c>
      <c r="E578" s="2">
        <f>COUNTIF(contact[[#This Row],[Bagossy]:[Szo
03:00 - 10:00]],"=x")</f>
        <v>0</v>
      </c>
      <c r="F578" s="2">
        <f>SUM(contact[[#This Row],[?]:[x]])</f>
        <v>0</v>
      </c>
      <c r="G5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8" s="3" t="s">
        <v>3442</v>
      </c>
      <c r="K578" s="1" t="s">
        <v>1647</v>
      </c>
      <c r="L578" s="1" t="s">
        <v>2</v>
      </c>
      <c r="M578" s="1" t="s">
        <v>2</v>
      </c>
      <c r="O578" s="2"/>
      <c r="P578" s="2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pans="1:32" s="1" customFormat="1" ht="20.25" customHeight="1" x14ac:dyDescent="0.25">
      <c r="A579" s="2"/>
      <c r="B579" s="2"/>
      <c r="C579" s="2"/>
      <c r="D579" s="2">
        <f>COUNTIF(contact[[#This Row],[Bagossy]:[Szo
03:00 - 10:00]],"=~?")</f>
        <v>0</v>
      </c>
      <c r="E579" s="2">
        <f>COUNTIF(contact[[#This Row],[Bagossy]:[Szo
03:00 - 10:00]],"=x")</f>
        <v>0</v>
      </c>
      <c r="F579" s="2">
        <f>SUM(contact[[#This Row],[?]:[x]])</f>
        <v>0</v>
      </c>
      <c r="G5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79" s="3" t="s">
        <v>4272</v>
      </c>
      <c r="K579" s="1" t="s">
        <v>472</v>
      </c>
      <c r="L579" s="1" t="s">
        <v>2</v>
      </c>
      <c r="M579" s="1" t="s">
        <v>2</v>
      </c>
      <c r="O579" s="2"/>
      <c r="P579" s="2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pans="1:32" s="1" customFormat="1" ht="20.25" customHeight="1" x14ac:dyDescent="0.25">
      <c r="A580" s="2"/>
      <c r="B580" s="2"/>
      <c r="C580" s="2"/>
      <c r="D580" s="2">
        <f>COUNTIF(contact[[#This Row],[Bagossy]:[Szo
03:00 - 10:00]],"=~?")</f>
        <v>0</v>
      </c>
      <c r="E580" s="2">
        <f>COUNTIF(contact[[#This Row],[Bagossy]:[Szo
03:00 - 10:00]],"=x")</f>
        <v>0</v>
      </c>
      <c r="F580" s="2">
        <f>SUM(contact[[#This Row],[?]:[x]])</f>
        <v>0</v>
      </c>
      <c r="G5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80" s="2"/>
      <c r="I580" s="2"/>
      <c r="J580" s="3" t="s">
        <v>350</v>
      </c>
      <c r="K580" s="1" t="s">
        <v>351</v>
      </c>
      <c r="L580" s="1" t="s">
        <v>2</v>
      </c>
      <c r="M580" s="1" t="s">
        <v>2</v>
      </c>
      <c r="O580" s="2"/>
      <c r="P580" s="2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pans="1:32" s="1" customFormat="1" ht="20.25" customHeight="1" x14ac:dyDescent="0.25">
      <c r="A581" s="2"/>
      <c r="B581" s="2"/>
      <c r="C581" s="2"/>
      <c r="D581" s="2">
        <f>COUNTIF(contact[[#This Row],[Bagossy]:[Szo
03:00 - 10:00]],"=~?")</f>
        <v>0</v>
      </c>
      <c r="E581" s="2">
        <f>COUNTIF(contact[[#This Row],[Bagossy]:[Szo
03:00 - 10:00]],"=x")</f>
        <v>0</v>
      </c>
      <c r="F581" s="2">
        <f>SUM(contact[[#This Row],[?]:[x]])</f>
        <v>0</v>
      </c>
      <c r="G5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81" s="3" t="s">
        <v>3917</v>
      </c>
      <c r="K581" s="1" t="s">
        <v>333</v>
      </c>
      <c r="L581" s="1" t="s">
        <v>2</v>
      </c>
      <c r="M581" s="1" t="s">
        <v>2</v>
      </c>
      <c r="O581" s="2"/>
      <c r="P581" s="2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pans="1:32" s="1" customFormat="1" ht="20.25" customHeight="1" x14ac:dyDescent="0.25">
      <c r="A582" s="2"/>
      <c r="B582" s="2"/>
      <c r="C582" s="2"/>
      <c r="D582" s="2">
        <f>COUNTIF(contact[[#This Row],[Bagossy]:[Szo
03:00 - 10:00]],"=~?")</f>
        <v>0</v>
      </c>
      <c r="E582" s="2">
        <f>COUNTIF(contact[[#This Row],[Bagossy]:[Szo
03:00 - 10:00]],"=x")</f>
        <v>0</v>
      </c>
      <c r="F582" s="2">
        <f>SUM(contact[[#This Row],[?]:[x]])</f>
        <v>0</v>
      </c>
      <c r="G5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82" s="3" t="s">
        <v>353</v>
      </c>
      <c r="K582" s="1" t="s">
        <v>2</v>
      </c>
      <c r="L582" s="1" t="s">
        <v>2</v>
      </c>
      <c r="M582" s="1" t="s">
        <v>2</v>
      </c>
      <c r="O582" s="2"/>
      <c r="P582" s="2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pans="1:32" s="1" customFormat="1" ht="20.25" customHeight="1" x14ac:dyDescent="0.25">
      <c r="A583" s="2"/>
      <c r="B583" s="2"/>
      <c r="C583" s="2"/>
      <c r="D583" s="2">
        <f>COUNTIF(contact[[#This Row],[Bagossy]:[Szo
03:00 - 10:00]],"=~?")</f>
        <v>0</v>
      </c>
      <c r="E583" s="2">
        <f>COUNTIF(contact[[#This Row],[Bagossy]:[Szo
03:00 - 10:00]],"=x")</f>
        <v>0</v>
      </c>
      <c r="F583" s="2">
        <f>SUM(contact[[#This Row],[?]:[x]])</f>
        <v>0</v>
      </c>
      <c r="G5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83" s="3" t="s">
        <v>2289</v>
      </c>
      <c r="K583" s="1" t="s">
        <v>2</v>
      </c>
      <c r="L583" s="1" t="s">
        <v>2</v>
      </c>
      <c r="M583" s="1" t="s">
        <v>2</v>
      </c>
      <c r="O583" s="2"/>
      <c r="P583" s="2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pans="1:32" s="1" customFormat="1" ht="20.25" customHeight="1" x14ac:dyDescent="0.25">
      <c r="A584" s="2"/>
      <c r="B584" s="2"/>
      <c r="C584" s="2"/>
      <c r="D584" s="2">
        <f>COUNTIF(contact[[#This Row],[Bagossy]:[Szo
03:00 - 10:00]],"=~?")</f>
        <v>0</v>
      </c>
      <c r="E584" s="2">
        <f>COUNTIF(contact[[#This Row],[Bagossy]:[Szo
03:00 - 10:00]],"=x")</f>
        <v>0</v>
      </c>
      <c r="F584" s="2">
        <f>SUM(contact[[#This Row],[?]:[x]])</f>
        <v>0</v>
      </c>
      <c r="G5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84" s="3" t="s">
        <v>3648</v>
      </c>
      <c r="K584" s="1" t="s">
        <v>882</v>
      </c>
      <c r="L584" s="1" t="s">
        <v>2</v>
      </c>
      <c r="M584" s="1" t="s">
        <v>2</v>
      </c>
      <c r="O584" s="2"/>
      <c r="P584" s="2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spans="1:32" s="1" customFormat="1" ht="20.25" customHeight="1" x14ac:dyDescent="0.25">
      <c r="A585" s="2"/>
      <c r="B585" s="2"/>
      <c r="C585" s="2"/>
      <c r="D585" s="2">
        <f>COUNTIF(contact[[#This Row],[Bagossy]:[Szo
03:00 - 10:00]],"=~?")</f>
        <v>0</v>
      </c>
      <c r="E585" s="2">
        <f>COUNTIF(contact[[#This Row],[Bagossy]:[Szo
03:00 - 10:00]],"=x")</f>
        <v>0</v>
      </c>
      <c r="F585" s="2">
        <f>SUM(contact[[#This Row],[?]:[x]])</f>
        <v>0</v>
      </c>
      <c r="G5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85" s="3" t="s">
        <v>3745</v>
      </c>
      <c r="K585" s="1" t="s">
        <v>426</v>
      </c>
      <c r="L585" s="1" t="s">
        <v>2</v>
      </c>
      <c r="M585" s="1" t="s">
        <v>2</v>
      </c>
      <c r="O585" s="2"/>
      <c r="P585" s="2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spans="1:32" s="1" customFormat="1" ht="20.25" customHeight="1" x14ac:dyDescent="0.25">
      <c r="A586" s="2"/>
      <c r="B586" s="2"/>
      <c r="C586" s="2"/>
      <c r="D586" s="2">
        <f>COUNTIF(contact[[#This Row],[Bagossy]:[Szo
03:00 - 10:00]],"=~?")</f>
        <v>0</v>
      </c>
      <c r="E586" s="2">
        <f>COUNTIF(contact[[#This Row],[Bagossy]:[Szo
03:00 - 10:00]],"=x")</f>
        <v>0</v>
      </c>
      <c r="F586" s="2">
        <f>SUM(contact[[#This Row],[?]:[x]])</f>
        <v>0</v>
      </c>
      <c r="G5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86" s="2"/>
      <c r="I586" s="2"/>
      <c r="J586" s="3" t="s">
        <v>2482</v>
      </c>
      <c r="K586" s="1" t="s">
        <v>1422</v>
      </c>
      <c r="L586" s="1" t="s">
        <v>2</v>
      </c>
      <c r="M586" s="1" t="s">
        <v>2</v>
      </c>
      <c r="O586" s="2"/>
      <c r="P586" s="2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spans="1:32" s="1" customFormat="1" ht="20.25" customHeight="1" x14ac:dyDescent="0.25">
      <c r="A587" s="2"/>
      <c r="B587" s="2"/>
      <c r="C587" s="2"/>
      <c r="D587" s="2">
        <f>COUNTIF(contact[[#This Row],[Bagossy]:[Szo
03:00 - 10:00]],"=~?")</f>
        <v>0</v>
      </c>
      <c r="E587" s="2">
        <f>COUNTIF(contact[[#This Row],[Bagossy]:[Szo
03:00 - 10:00]],"=x")</f>
        <v>0</v>
      </c>
      <c r="F587" s="2">
        <f>SUM(contact[[#This Row],[?]:[x]])</f>
        <v>0</v>
      </c>
      <c r="G5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87" s="2"/>
      <c r="I587" s="2"/>
      <c r="J587" s="3" t="s">
        <v>2483</v>
      </c>
      <c r="K587" s="1" t="s">
        <v>1423</v>
      </c>
      <c r="L587" s="1" t="s">
        <v>2</v>
      </c>
      <c r="M587" s="1" t="s">
        <v>2</v>
      </c>
      <c r="O587" s="2"/>
      <c r="P587" s="2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spans="1:32" s="1" customFormat="1" ht="20.25" customHeight="1" x14ac:dyDescent="0.25">
      <c r="A588" s="2"/>
      <c r="B588" s="2"/>
      <c r="C588" s="2"/>
      <c r="D588" s="2">
        <f>COUNTIF(contact[[#This Row],[Bagossy]:[Szo
03:00 - 10:00]],"=~?")</f>
        <v>0</v>
      </c>
      <c r="E588" s="2">
        <f>COUNTIF(contact[[#This Row],[Bagossy]:[Szo
03:00 - 10:00]],"=x")</f>
        <v>0</v>
      </c>
      <c r="F588" s="2">
        <f>SUM(contact[[#This Row],[?]:[x]])</f>
        <v>0</v>
      </c>
      <c r="G5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88" s="2"/>
      <c r="I588" s="2"/>
      <c r="J588" s="3" t="s">
        <v>2483</v>
      </c>
      <c r="K588" s="1" t="s">
        <v>1427</v>
      </c>
      <c r="L588" s="1" t="s">
        <v>2</v>
      </c>
      <c r="M588" s="1" t="s">
        <v>2</v>
      </c>
      <c r="O588" s="2"/>
      <c r="P588" s="2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spans="1:32" s="1" customFormat="1" ht="20.25" customHeight="1" x14ac:dyDescent="0.25">
      <c r="A589" s="2"/>
      <c r="B589" s="2"/>
      <c r="C589" s="2"/>
      <c r="D589" s="2">
        <f>COUNTIF(contact[[#This Row],[Bagossy]:[Szo
03:00 - 10:00]],"=~?")</f>
        <v>0</v>
      </c>
      <c r="E589" s="2">
        <f>COUNTIF(contact[[#This Row],[Bagossy]:[Szo
03:00 - 10:00]],"=x")</f>
        <v>0</v>
      </c>
      <c r="F589" s="2">
        <f>SUM(contact[[#This Row],[?]:[x]])</f>
        <v>0</v>
      </c>
      <c r="G5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89" s="3" t="s">
        <v>3318</v>
      </c>
      <c r="K589" s="1" t="s">
        <v>2</v>
      </c>
      <c r="L589" s="1" t="s">
        <v>2</v>
      </c>
      <c r="M589" s="1" t="s">
        <v>2</v>
      </c>
      <c r="O589" s="2"/>
      <c r="P589" s="2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spans="1:32" s="1" customFormat="1" ht="20.25" customHeight="1" x14ac:dyDescent="0.25">
      <c r="A590" s="2"/>
      <c r="B590" s="2"/>
      <c r="C590" s="2"/>
      <c r="D590" s="2">
        <f>COUNTIF(contact[[#This Row],[Bagossy]:[Szo
03:00 - 10:00]],"=~?")</f>
        <v>0</v>
      </c>
      <c r="E590" s="2">
        <f>COUNTIF(contact[[#This Row],[Bagossy]:[Szo
03:00 - 10:00]],"=x")</f>
        <v>0</v>
      </c>
      <c r="F590" s="2">
        <f>SUM(contact[[#This Row],[?]:[x]])</f>
        <v>0</v>
      </c>
      <c r="G5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0" s="3" t="s">
        <v>3871</v>
      </c>
      <c r="K590" s="1" t="s">
        <v>2</v>
      </c>
      <c r="L590" s="1" t="s">
        <v>2</v>
      </c>
      <c r="M590" s="1" t="s">
        <v>2</v>
      </c>
      <c r="O590" s="2"/>
      <c r="P590" s="2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spans="1:32" s="1" customFormat="1" ht="20.25" customHeight="1" x14ac:dyDescent="0.25">
      <c r="A591" s="2"/>
      <c r="B591" s="2"/>
      <c r="C591" s="2"/>
      <c r="D591" s="2">
        <f>COUNTIF(contact[[#This Row],[Bagossy]:[Szo
03:00 - 10:00]],"=~?")</f>
        <v>0</v>
      </c>
      <c r="E591" s="2">
        <f>COUNTIF(contact[[#This Row],[Bagossy]:[Szo
03:00 - 10:00]],"=x")</f>
        <v>0</v>
      </c>
      <c r="F591" s="2">
        <f>SUM(contact[[#This Row],[?]:[x]])</f>
        <v>0</v>
      </c>
      <c r="G5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1" s="3" t="s">
        <v>3667</v>
      </c>
      <c r="K591" s="1" t="s">
        <v>2</v>
      </c>
      <c r="L591" s="1" t="s">
        <v>2</v>
      </c>
      <c r="M591" s="1" t="s">
        <v>2</v>
      </c>
      <c r="O591" s="2"/>
      <c r="P591" s="2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spans="1:32" s="1" customFormat="1" ht="20.25" customHeight="1" x14ac:dyDescent="0.25">
      <c r="A592" s="2"/>
      <c r="B592" s="2"/>
      <c r="C592" s="2"/>
      <c r="D592" s="2">
        <f>COUNTIF(contact[[#This Row],[Bagossy]:[Szo
03:00 - 10:00]],"=~?")</f>
        <v>0</v>
      </c>
      <c r="E592" s="2">
        <f>COUNTIF(contact[[#This Row],[Bagossy]:[Szo
03:00 - 10:00]],"=x")</f>
        <v>0</v>
      </c>
      <c r="F592" s="2">
        <f>SUM(contact[[#This Row],[?]:[x]])</f>
        <v>0</v>
      </c>
      <c r="G5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2" s="3" t="s">
        <v>4190</v>
      </c>
      <c r="K592" s="1" t="s">
        <v>1137</v>
      </c>
      <c r="L592" s="1" t="s">
        <v>2</v>
      </c>
      <c r="M592" s="1" t="s">
        <v>2</v>
      </c>
      <c r="O592" s="2"/>
      <c r="P592" s="2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spans="1:32" s="1" customFormat="1" ht="20.25" customHeight="1" x14ac:dyDescent="0.25">
      <c r="A593" s="2"/>
      <c r="B593" s="2"/>
      <c r="C593" s="2"/>
      <c r="D593" s="2">
        <f>COUNTIF(contact[[#This Row],[Bagossy]:[Szo
03:00 - 10:00]],"=~?")</f>
        <v>0</v>
      </c>
      <c r="E593" s="2">
        <f>COUNTIF(contact[[#This Row],[Bagossy]:[Szo
03:00 - 10:00]],"=x")</f>
        <v>0</v>
      </c>
      <c r="F593" s="2">
        <f>SUM(contact[[#This Row],[?]:[x]])</f>
        <v>0</v>
      </c>
      <c r="G5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3" s="3" t="s">
        <v>368</v>
      </c>
      <c r="K593" s="1" t="s">
        <v>2</v>
      </c>
      <c r="L593" s="1" t="s">
        <v>2</v>
      </c>
      <c r="M593" s="1" t="s">
        <v>2</v>
      </c>
      <c r="O593" s="2"/>
      <c r="P593" s="2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spans="1:32" s="1" customFormat="1" ht="20.25" customHeight="1" x14ac:dyDescent="0.25">
      <c r="A594" s="2"/>
      <c r="B594" s="2"/>
      <c r="C594" s="2"/>
      <c r="D594" s="2">
        <f>COUNTIF(contact[[#This Row],[Bagossy]:[Szo
03:00 - 10:00]],"=~?")</f>
        <v>0</v>
      </c>
      <c r="E594" s="2">
        <f>COUNTIF(contact[[#This Row],[Bagossy]:[Szo
03:00 - 10:00]],"=x")</f>
        <v>0</v>
      </c>
      <c r="F594" s="2">
        <f>SUM(contact[[#This Row],[?]:[x]])</f>
        <v>0</v>
      </c>
      <c r="G5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4" s="3" t="s">
        <v>4038</v>
      </c>
      <c r="K594" s="1" t="s">
        <v>1075</v>
      </c>
      <c r="L594" s="1" t="s">
        <v>2</v>
      </c>
      <c r="M594" s="1" t="s">
        <v>2</v>
      </c>
      <c r="O594" s="2"/>
      <c r="P594" s="2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spans="1:32" s="1" customFormat="1" ht="20.25" customHeight="1" x14ac:dyDescent="0.25">
      <c r="A595" s="2"/>
      <c r="B595" s="2"/>
      <c r="C595" s="2"/>
      <c r="D595" s="2">
        <f>COUNTIF(contact[[#This Row],[Bagossy]:[Szo
03:00 - 10:00]],"=~?")</f>
        <v>0</v>
      </c>
      <c r="E595" s="2">
        <f>COUNTIF(contact[[#This Row],[Bagossy]:[Szo
03:00 - 10:00]],"=x")</f>
        <v>0</v>
      </c>
      <c r="F595" s="2">
        <f>SUM(contact[[#This Row],[?]:[x]])</f>
        <v>0</v>
      </c>
      <c r="G5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5" s="3" t="s">
        <v>2487</v>
      </c>
      <c r="K595" s="1" t="s">
        <v>1425</v>
      </c>
      <c r="L595" s="1" t="s">
        <v>2</v>
      </c>
      <c r="M595" s="1" t="s">
        <v>2</v>
      </c>
      <c r="O595" s="2"/>
      <c r="P595" s="2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spans="1:32" s="1" customFormat="1" ht="20.25" customHeight="1" x14ac:dyDescent="0.25">
      <c r="A596" s="2"/>
      <c r="B596" s="2"/>
      <c r="C596" s="2"/>
      <c r="D596" s="2">
        <f>COUNTIF(contact[[#This Row],[Bagossy]:[Szo
03:00 - 10:00]],"=~?")</f>
        <v>0</v>
      </c>
      <c r="E596" s="2">
        <f>COUNTIF(contact[[#This Row],[Bagossy]:[Szo
03:00 - 10:00]],"=x")</f>
        <v>0</v>
      </c>
      <c r="F596" s="2">
        <f>SUM(contact[[#This Row],[?]:[x]])</f>
        <v>0</v>
      </c>
      <c r="G5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6" s="3" t="s">
        <v>2612</v>
      </c>
      <c r="K596" s="1" t="s">
        <v>2</v>
      </c>
      <c r="L596" s="1" t="s">
        <v>2</v>
      </c>
      <c r="M596" s="1" t="s">
        <v>2</v>
      </c>
      <c r="O596" s="2"/>
      <c r="P596" s="2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spans="1:32" s="1" customFormat="1" ht="20.25" customHeight="1" x14ac:dyDescent="0.25">
      <c r="A597" s="2"/>
      <c r="B597" s="2"/>
      <c r="C597" s="2"/>
      <c r="D597" s="2">
        <f>COUNTIF(contact[[#This Row],[Bagossy]:[Szo
03:00 - 10:00]],"=~?")</f>
        <v>0</v>
      </c>
      <c r="E597" s="2">
        <f>COUNTIF(contact[[#This Row],[Bagossy]:[Szo
03:00 - 10:00]],"=x")</f>
        <v>0</v>
      </c>
      <c r="F597" s="2">
        <f>SUM(contact[[#This Row],[?]:[x]])</f>
        <v>0</v>
      </c>
      <c r="G5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7" s="3" t="s">
        <v>3443</v>
      </c>
      <c r="K597" s="1" t="s">
        <v>798</v>
      </c>
      <c r="L597" s="1" t="s">
        <v>2</v>
      </c>
      <c r="M597" s="1" t="s">
        <v>2</v>
      </c>
      <c r="O597" s="2"/>
      <c r="P597" s="2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spans="1:32" s="1" customFormat="1" ht="20.25" customHeight="1" x14ac:dyDescent="0.25">
      <c r="A598" s="2"/>
      <c r="B598" s="2"/>
      <c r="C598" s="2"/>
      <c r="D598" s="2">
        <f>COUNTIF(contact[[#This Row],[Bagossy]:[Szo
03:00 - 10:00]],"=~?")</f>
        <v>0</v>
      </c>
      <c r="E598" s="2">
        <f>COUNTIF(contact[[#This Row],[Bagossy]:[Szo
03:00 - 10:00]],"=x")</f>
        <v>0</v>
      </c>
      <c r="F598" s="2">
        <f>SUM(contact[[#This Row],[?]:[x]])</f>
        <v>0</v>
      </c>
      <c r="G5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598" s="2"/>
      <c r="I598" s="2"/>
      <c r="J598" s="3" t="s">
        <v>2499</v>
      </c>
      <c r="K598" s="1" t="s">
        <v>1429</v>
      </c>
      <c r="L598" s="1" t="s">
        <v>2</v>
      </c>
      <c r="M598" s="1" t="s">
        <v>2</v>
      </c>
      <c r="O598" s="2"/>
      <c r="P598" s="2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spans="1:32" s="1" customFormat="1" ht="20.25" customHeight="1" x14ac:dyDescent="0.25">
      <c r="A599" s="2"/>
      <c r="B599" s="2"/>
      <c r="C599" s="2"/>
      <c r="D599" s="2">
        <f>COUNTIF(contact[[#This Row],[Bagossy]:[Szo
03:00 - 10:00]],"=~?")</f>
        <v>0</v>
      </c>
      <c r="E599" s="2">
        <f>COUNTIF(contact[[#This Row],[Bagossy]:[Szo
03:00 - 10:00]],"=x")</f>
        <v>0</v>
      </c>
      <c r="F599" s="2">
        <f>SUM(contact[[#This Row],[?]:[x]])</f>
        <v>0</v>
      </c>
      <c r="G5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599" s="3" t="s">
        <v>3011</v>
      </c>
      <c r="K599" s="1" t="s">
        <v>1536</v>
      </c>
      <c r="L599" s="1" t="s">
        <v>2</v>
      </c>
      <c r="M599" s="1" t="s">
        <v>2</v>
      </c>
      <c r="O599" s="2"/>
      <c r="P599" s="2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spans="1:32" s="1" customFormat="1" ht="20.25" customHeight="1" x14ac:dyDescent="0.25">
      <c r="A600" s="2"/>
      <c r="B600" s="2"/>
      <c r="C600" s="2"/>
      <c r="D600" s="2">
        <f>COUNTIF(contact[[#This Row],[Bagossy]:[Szo
03:00 - 10:00]],"=~?")</f>
        <v>0</v>
      </c>
      <c r="E600" s="2">
        <f>COUNTIF(contact[[#This Row],[Bagossy]:[Szo
03:00 - 10:00]],"=x")</f>
        <v>0</v>
      </c>
      <c r="F600" s="2">
        <f>SUM(contact[[#This Row],[?]:[x]])</f>
        <v>0</v>
      </c>
      <c r="G6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0" s="3" t="s">
        <v>3158</v>
      </c>
      <c r="K600" s="1" t="s">
        <v>1327</v>
      </c>
      <c r="L600" s="1" t="s">
        <v>2</v>
      </c>
      <c r="M600" s="1" t="s">
        <v>2</v>
      </c>
      <c r="O600" s="2"/>
      <c r="P600" s="2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spans="1:32" s="1" customFormat="1" ht="20.25" customHeight="1" x14ac:dyDescent="0.25">
      <c r="A601" s="2" t="s">
        <v>1285</v>
      </c>
      <c r="B601" s="2" t="s">
        <v>1285</v>
      </c>
      <c r="C601" s="2" t="s">
        <v>1285</v>
      </c>
      <c r="D601" s="2">
        <f>COUNTIF(contact[[#This Row],[Bagossy]:[Szo
03:00 - 10:00]],"=~?")</f>
        <v>1</v>
      </c>
      <c r="E601" s="2">
        <f>COUNTIF(contact[[#This Row],[Bagossy]:[Szo
03:00 - 10:00]],"=x")</f>
        <v>3</v>
      </c>
      <c r="F601" s="2">
        <f>SUM(contact[[#This Row],[?]:[x]])</f>
        <v>4</v>
      </c>
      <c r="G6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01" s="2" t="s">
        <v>4620</v>
      </c>
      <c r="I601" s="2" t="s">
        <v>1285</v>
      </c>
      <c r="J601" s="3" t="s">
        <v>2500</v>
      </c>
      <c r="K601" s="1" t="s">
        <v>1430</v>
      </c>
      <c r="L601" s="1" t="s">
        <v>2</v>
      </c>
      <c r="M601" s="1" t="s">
        <v>2</v>
      </c>
      <c r="N601" s="2" t="s">
        <v>4612</v>
      </c>
      <c r="O601" s="2" t="s">
        <v>1285</v>
      </c>
      <c r="P601" s="2"/>
      <c r="Q601" s="6"/>
      <c r="R601" s="6"/>
      <c r="S601" s="6"/>
      <c r="T601" s="6"/>
      <c r="U601" s="6"/>
      <c r="V601" s="6"/>
      <c r="W601" s="6" t="s">
        <v>1285</v>
      </c>
      <c r="X601" s="6"/>
      <c r="Y601" s="6"/>
      <c r="Z601" s="6"/>
      <c r="AA601" s="6"/>
      <c r="AB601" s="6" t="s">
        <v>1285</v>
      </c>
      <c r="AC601" s="6" t="s">
        <v>4616</v>
      </c>
      <c r="AD601" s="6"/>
      <c r="AE601" s="6"/>
      <c r="AF601" s="6"/>
    </row>
    <row r="602" spans="1:32" s="1" customFormat="1" ht="20.25" customHeight="1" x14ac:dyDescent="0.25">
      <c r="A602" s="2"/>
      <c r="B602" s="2"/>
      <c r="C602" s="2"/>
      <c r="D602" s="2">
        <f>COUNTIF(contact[[#This Row],[Bagossy]:[Szo
03:00 - 10:00]],"=~?")</f>
        <v>0</v>
      </c>
      <c r="E602" s="2">
        <f>COUNTIF(contact[[#This Row],[Bagossy]:[Szo
03:00 - 10:00]],"=x")</f>
        <v>0</v>
      </c>
      <c r="F602" s="2">
        <f>SUM(contact[[#This Row],[?]:[x]])</f>
        <v>0</v>
      </c>
      <c r="G6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2" s="3" t="s">
        <v>2081</v>
      </c>
      <c r="K602" s="1" t="s">
        <v>1293</v>
      </c>
      <c r="L602" s="1" t="s">
        <v>2</v>
      </c>
      <c r="M602" s="1" t="s">
        <v>2</v>
      </c>
      <c r="O602" s="2"/>
      <c r="P602" s="2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spans="1:32" s="1" customFormat="1" ht="20.25" customHeight="1" x14ac:dyDescent="0.25">
      <c r="A603" s="2"/>
      <c r="B603" s="2"/>
      <c r="C603" s="2"/>
      <c r="D603" s="2">
        <f>COUNTIF(contact[[#This Row],[Bagossy]:[Szo
03:00 - 10:00]],"=~?")</f>
        <v>0</v>
      </c>
      <c r="E603" s="2">
        <f>COUNTIF(contact[[#This Row],[Bagossy]:[Szo
03:00 - 10:00]],"=x")</f>
        <v>0</v>
      </c>
      <c r="F603" s="2">
        <f>SUM(contact[[#This Row],[?]:[x]])</f>
        <v>0</v>
      </c>
      <c r="G6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3" s="3" t="s">
        <v>2108</v>
      </c>
      <c r="K603" s="1" t="s">
        <v>117</v>
      </c>
      <c r="L603" s="1" t="s">
        <v>2</v>
      </c>
      <c r="M603" s="1" t="s">
        <v>2</v>
      </c>
      <c r="O603" s="2"/>
      <c r="P603" s="2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spans="1:32" s="1" customFormat="1" ht="20.25" customHeight="1" x14ac:dyDescent="0.25">
      <c r="A604" s="2"/>
      <c r="B604" s="2"/>
      <c r="C604" s="2"/>
      <c r="D604" s="2">
        <f>COUNTIF(contact[[#This Row],[Bagossy]:[Szo
03:00 - 10:00]],"=~?")</f>
        <v>0</v>
      </c>
      <c r="E604" s="2">
        <f>COUNTIF(contact[[#This Row],[Bagossy]:[Szo
03:00 - 10:00]],"=x")</f>
        <v>0</v>
      </c>
      <c r="F604" s="2">
        <f>SUM(contact[[#This Row],[?]:[x]])</f>
        <v>0</v>
      </c>
      <c r="G6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4" s="3" t="s">
        <v>3668</v>
      </c>
      <c r="K604" s="1" t="s">
        <v>2</v>
      </c>
      <c r="L604" s="1" t="s">
        <v>2</v>
      </c>
      <c r="M604" s="1" t="s">
        <v>2</v>
      </c>
      <c r="O604" s="2"/>
      <c r="P604" s="2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spans="1:32" s="1" customFormat="1" ht="20.25" customHeight="1" x14ac:dyDescent="0.25">
      <c r="A605" s="2"/>
      <c r="B605" s="2"/>
      <c r="C605" s="2"/>
      <c r="D605" s="2">
        <f>COUNTIF(contact[[#This Row],[Bagossy]:[Szo
03:00 - 10:00]],"=~?")</f>
        <v>0</v>
      </c>
      <c r="E605" s="2">
        <f>COUNTIF(contact[[#This Row],[Bagossy]:[Szo
03:00 - 10:00]],"=x")</f>
        <v>0</v>
      </c>
      <c r="F605" s="2">
        <f>SUM(contact[[#This Row],[?]:[x]])</f>
        <v>0</v>
      </c>
      <c r="G6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05" s="2"/>
      <c r="I605" s="2"/>
      <c r="J605" s="3" t="s">
        <v>2503</v>
      </c>
      <c r="K605" s="1" t="s">
        <v>6</v>
      </c>
      <c r="L605" s="1" t="s">
        <v>2</v>
      </c>
      <c r="M605" s="1" t="s">
        <v>2</v>
      </c>
      <c r="O605" s="2"/>
      <c r="P605" s="2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spans="1:32" s="1" customFormat="1" ht="20.25" customHeight="1" x14ac:dyDescent="0.25">
      <c r="A606" s="2"/>
      <c r="B606" s="2"/>
      <c r="C606" s="2"/>
      <c r="D606" s="2">
        <f>COUNTIF(contact[[#This Row],[Bagossy]:[Szo
03:00 - 10:00]],"=~?")</f>
        <v>0</v>
      </c>
      <c r="E606" s="2">
        <f>COUNTIF(contact[[#This Row],[Bagossy]:[Szo
03:00 - 10:00]],"=x")</f>
        <v>0</v>
      </c>
      <c r="F606" s="2">
        <f>SUM(contact[[#This Row],[?]:[x]])</f>
        <v>0</v>
      </c>
      <c r="G6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6" s="3" t="s">
        <v>3075</v>
      </c>
      <c r="K606" s="1" t="s">
        <v>2</v>
      </c>
      <c r="L606" s="1" t="s">
        <v>2</v>
      </c>
      <c r="M606" s="1" t="s">
        <v>2</v>
      </c>
      <c r="O606" s="2"/>
      <c r="P606" s="2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spans="1:32" s="1" customFormat="1" ht="20.25" customHeight="1" x14ac:dyDescent="0.25">
      <c r="A607" s="2"/>
      <c r="B607" s="2"/>
      <c r="C607" s="2"/>
      <c r="D607" s="2">
        <f>COUNTIF(contact[[#This Row],[Bagossy]:[Szo
03:00 - 10:00]],"=~?")</f>
        <v>0</v>
      </c>
      <c r="E607" s="2">
        <f>COUNTIF(contact[[#This Row],[Bagossy]:[Szo
03:00 - 10:00]],"=x")</f>
        <v>0</v>
      </c>
      <c r="F607" s="2">
        <f>SUM(contact[[#This Row],[?]:[x]])</f>
        <v>0</v>
      </c>
      <c r="G6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7" s="3" t="s">
        <v>3657</v>
      </c>
      <c r="K607" s="1" t="s">
        <v>1313</v>
      </c>
      <c r="L607" s="1" t="s">
        <v>2</v>
      </c>
      <c r="M607" s="1" t="s">
        <v>2</v>
      </c>
      <c r="O607" s="2"/>
      <c r="P607" s="2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spans="1:32" s="1" customFormat="1" ht="20.25" customHeight="1" x14ac:dyDescent="0.25">
      <c r="A608" s="2"/>
      <c r="B608" s="2"/>
      <c r="C608" s="2"/>
      <c r="D608" s="2">
        <f>COUNTIF(contact[[#This Row],[Bagossy]:[Szo
03:00 - 10:00]],"=~?")</f>
        <v>0</v>
      </c>
      <c r="E608" s="2">
        <f>COUNTIF(contact[[#This Row],[Bagossy]:[Szo
03:00 - 10:00]],"=x")</f>
        <v>0</v>
      </c>
      <c r="F608" s="2">
        <f>SUM(contact[[#This Row],[?]:[x]])</f>
        <v>0</v>
      </c>
      <c r="G6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08" s="3" t="s">
        <v>3028</v>
      </c>
      <c r="K608" s="1" t="s">
        <v>2</v>
      </c>
      <c r="L608" s="1" t="s">
        <v>2</v>
      </c>
      <c r="M608" s="1" t="s">
        <v>2</v>
      </c>
      <c r="O608" s="2"/>
      <c r="P608" s="2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spans="1:32" s="1" customFormat="1" ht="20.25" customHeight="1" x14ac:dyDescent="0.25">
      <c r="A609" s="2" t="s">
        <v>1285</v>
      </c>
      <c r="B609" s="2" t="s">
        <v>1285</v>
      </c>
      <c r="C609" s="2" t="s">
        <v>1285</v>
      </c>
      <c r="D609" s="2">
        <f>COUNTIF(contact[[#This Row],[Bagossy]:[Szo
03:00 - 10:00]],"=~?")</f>
        <v>0</v>
      </c>
      <c r="E609" s="2">
        <f>COUNTIF(contact[[#This Row],[Bagossy]:[Szo
03:00 - 10:00]],"=x")</f>
        <v>0</v>
      </c>
      <c r="F609" s="2">
        <f>SUM(contact[[#This Row],[?]:[x]])</f>
        <v>0</v>
      </c>
      <c r="G6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09" s="2" t="s">
        <v>4632</v>
      </c>
      <c r="I609" s="2"/>
      <c r="J609" s="3" t="s">
        <v>2511</v>
      </c>
      <c r="K609" s="1" t="s">
        <v>64</v>
      </c>
      <c r="L609" s="1" t="s">
        <v>2</v>
      </c>
      <c r="M609" s="1" t="s">
        <v>2</v>
      </c>
      <c r="N609" s="2" t="s">
        <v>4612</v>
      </c>
      <c r="O609" s="2"/>
      <c r="P609" s="2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spans="1:32" s="1" customFormat="1" ht="20.25" customHeight="1" x14ac:dyDescent="0.25">
      <c r="A610" s="2"/>
      <c r="B610" s="2"/>
      <c r="C610" s="2" t="s">
        <v>1285</v>
      </c>
      <c r="D610" s="2">
        <f>COUNTIF(contact[[#This Row],[Bagossy]:[Szo
03:00 - 10:00]],"=~?")</f>
        <v>0</v>
      </c>
      <c r="E610" s="2">
        <f>COUNTIF(contact[[#This Row],[Bagossy]:[Szo
03:00 - 10:00]],"=x")</f>
        <v>0</v>
      </c>
      <c r="F610" s="2">
        <f>SUM(contact[[#This Row],[?]:[x]])</f>
        <v>0</v>
      </c>
      <c r="G6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10" s="2"/>
      <c r="I610" s="2"/>
      <c r="J610" s="3" t="s">
        <v>109</v>
      </c>
      <c r="K610" s="1" t="s">
        <v>1435</v>
      </c>
      <c r="L610" s="1" t="s">
        <v>2</v>
      </c>
      <c r="M610" s="1" t="s">
        <v>2</v>
      </c>
      <c r="O610" s="2"/>
      <c r="P610" s="2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spans="1:32" s="1" customFormat="1" ht="20.25" customHeight="1" x14ac:dyDescent="0.25">
      <c r="A611" s="2"/>
      <c r="B611" s="2"/>
      <c r="C611" s="2"/>
      <c r="D611" s="2">
        <f>COUNTIF(contact[[#This Row],[Bagossy]:[Szo
03:00 - 10:00]],"=~?")</f>
        <v>0</v>
      </c>
      <c r="E611" s="2">
        <f>COUNTIF(contact[[#This Row],[Bagossy]:[Szo
03:00 - 10:00]],"=x")</f>
        <v>0</v>
      </c>
      <c r="F611" s="2">
        <f>SUM(contact[[#This Row],[?]:[x]])</f>
        <v>0</v>
      </c>
      <c r="G6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1" s="3" t="s">
        <v>375</v>
      </c>
      <c r="K611" s="1" t="s">
        <v>2</v>
      </c>
      <c r="L611" s="1" t="s">
        <v>2</v>
      </c>
      <c r="M611" s="1" t="s">
        <v>2</v>
      </c>
      <c r="O611" s="2"/>
      <c r="P611" s="2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spans="1:32" s="1" customFormat="1" ht="20.25" customHeight="1" x14ac:dyDescent="0.25">
      <c r="A612" s="2"/>
      <c r="B612" s="2"/>
      <c r="C612" s="2"/>
      <c r="D612" s="2">
        <f>COUNTIF(contact[[#This Row],[Bagossy]:[Szo
03:00 - 10:00]],"=~?")</f>
        <v>0</v>
      </c>
      <c r="E612" s="2">
        <f>COUNTIF(contact[[#This Row],[Bagossy]:[Szo
03:00 - 10:00]],"=x")</f>
        <v>0</v>
      </c>
      <c r="F612" s="2">
        <f>SUM(contact[[#This Row],[?]:[x]])</f>
        <v>0</v>
      </c>
      <c r="G6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2" s="3" t="s">
        <v>4192</v>
      </c>
      <c r="K612" s="1" t="s">
        <v>1138</v>
      </c>
      <c r="L612" s="1" t="s">
        <v>2</v>
      </c>
      <c r="M612" s="1" t="s">
        <v>2</v>
      </c>
      <c r="O612" s="2"/>
      <c r="P612" s="2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spans="1:32" s="1" customFormat="1" ht="20.25" customHeight="1" x14ac:dyDescent="0.25">
      <c r="A613" s="2"/>
      <c r="B613" s="2"/>
      <c r="C613" s="2"/>
      <c r="D613" s="2">
        <f>COUNTIF(contact[[#This Row],[Bagossy]:[Szo
03:00 - 10:00]],"=~?")</f>
        <v>0</v>
      </c>
      <c r="E613" s="2">
        <f>COUNTIF(contact[[#This Row],[Bagossy]:[Szo
03:00 - 10:00]],"=x")</f>
        <v>0</v>
      </c>
      <c r="F613" s="2">
        <f>SUM(contact[[#This Row],[?]:[x]])</f>
        <v>0</v>
      </c>
      <c r="G6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3" s="3" t="s">
        <v>376</v>
      </c>
      <c r="K613" s="1" t="s">
        <v>2</v>
      </c>
      <c r="L613" s="1" t="s">
        <v>2</v>
      </c>
      <c r="M613" s="1" t="s">
        <v>2</v>
      </c>
      <c r="O613" s="2"/>
      <c r="P613" s="2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spans="1:32" s="1" customFormat="1" ht="20.25" customHeight="1" x14ac:dyDescent="0.25">
      <c r="A614" s="2"/>
      <c r="B614" s="2"/>
      <c r="C614" s="2"/>
      <c r="D614" s="2">
        <f>COUNTIF(contact[[#This Row],[Bagossy]:[Szo
03:00 - 10:00]],"=~?")</f>
        <v>0</v>
      </c>
      <c r="E614" s="2">
        <f>COUNTIF(contact[[#This Row],[Bagossy]:[Szo
03:00 - 10:00]],"=x")</f>
        <v>0</v>
      </c>
      <c r="F614" s="2">
        <f>SUM(contact[[#This Row],[?]:[x]])</f>
        <v>0</v>
      </c>
      <c r="G6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4" s="3" t="s">
        <v>3076</v>
      </c>
      <c r="K614" s="1" t="s">
        <v>2</v>
      </c>
      <c r="L614" s="1" t="s">
        <v>2</v>
      </c>
      <c r="M614" s="1" t="s">
        <v>2</v>
      </c>
      <c r="O614" s="2"/>
      <c r="P614" s="2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spans="1:32" s="1" customFormat="1" ht="20.25" customHeight="1" x14ac:dyDescent="0.25">
      <c r="A615" s="2"/>
      <c r="B615" s="2"/>
      <c r="C615" s="2"/>
      <c r="D615" s="2">
        <f>COUNTIF(contact[[#This Row],[Bagossy]:[Szo
03:00 - 10:00]],"=~?")</f>
        <v>0</v>
      </c>
      <c r="E615" s="2">
        <f>COUNTIF(contact[[#This Row],[Bagossy]:[Szo
03:00 - 10:00]],"=x")</f>
        <v>0</v>
      </c>
      <c r="F615" s="2">
        <f>SUM(contact[[#This Row],[?]:[x]])</f>
        <v>0</v>
      </c>
      <c r="G6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5" s="3" t="s">
        <v>4193</v>
      </c>
      <c r="K615" s="1" t="s">
        <v>1139</v>
      </c>
      <c r="L615" s="1" t="s">
        <v>2</v>
      </c>
      <c r="M615" s="1" t="s">
        <v>2</v>
      </c>
      <c r="O615" s="2"/>
      <c r="P615" s="2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spans="1:32" s="1" customFormat="1" ht="20.25" customHeight="1" x14ac:dyDescent="0.25">
      <c r="A616" s="2"/>
      <c r="B616" s="2"/>
      <c r="C616" s="2"/>
      <c r="D616" s="2">
        <f>COUNTIF(contact[[#This Row],[Bagossy]:[Szo
03:00 - 10:00]],"=~?")</f>
        <v>0</v>
      </c>
      <c r="E616" s="2">
        <f>COUNTIF(contact[[#This Row],[Bagossy]:[Szo
03:00 - 10:00]],"=x")</f>
        <v>0</v>
      </c>
      <c r="F616" s="2">
        <f>SUM(contact[[#This Row],[?]:[x]])</f>
        <v>0</v>
      </c>
      <c r="G6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6" s="3" t="s">
        <v>3243</v>
      </c>
      <c r="K616" s="1" t="s">
        <v>708</v>
      </c>
      <c r="L616" s="1" t="s">
        <v>2</v>
      </c>
      <c r="M616" s="1" t="s">
        <v>2</v>
      </c>
      <c r="O616" s="2"/>
      <c r="P616" s="2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spans="1:32" s="1" customFormat="1" ht="20.25" customHeight="1" x14ac:dyDescent="0.25">
      <c r="A617" s="2"/>
      <c r="B617" s="2"/>
      <c r="C617" s="2"/>
      <c r="D617" s="2">
        <f>COUNTIF(contact[[#This Row],[Bagossy]:[Szo
03:00 - 10:00]],"=~?")</f>
        <v>0</v>
      </c>
      <c r="E617" s="2">
        <f>COUNTIF(contact[[#This Row],[Bagossy]:[Szo
03:00 - 10:00]],"=x")</f>
        <v>0</v>
      </c>
      <c r="F617" s="2">
        <f>SUM(contact[[#This Row],[?]:[x]])</f>
        <v>0</v>
      </c>
      <c r="G6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7" s="3" t="s">
        <v>2437</v>
      </c>
      <c r="K617" s="1" t="s">
        <v>308</v>
      </c>
      <c r="L617" s="1" t="s">
        <v>2</v>
      </c>
      <c r="M617" s="1" t="s">
        <v>2</v>
      </c>
      <c r="O617" s="2"/>
      <c r="P617" s="2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spans="1:32" s="1" customFormat="1" ht="20.25" customHeight="1" x14ac:dyDescent="0.25">
      <c r="A618" s="2"/>
      <c r="B618" s="2"/>
      <c r="C618" s="2"/>
      <c r="D618" s="2">
        <f>COUNTIF(contact[[#This Row],[Bagossy]:[Szo
03:00 - 10:00]],"=~?")</f>
        <v>0</v>
      </c>
      <c r="E618" s="2">
        <f>COUNTIF(contact[[#This Row],[Bagossy]:[Szo
03:00 - 10:00]],"=x")</f>
        <v>0</v>
      </c>
      <c r="F618" s="2">
        <f>SUM(contact[[#This Row],[?]:[x]])</f>
        <v>0</v>
      </c>
      <c r="G6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18" s="3" t="s">
        <v>2488</v>
      </c>
      <c r="K618" s="1" t="s">
        <v>339</v>
      </c>
      <c r="L618" s="1" t="s">
        <v>2</v>
      </c>
      <c r="M618" s="1" t="s">
        <v>2</v>
      </c>
      <c r="O618" s="2"/>
      <c r="P618" s="2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spans="1:32" s="1" customFormat="1" ht="20.25" customHeight="1" x14ac:dyDescent="0.25">
      <c r="A619" s="2"/>
      <c r="B619" s="2"/>
      <c r="C619" s="2" t="s">
        <v>1285</v>
      </c>
      <c r="D619" s="2">
        <f>COUNTIF(contact[[#This Row],[Bagossy]:[Szo
03:00 - 10:00]],"=~?")</f>
        <v>0</v>
      </c>
      <c r="E619" s="2">
        <f>COUNTIF(contact[[#This Row],[Bagossy]:[Szo
03:00 - 10:00]],"=x")</f>
        <v>0</v>
      </c>
      <c r="F619" s="2">
        <f>SUM(contact[[#This Row],[?]:[x]])</f>
        <v>0</v>
      </c>
      <c r="G6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19" s="2"/>
      <c r="I619" s="2"/>
      <c r="J619" s="3" t="s">
        <v>2520</v>
      </c>
      <c r="K619" s="1" t="s">
        <v>95</v>
      </c>
      <c r="L619" s="1" t="s">
        <v>2</v>
      </c>
      <c r="M619" s="1" t="s">
        <v>2</v>
      </c>
      <c r="O619" s="2"/>
      <c r="P619" s="2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spans="1:32" s="1" customFormat="1" ht="20.25" customHeight="1" x14ac:dyDescent="0.25">
      <c r="A620" s="2"/>
      <c r="B620" s="2"/>
      <c r="C620" s="2"/>
      <c r="D620" s="2">
        <f>COUNTIF(contact[[#This Row],[Bagossy]:[Szo
03:00 - 10:00]],"=~?")</f>
        <v>0</v>
      </c>
      <c r="E620" s="2">
        <f>COUNTIF(contact[[#This Row],[Bagossy]:[Szo
03:00 - 10:00]],"=x")</f>
        <v>0</v>
      </c>
      <c r="F620" s="2">
        <f>SUM(contact[[#This Row],[?]:[x]])</f>
        <v>0</v>
      </c>
      <c r="G6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20" s="2"/>
      <c r="I620" s="2"/>
      <c r="J620" s="3" t="s">
        <v>2524</v>
      </c>
      <c r="K620" s="1" t="s">
        <v>1140</v>
      </c>
      <c r="L620" s="1" t="s">
        <v>2</v>
      </c>
      <c r="M620" s="1" t="s">
        <v>2</v>
      </c>
      <c r="O620" s="2"/>
      <c r="P620" s="2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spans="1:32" s="1" customFormat="1" ht="20.25" customHeight="1" x14ac:dyDescent="0.25">
      <c r="A621" s="2"/>
      <c r="B621" s="2"/>
      <c r="C621" s="2"/>
      <c r="D621" s="2">
        <f>COUNTIF(contact[[#This Row],[Bagossy]:[Szo
03:00 - 10:00]],"=~?")</f>
        <v>0</v>
      </c>
      <c r="E621" s="2">
        <f>COUNTIF(contact[[#This Row],[Bagossy]:[Szo
03:00 - 10:00]],"=x")</f>
        <v>0</v>
      </c>
      <c r="F621" s="2">
        <f>SUM(contact[[#This Row],[?]:[x]])</f>
        <v>0</v>
      </c>
      <c r="G6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1" s="3" t="s">
        <v>2430</v>
      </c>
      <c r="K621" s="1" t="s">
        <v>2</v>
      </c>
      <c r="L621" s="1" t="s">
        <v>2</v>
      </c>
      <c r="M621" s="1" t="s">
        <v>2</v>
      </c>
      <c r="O621" s="2"/>
      <c r="P621" s="2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spans="1:32" s="1" customFormat="1" ht="20.25" customHeight="1" x14ac:dyDescent="0.25">
      <c r="A622" s="2"/>
      <c r="B622" s="2"/>
      <c r="C622" s="2"/>
      <c r="D622" s="2">
        <f>COUNTIF(contact[[#This Row],[Bagossy]:[Szo
03:00 - 10:00]],"=~?")</f>
        <v>0</v>
      </c>
      <c r="E622" s="2">
        <f>COUNTIF(contact[[#This Row],[Bagossy]:[Szo
03:00 - 10:00]],"=x")</f>
        <v>0</v>
      </c>
      <c r="F622" s="2">
        <f>SUM(contact[[#This Row],[?]:[x]])</f>
        <v>0</v>
      </c>
      <c r="G6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2" s="3" t="s">
        <v>2823</v>
      </c>
      <c r="K622" s="1" t="s">
        <v>1494</v>
      </c>
      <c r="L622" s="1" t="s">
        <v>2</v>
      </c>
      <c r="M622" s="1" t="s">
        <v>2</v>
      </c>
      <c r="O622" s="2"/>
      <c r="P622" s="2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spans="1:32" s="1" customFormat="1" ht="20.25" customHeight="1" x14ac:dyDescent="0.25">
      <c r="A623" s="2"/>
      <c r="B623" s="2"/>
      <c r="C623" s="2"/>
      <c r="D623" s="2">
        <f>COUNTIF(contact[[#This Row],[Bagossy]:[Szo
03:00 - 10:00]],"=~?")</f>
        <v>0</v>
      </c>
      <c r="E623" s="2">
        <f>COUNTIF(contact[[#This Row],[Bagossy]:[Szo
03:00 - 10:00]],"=x")</f>
        <v>0</v>
      </c>
      <c r="F623" s="2">
        <f>SUM(contact[[#This Row],[?]:[x]])</f>
        <v>0</v>
      </c>
      <c r="G6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3" s="3" t="s">
        <v>384</v>
      </c>
      <c r="K623" s="1" t="s">
        <v>385</v>
      </c>
      <c r="L623" s="1" t="s">
        <v>2</v>
      </c>
      <c r="M623" s="1" t="s">
        <v>2</v>
      </c>
      <c r="O623" s="2"/>
      <c r="P623" s="2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spans="1:32" s="1" customFormat="1" ht="20.25" customHeight="1" x14ac:dyDescent="0.25">
      <c r="A624" s="2"/>
      <c r="B624" s="2"/>
      <c r="C624" s="2"/>
      <c r="D624" s="2">
        <f>COUNTIF(contact[[#This Row],[Bagossy]:[Szo
03:00 - 10:00]],"=~?")</f>
        <v>0</v>
      </c>
      <c r="E624" s="2">
        <f>COUNTIF(contact[[#This Row],[Bagossy]:[Szo
03:00 - 10:00]],"=x")</f>
        <v>0</v>
      </c>
      <c r="F624" s="2">
        <f>SUM(contact[[#This Row],[?]:[x]])</f>
        <v>0</v>
      </c>
      <c r="G6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4" s="3" t="s">
        <v>4107</v>
      </c>
      <c r="K624" s="1" t="s">
        <v>2</v>
      </c>
      <c r="L624" s="1" t="s">
        <v>2</v>
      </c>
      <c r="M624" s="1" t="s">
        <v>2</v>
      </c>
      <c r="O624" s="2"/>
      <c r="P624" s="2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spans="1:32" s="1" customFormat="1" ht="20.25" customHeight="1" x14ac:dyDescent="0.25">
      <c r="A625" s="2"/>
      <c r="B625" s="2"/>
      <c r="C625" s="2"/>
      <c r="D625" s="2">
        <f>COUNTIF(contact[[#This Row],[Bagossy]:[Szo
03:00 - 10:00]],"=~?")</f>
        <v>0</v>
      </c>
      <c r="E625" s="2">
        <f>COUNTIF(contact[[#This Row],[Bagossy]:[Szo
03:00 - 10:00]],"=x")</f>
        <v>0</v>
      </c>
      <c r="F625" s="2">
        <f>SUM(contact[[#This Row],[?]:[x]])</f>
        <v>0</v>
      </c>
      <c r="G6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5" s="3" t="s">
        <v>2996</v>
      </c>
      <c r="K625" s="1" t="s">
        <v>2</v>
      </c>
      <c r="L625" s="1" t="s">
        <v>2</v>
      </c>
      <c r="M625" s="1" t="s">
        <v>2</v>
      </c>
      <c r="O625" s="2"/>
      <c r="P625" s="2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spans="1:32" s="1" customFormat="1" ht="20.25" customHeight="1" x14ac:dyDescent="0.25">
      <c r="A626" s="2"/>
      <c r="B626" s="2"/>
      <c r="C626" s="2"/>
      <c r="D626" s="2">
        <f>COUNTIF(contact[[#This Row],[Bagossy]:[Szo
03:00 - 10:00]],"=~?")</f>
        <v>0</v>
      </c>
      <c r="E626" s="2">
        <f>COUNTIF(contact[[#This Row],[Bagossy]:[Szo
03:00 - 10:00]],"=x")</f>
        <v>0</v>
      </c>
      <c r="F626" s="2">
        <f>SUM(contact[[#This Row],[?]:[x]])</f>
        <v>0</v>
      </c>
      <c r="G6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6" s="3" t="s">
        <v>3737</v>
      </c>
      <c r="K626" s="1" t="s">
        <v>921</v>
      </c>
      <c r="L626" s="1" t="s">
        <v>2</v>
      </c>
      <c r="M626" s="1" t="s">
        <v>2</v>
      </c>
      <c r="O626" s="2"/>
      <c r="P626" s="2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spans="1:32" s="1" customFormat="1" ht="20.25" customHeight="1" x14ac:dyDescent="0.25">
      <c r="A627" s="2"/>
      <c r="B627" s="2"/>
      <c r="C627" s="2"/>
      <c r="D627" s="2">
        <f>COUNTIF(contact[[#This Row],[Bagossy]:[Szo
03:00 - 10:00]],"=~?")</f>
        <v>0</v>
      </c>
      <c r="E627" s="2">
        <f>COUNTIF(contact[[#This Row],[Bagossy]:[Szo
03:00 - 10:00]],"=x")</f>
        <v>0</v>
      </c>
      <c r="F627" s="2">
        <f>SUM(contact[[#This Row],[?]:[x]])</f>
        <v>0</v>
      </c>
      <c r="G6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7" s="3" t="s">
        <v>2927</v>
      </c>
      <c r="K627" s="1" t="s">
        <v>561</v>
      </c>
      <c r="L627" s="1" t="s">
        <v>2</v>
      </c>
      <c r="M627" s="1" t="s">
        <v>2</v>
      </c>
      <c r="O627" s="2"/>
      <c r="P627" s="2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spans="1:32" s="1" customFormat="1" ht="20.25" customHeight="1" x14ac:dyDescent="0.25">
      <c r="A628" s="2"/>
      <c r="B628" s="2"/>
      <c r="C628" s="2"/>
      <c r="D628" s="2">
        <f>COUNTIF(contact[[#This Row],[Bagossy]:[Szo
03:00 - 10:00]],"=~?")</f>
        <v>0</v>
      </c>
      <c r="E628" s="2">
        <f>COUNTIF(contact[[#This Row],[Bagossy]:[Szo
03:00 - 10:00]],"=x")</f>
        <v>0</v>
      </c>
      <c r="F628" s="2">
        <f>SUM(contact[[#This Row],[?]:[x]])</f>
        <v>0</v>
      </c>
      <c r="G6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28" s="3" t="s">
        <v>2927</v>
      </c>
      <c r="K628" s="1" t="s">
        <v>562</v>
      </c>
      <c r="L628" s="1" t="s">
        <v>2</v>
      </c>
      <c r="M628" s="1" t="s">
        <v>2</v>
      </c>
      <c r="O628" s="2"/>
      <c r="P628" s="2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spans="1:32" s="1" customFormat="1" ht="20.25" customHeight="1" x14ac:dyDescent="0.25">
      <c r="A629" s="2"/>
      <c r="B629" s="2"/>
      <c r="C629" s="2" t="s">
        <v>1285</v>
      </c>
      <c r="D629" s="2">
        <f>COUNTIF(contact[[#This Row],[Bagossy]:[Szo
03:00 - 10:00]],"=~?")</f>
        <v>0</v>
      </c>
      <c r="E629" s="2">
        <f>COUNTIF(contact[[#This Row],[Bagossy]:[Szo
03:00 - 10:00]],"=x")</f>
        <v>0</v>
      </c>
      <c r="F629" s="2">
        <f>SUM(contact[[#This Row],[?]:[x]])</f>
        <v>0</v>
      </c>
      <c r="G6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29" s="2"/>
      <c r="I629" s="2"/>
      <c r="J629" s="3" t="s">
        <v>2527</v>
      </c>
      <c r="K629" s="1" t="s">
        <v>13</v>
      </c>
      <c r="L629" s="1" t="s">
        <v>2</v>
      </c>
      <c r="M629" s="1" t="s">
        <v>2</v>
      </c>
      <c r="O629" s="2"/>
      <c r="P629" s="2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spans="1:32" s="1" customFormat="1" ht="20.25" customHeight="1" x14ac:dyDescent="0.25">
      <c r="A630" s="2"/>
      <c r="B630" s="2"/>
      <c r="C630" s="2"/>
      <c r="D630" s="2">
        <f>COUNTIF(contact[[#This Row],[Bagossy]:[Szo
03:00 - 10:00]],"=~?")</f>
        <v>0</v>
      </c>
      <c r="E630" s="2">
        <f>COUNTIF(contact[[#This Row],[Bagossy]:[Szo
03:00 - 10:00]],"=x")</f>
        <v>0</v>
      </c>
      <c r="F630" s="2">
        <f>SUM(contact[[#This Row],[?]:[x]])</f>
        <v>0</v>
      </c>
      <c r="G6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30" s="2"/>
      <c r="I630" s="2"/>
      <c r="J630" s="3" t="s">
        <v>2535</v>
      </c>
      <c r="K630" s="1" t="s">
        <v>91</v>
      </c>
      <c r="L630" s="1" t="s">
        <v>2</v>
      </c>
      <c r="M630" s="1" t="s">
        <v>2</v>
      </c>
      <c r="O630" s="2"/>
      <c r="P630" s="2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spans="1:32" s="1" customFormat="1" ht="20.25" customHeight="1" x14ac:dyDescent="0.25">
      <c r="A631" s="2"/>
      <c r="B631" s="2"/>
      <c r="C631" s="2"/>
      <c r="D631" s="2">
        <f>COUNTIF(contact[[#This Row],[Bagossy]:[Szo
03:00 - 10:00]],"=~?")</f>
        <v>0</v>
      </c>
      <c r="E631" s="2">
        <f>COUNTIF(contact[[#This Row],[Bagossy]:[Szo
03:00 - 10:00]],"=x")</f>
        <v>0</v>
      </c>
      <c r="F631" s="2">
        <f>SUM(contact[[#This Row],[?]:[x]])</f>
        <v>0</v>
      </c>
      <c r="G6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31" s="3" t="s">
        <v>2700</v>
      </c>
      <c r="K631" s="1" t="s">
        <v>451</v>
      </c>
      <c r="L631" s="1" t="s">
        <v>2</v>
      </c>
      <c r="M631" s="1" t="s">
        <v>2</v>
      </c>
      <c r="O631" s="2"/>
      <c r="P631" s="2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spans="1:32" s="1" customFormat="1" ht="20.25" customHeight="1" x14ac:dyDescent="0.25">
      <c r="A632" s="2"/>
      <c r="B632" s="2"/>
      <c r="C632" s="2"/>
      <c r="D632" s="2">
        <f>COUNTIF(contact[[#This Row],[Bagossy]:[Szo
03:00 - 10:00]],"=~?")</f>
        <v>0</v>
      </c>
      <c r="E632" s="2">
        <f>COUNTIF(contact[[#This Row],[Bagossy]:[Szo
03:00 - 10:00]],"=x")</f>
        <v>0</v>
      </c>
      <c r="F632" s="2">
        <f>SUM(contact[[#This Row],[?]:[x]])</f>
        <v>0</v>
      </c>
      <c r="G6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32" s="2"/>
      <c r="I632" s="2"/>
      <c r="J632" s="3" t="s">
        <v>2538</v>
      </c>
      <c r="K632" s="1" t="s">
        <v>511</v>
      </c>
      <c r="L632" s="1" t="s">
        <v>2</v>
      </c>
      <c r="M632" s="1" t="s">
        <v>2</v>
      </c>
      <c r="O632" s="2"/>
      <c r="P632" s="2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spans="1:32" s="1" customFormat="1" ht="20.25" customHeight="1" x14ac:dyDescent="0.25">
      <c r="A633" s="2"/>
      <c r="B633" s="2"/>
      <c r="C633" s="2"/>
      <c r="D633" s="2">
        <f>COUNTIF(contact[[#This Row],[Bagossy]:[Szo
03:00 - 10:00]],"=~?")</f>
        <v>0</v>
      </c>
      <c r="E633" s="2">
        <f>COUNTIF(contact[[#This Row],[Bagossy]:[Szo
03:00 - 10:00]],"=x")</f>
        <v>0</v>
      </c>
      <c r="F633" s="2">
        <f>SUM(contact[[#This Row],[?]:[x]])</f>
        <v>0</v>
      </c>
      <c r="G6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33" s="3" t="s">
        <v>2962</v>
      </c>
      <c r="K633" s="1" t="s">
        <v>2</v>
      </c>
      <c r="L633" s="1" t="s">
        <v>2</v>
      </c>
      <c r="M633" s="1" t="s">
        <v>2</v>
      </c>
      <c r="O633" s="2"/>
      <c r="P633" s="2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spans="1:32" s="1" customFormat="1" ht="20.25" customHeight="1" x14ac:dyDescent="0.25">
      <c r="A634" s="2"/>
      <c r="B634" s="2"/>
      <c r="C634" s="2"/>
      <c r="D634" s="2">
        <f>COUNTIF(contact[[#This Row],[Bagossy]:[Szo
03:00 - 10:00]],"=~?")</f>
        <v>0</v>
      </c>
      <c r="E634" s="2">
        <f>COUNTIF(contact[[#This Row],[Bagossy]:[Szo
03:00 - 10:00]],"=x")</f>
        <v>0</v>
      </c>
      <c r="F634" s="2">
        <f>SUM(contact[[#This Row],[?]:[x]])</f>
        <v>0</v>
      </c>
      <c r="G6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34" s="2"/>
      <c r="I634" s="2"/>
      <c r="J634" s="3" t="s">
        <v>2545</v>
      </c>
      <c r="K634" s="1" t="s">
        <v>1376</v>
      </c>
      <c r="L634" s="1" t="s">
        <v>2</v>
      </c>
      <c r="M634" s="1" t="s">
        <v>2</v>
      </c>
      <c r="O634" s="2"/>
      <c r="P634" s="2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spans="1:32" s="1" customFormat="1" ht="20.25" customHeight="1" x14ac:dyDescent="0.25">
      <c r="A635" s="2"/>
      <c r="B635" s="2"/>
      <c r="C635" s="2"/>
      <c r="D635" s="2">
        <f>COUNTIF(contact[[#This Row],[Bagossy]:[Szo
03:00 - 10:00]],"=~?")</f>
        <v>0</v>
      </c>
      <c r="E635" s="2">
        <f>COUNTIF(contact[[#This Row],[Bagossy]:[Szo
03:00 - 10:00]],"=x")</f>
        <v>0</v>
      </c>
      <c r="F635" s="2">
        <f>SUM(contact[[#This Row],[?]:[x]])</f>
        <v>0</v>
      </c>
      <c r="G6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35" s="3" t="s">
        <v>2284</v>
      </c>
      <c r="K635" s="1" t="s">
        <v>1382</v>
      </c>
      <c r="L635" s="1" t="s">
        <v>2</v>
      </c>
      <c r="M635" s="1" t="s">
        <v>2</v>
      </c>
      <c r="O635" s="2"/>
      <c r="P635" s="2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spans="1:32" s="1" customFormat="1" ht="20.25" customHeight="1" x14ac:dyDescent="0.25">
      <c r="A636" s="2"/>
      <c r="B636" s="2"/>
      <c r="C636" s="2"/>
      <c r="D636" s="2">
        <f>COUNTIF(contact[[#This Row],[Bagossy]:[Szo
03:00 - 10:00]],"=~?")</f>
        <v>0</v>
      </c>
      <c r="E636" s="2">
        <f>COUNTIF(contact[[#This Row],[Bagossy]:[Szo
03:00 - 10:00]],"=x")</f>
        <v>0</v>
      </c>
      <c r="F636" s="2">
        <f>SUM(contact[[#This Row],[?]:[x]])</f>
        <v>0</v>
      </c>
      <c r="G6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36" s="3" t="s">
        <v>3077</v>
      </c>
      <c r="K636" s="1" t="s">
        <v>1557</v>
      </c>
      <c r="L636" s="1" t="s">
        <v>2</v>
      </c>
      <c r="M636" s="1" t="s">
        <v>2</v>
      </c>
      <c r="O636" s="2"/>
      <c r="P636" s="2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spans="1:32" s="1" customFormat="1" ht="20.25" customHeight="1" x14ac:dyDescent="0.25">
      <c r="A637" s="2"/>
      <c r="B637" s="2"/>
      <c r="C637" s="2"/>
      <c r="D637" s="2">
        <f>COUNTIF(contact[[#This Row],[Bagossy]:[Szo
03:00 - 10:00]],"=~?")</f>
        <v>0</v>
      </c>
      <c r="E637" s="2">
        <f>COUNTIF(contact[[#This Row],[Bagossy]:[Szo
03:00 - 10:00]],"=x")</f>
        <v>0</v>
      </c>
      <c r="F637" s="2">
        <f>SUM(contact[[#This Row],[?]:[x]])</f>
        <v>0</v>
      </c>
      <c r="G6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37" s="2"/>
      <c r="I637" s="2"/>
      <c r="J637" s="3" t="s">
        <v>2547</v>
      </c>
      <c r="K637" s="1" t="s">
        <v>853</v>
      </c>
      <c r="L637" s="1" t="s">
        <v>2</v>
      </c>
      <c r="M637" s="1" t="s">
        <v>2</v>
      </c>
      <c r="O637" s="2"/>
      <c r="P637" s="2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spans="1:32" s="1" customFormat="1" ht="20.25" customHeight="1" x14ac:dyDescent="0.25">
      <c r="A638" s="2"/>
      <c r="B638" s="2"/>
      <c r="C638" s="2"/>
      <c r="D638" s="2">
        <f>COUNTIF(contact[[#This Row],[Bagossy]:[Szo
03:00 - 10:00]],"=~?")</f>
        <v>0</v>
      </c>
      <c r="E638" s="2">
        <f>COUNTIF(contact[[#This Row],[Bagossy]:[Szo
03:00 - 10:00]],"=x")</f>
        <v>0</v>
      </c>
      <c r="F638" s="2">
        <f>SUM(contact[[#This Row],[?]:[x]])</f>
        <v>0</v>
      </c>
      <c r="G6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38" s="3" t="s">
        <v>3051</v>
      </c>
      <c r="K638" s="1" t="s">
        <v>621</v>
      </c>
      <c r="L638" s="1" t="s">
        <v>2</v>
      </c>
      <c r="M638" s="1" t="s">
        <v>2</v>
      </c>
      <c r="O638" s="2"/>
      <c r="P638" s="2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spans="1:32" s="1" customFormat="1" ht="20.25" customHeight="1" x14ac:dyDescent="0.25">
      <c r="A639" s="2"/>
      <c r="B639" s="2"/>
      <c r="C639" s="2"/>
      <c r="D639" s="2">
        <f>COUNTIF(contact[[#This Row],[Bagossy]:[Szo
03:00 - 10:00]],"=~?")</f>
        <v>0</v>
      </c>
      <c r="E639" s="2">
        <f>COUNTIF(contact[[#This Row],[Bagossy]:[Szo
03:00 - 10:00]],"=x")</f>
        <v>0</v>
      </c>
      <c r="F639" s="2">
        <f>SUM(contact[[#This Row],[?]:[x]])</f>
        <v>0</v>
      </c>
      <c r="G6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39" s="3" t="s">
        <v>2825</v>
      </c>
      <c r="K639" s="1" t="s">
        <v>2</v>
      </c>
      <c r="L639" s="1" t="s">
        <v>2</v>
      </c>
      <c r="M639" s="1" t="s">
        <v>2</v>
      </c>
      <c r="O639" s="2"/>
      <c r="P639" s="2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spans="1:32" s="1" customFormat="1" ht="20.25" customHeight="1" x14ac:dyDescent="0.25">
      <c r="A640" s="2"/>
      <c r="B640" s="2"/>
      <c r="C640" s="2"/>
      <c r="D640" s="2">
        <f>COUNTIF(contact[[#This Row],[Bagossy]:[Szo
03:00 - 10:00]],"=~?")</f>
        <v>0</v>
      </c>
      <c r="E640" s="2">
        <f>COUNTIF(contact[[#This Row],[Bagossy]:[Szo
03:00 - 10:00]],"=x")</f>
        <v>0</v>
      </c>
      <c r="F640" s="2">
        <f>SUM(contact[[#This Row],[?]:[x]])</f>
        <v>0</v>
      </c>
      <c r="G6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40" s="2"/>
      <c r="I640" s="2"/>
      <c r="J640" s="3" t="s">
        <v>2552</v>
      </c>
      <c r="K640" s="1" t="s">
        <v>1445</v>
      </c>
      <c r="L640" s="1" t="s">
        <v>2</v>
      </c>
      <c r="M640" s="1" t="s">
        <v>2</v>
      </c>
      <c r="O640" s="2"/>
      <c r="P640" s="2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spans="1:32" s="1" customFormat="1" ht="20.25" customHeight="1" x14ac:dyDescent="0.25">
      <c r="A641" s="2"/>
      <c r="B641" s="2"/>
      <c r="C641" s="2"/>
      <c r="D641" s="2">
        <f>COUNTIF(contact[[#This Row],[Bagossy]:[Szo
03:00 - 10:00]],"=~?")</f>
        <v>0</v>
      </c>
      <c r="E641" s="2">
        <f>COUNTIF(contact[[#This Row],[Bagossy]:[Szo
03:00 - 10:00]],"=x")</f>
        <v>0</v>
      </c>
      <c r="F641" s="2">
        <f>SUM(contact[[#This Row],[?]:[x]])</f>
        <v>0</v>
      </c>
      <c r="G6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1" s="3" t="s">
        <v>4171</v>
      </c>
      <c r="K641" s="1" t="s">
        <v>1128</v>
      </c>
      <c r="L641" s="1" t="s">
        <v>2</v>
      </c>
      <c r="M641" s="1" t="s">
        <v>2</v>
      </c>
      <c r="O641" s="2"/>
      <c r="P641" s="2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spans="1:32" s="1" customFormat="1" ht="20.25" customHeight="1" x14ac:dyDescent="0.25">
      <c r="A642" s="2"/>
      <c r="B642" s="2"/>
      <c r="C642" s="2"/>
      <c r="D642" s="2">
        <f>COUNTIF(contact[[#This Row],[Bagossy]:[Szo
03:00 - 10:00]],"=~?")</f>
        <v>0</v>
      </c>
      <c r="E642" s="2">
        <f>COUNTIF(contact[[#This Row],[Bagossy]:[Szo
03:00 - 10:00]],"=x")</f>
        <v>0</v>
      </c>
      <c r="F642" s="2">
        <f>SUM(contact[[#This Row],[?]:[x]])</f>
        <v>0</v>
      </c>
      <c r="G6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2" s="3" t="s">
        <v>3588</v>
      </c>
      <c r="K642" s="1" t="s">
        <v>2</v>
      </c>
      <c r="L642" s="1" t="s">
        <v>2</v>
      </c>
      <c r="M642" s="1" t="s">
        <v>2</v>
      </c>
      <c r="O642" s="2"/>
      <c r="P642" s="2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spans="1:32" s="1" customFormat="1" ht="20.25" customHeight="1" x14ac:dyDescent="0.25">
      <c r="A643" s="2"/>
      <c r="B643" s="2"/>
      <c r="C643" s="2"/>
      <c r="D643" s="2">
        <f>COUNTIF(contact[[#This Row],[Bagossy]:[Szo
03:00 - 10:00]],"=~?")</f>
        <v>0</v>
      </c>
      <c r="E643" s="2">
        <f>COUNTIF(contact[[#This Row],[Bagossy]:[Szo
03:00 - 10:00]],"=x")</f>
        <v>0</v>
      </c>
      <c r="F643" s="2">
        <f>SUM(contact[[#This Row],[?]:[x]])</f>
        <v>0</v>
      </c>
      <c r="G6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3" s="3" t="s">
        <v>2489</v>
      </c>
      <c r="K643" s="1" t="s">
        <v>340</v>
      </c>
      <c r="L643" s="1" t="s">
        <v>2</v>
      </c>
      <c r="M643" s="1" t="s">
        <v>2</v>
      </c>
      <c r="O643" s="2"/>
      <c r="P643" s="2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spans="1:32" s="1" customFormat="1" ht="20.25" customHeight="1" x14ac:dyDescent="0.25">
      <c r="A644" s="2"/>
      <c r="B644" s="2" t="s">
        <v>1285</v>
      </c>
      <c r="C644" s="2" t="s">
        <v>1285</v>
      </c>
      <c r="D644" s="2">
        <f>COUNTIF(contact[[#This Row],[Bagossy]:[Szo
03:00 - 10:00]],"=~?")</f>
        <v>0</v>
      </c>
      <c r="E644" s="2">
        <f>COUNTIF(contact[[#This Row],[Bagossy]:[Szo
03:00 - 10:00]],"=x")</f>
        <v>0</v>
      </c>
      <c r="F644" s="2">
        <f>SUM(contact[[#This Row],[?]:[x]])</f>
        <v>0</v>
      </c>
      <c r="G6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44" s="2" t="s">
        <v>4616</v>
      </c>
      <c r="I644" s="2"/>
      <c r="J644" s="3" t="s">
        <v>2557</v>
      </c>
      <c r="K644" s="1" t="s">
        <v>1447</v>
      </c>
      <c r="L644" s="1" t="s">
        <v>2</v>
      </c>
      <c r="M644" s="1" t="s">
        <v>2</v>
      </c>
      <c r="O644" s="2"/>
      <c r="P644" s="2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spans="1:32" s="1" customFormat="1" ht="20.25" customHeight="1" x14ac:dyDescent="0.25">
      <c r="A645" s="2"/>
      <c r="B645" s="2"/>
      <c r="C645" s="2"/>
      <c r="D645" s="2">
        <f>COUNTIF(contact[[#This Row],[Bagossy]:[Szo
03:00 - 10:00]],"=~?")</f>
        <v>0</v>
      </c>
      <c r="E645" s="2">
        <f>COUNTIF(contact[[#This Row],[Bagossy]:[Szo
03:00 - 10:00]],"=x")</f>
        <v>0</v>
      </c>
      <c r="F645" s="2">
        <f>SUM(contact[[#This Row],[?]:[x]])</f>
        <v>0</v>
      </c>
      <c r="G6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5" s="3" t="s">
        <v>3872</v>
      </c>
      <c r="K645" s="1" t="s">
        <v>177</v>
      </c>
      <c r="L645" s="1" t="s">
        <v>2</v>
      </c>
      <c r="M645" s="1" t="s">
        <v>2</v>
      </c>
      <c r="O645" s="2"/>
      <c r="P645" s="2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spans="1:32" s="1" customFormat="1" ht="20.25" customHeight="1" x14ac:dyDescent="0.25">
      <c r="A646" s="2"/>
      <c r="B646" s="2"/>
      <c r="C646" s="2"/>
      <c r="D646" s="2">
        <f>COUNTIF(contact[[#This Row],[Bagossy]:[Szo
03:00 - 10:00]],"=~?")</f>
        <v>0</v>
      </c>
      <c r="E646" s="2">
        <f>COUNTIF(contact[[#This Row],[Bagossy]:[Szo
03:00 - 10:00]],"=x")</f>
        <v>0</v>
      </c>
      <c r="F646" s="2">
        <f>SUM(contact[[#This Row],[?]:[x]])</f>
        <v>0</v>
      </c>
      <c r="G6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6" s="3" t="s">
        <v>2490</v>
      </c>
      <c r="K646" s="1" t="s">
        <v>1293</v>
      </c>
      <c r="L646" s="1" t="s">
        <v>2</v>
      </c>
      <c r="M646" s="1" t="s">
        <v>2</v>
      </c>
      <c r="O646" s="2"/>
      <c r="P646" s="2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spans="1:32" s="1" customFormat="1" ht="20.25" customHeight="1" x14ac:dyDescent="0.25">
      <c r="A647" s="2"/>
      <c r="B647" s="2"/>
      <c r="C647" s="2"/>
      <c r="D647" s="2">
        <f>COUNTIF(contact[[#This Row],[Bagossy]:[Szo
03:00 - 10:00]],"=~?")</f>
        <v>0</v>
      </c>
      <c r="E647" s="2">
        <f>COUNTIF(contact[[#This Row],[Bagossy]:[Szo
03:00 - 10:00]],"=x")</f>
        <v>0</v>
      </c>
      <c r="F647" s="2">
        <f>SUM(contact[[#This Row],[?]:[x]])</f>
        <v>0</v>
      </c>
      <c r="G6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7" s="3" t="s">
        <v>1916</v>
      </c>
      <c r="K647" s="1" t="s">
        <v>14</v>
      </c>
      <c r="L647" s="1" t="s">
        <v>2</v>
      </c>
      <c r="M647" s="1" t="s">
        <v>2</v>
      </c>
      <c r="O647" s="2"/>
      <c r="P647" s="2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spans="1:32" s="1" customFormat="1" ht="20.25" customHeight="1" x14ac:dyDescent="0.25">
      <c r="A648" s="2"/>
      <c r="B648" s="2"/>
      <c r="C648" s="2"/>
      <c r="D648" s="2">
        <f>COUNTIF(contact[[#This Row],[Bagossy]:[Szo
03:00 - 10:00]],"=~?")</f>
        <v>0</v>
      </c>
      <c r="E648" s="2">
        <f>COUNTIF(contact[[#This Row],[Bagossy]:[Szo
03:00 - 10:00]],"=x")</f>
        <v>0</v>
      </c>
      <c r="F648" s="2">
        <f>SUM(contact[[#This Row],[?]:[x]])</f>
        <v>0</v>
      </c>
      <c r="G6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8" s="3" t="s">
        <v>389</v>
      </c>
      <c r="K648" s="1" t="s">
        <v>389</v>
      </c>
      <c r="L648" s="1" t="s">
        <v>2</v>
      </c>
      <c r="M648" s="1" t="s">
        <v>2</v>
      </c>
      <c r="O648" s="2"/>
      <c r="P648" s="2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spans="1:32" s="1" customFormat="1" ht="20.25" customHeight="1" x14ac:dyDescent="0.25">
      <c r="A649" s="2"/>
      <c r="B649" s="2"/>
      <c r="C649" s="2"/>
      <c r="D649" s="2">
        <f>COUNTIF(contact[[#This Row],[Bagossy]:[Szo
03:00 - 10:00]],"=~?")</f>
        <v>0</v>
      </c>
      <c r="E649" s="2">
        <f>COUNTIF(contact[[#This Row],[Bagossy]:[Szo
03:00 - 10:00]],"=x")</f>
        <v>0</v>
      </c>
      <c r="F649" s="2">
        <f>SUM(contact[[#This Row],[?]:[x]])</f>
        <v>0</v>
      </c>
      <c r="G6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49" s="3" t="s">
        <v>3733</v>
      </c>
      <c r="K649" s="1" t="s">
        <v>2</v>
      </c>
      <c r="L649" s="1" t="s">
        <v>2</v>
      </c>
      <c r="M649" s="1" t="s">
        <v>2</v>
      </c>
      <c r="O649" s="2"/>
      <c r="P649" s="2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spans="1:32" s="1" customFormat="1" ht="20.25" customHeight="1" x14ac:dyDescent="0.25">
      <c r="A650" s="2"/>
      <c r="B650" s="2"/>
      <c r="C650" s="2"/>
      <c r="D650" s="2">
        <f>COUNTIF(contact[[#This Row],[Bagossy]:[Szo
03:00 - 10:00]],"=~?")</f>
        <v>0</v>
      </c>
      <c r="E650" s="2">
        <f>COUNTIF(contact[[#This Row],[Bagossy]:[Szo
03:00 - 10:00]],"=x")</f>
        <v>0</v>
      </c>
      <c r="F650" s="2">
        <f>SUM(contact[[#This Row],[?]:[x]])</f>
        <v>0</v>
      </c>
      <c r="G6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50" s="2"/>
      <c r="I650" s="2"/>
      <c r="J650" s="3" t="s">
        <v>2563</v>
      </c>
      <c r="K650" s="1" t="s">
        <v>210</v>
      </c>
      <c r="L650" s="1" t="s">
        <v>2</v>
      </c>
      <c r="M650" s="1" t="s">
        <v>2</v>
      </c>
      <c r="O650" s="2"/>
      <c r="P650" s="2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spans="1:32" s="1" customFormat="1" ht="20.25" customHeight="1" x14ac:dyDescent="0.25">
      <c r="A651" s="2"/>
      <c r="B651" s="2"/>
      <c r="C651" s="2"/>
      <c r="D651" s="2">
        <f>COUNTIF(contact[[#This Row],[Bagossy]:[Szo
03:00 - 10:00]],"=~?")</f>
        <v>0</v>
      </c>
      <c r="E651" s="2">
        <f>COUNTIF(contact[[#This Row],[Bagossy]:[Szo
03:00 - 10:00]],"=x")</f>
        <v>0</v>
      </c>
      <c r="F651" s="2">
        <f>SUM(contact[[#This Row],[?]:[x]])</f>
        <v>0</v>
      </c>
      <c r="G6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51" s="3" t="s">
        <v>398</v>
      </c>
      <c r="K651" s="1" t="s">
        <v>2</v>
      </c>
      <c r="L651" s="1" t="s">
        <v>2</v>
      </c>
      <c r="M651" s="1" t="s">
        <v>2</v>
      </c>
      <c r="O651" s="2"/>
      <c r="P651" s="2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spans="1:32" s="1" customFormat="1" ht="20.25" customHeight="1" x14ac:dyDescent="0.25">
      <c r="A652" s="2"/>
      <c r="B652" s="2"/>
      <c r="C652" s="2"/>
      <c r="D652" s="2">
        <f>COUNTIF(contact[[#This Row],[Bagossy]:[Szo
03:00 - 10:00]],"=~?")</f>
        <v>0</v>
      </c>
      <c r="E652" s="2">
        <f>COUNTIF(contact[[#This Row],[Bagossy]:[Szo
03:00 - 10:00]],"=x")</f>
        <v>0</v>
      </c>
      <c r="F652" s="2">
        <f>SUM(contact[[#This Row],[?]:[x]])</f>
        <v>0</v>
      </c>
      <c r="G6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52" s="3" t="s">
        <v>397</v>
      </c>
      <c r="K652" s="1" t="s">
        <v>2</v>
      </c>
      <c r="L652" s="1" t="s">
        <v>2</v>
      </c>
      <c r="M652" s="1" t="s">
        <v>2</v>
      </c>
      <c r="O652" s="2"/>
      <c r="P652" s="2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spans="1:32" s="1" customFormat="1" ht="20.25" customHeight="1" x14ac:dyDescent="0.25">
      <c r="A653" s="2"/>
      <c r="B653" s="2"/>
      <c r="C653" s="2"/>
      <c r="D653" s="2">
        <f>COUNTIF(contact[[#This Row],[Bagossy]:[Szo
03:00 - 10:00]],"=~?")</f>
        <v>0</v>
      </c>
      <c r="E653" s="2">
        <f>COUNTIF(contact[[#This Row],[Bagossy]:[Szo
03:00 - 10:00]],"=x")</f>
        <v>0</v>
      </c>
      <c r="F653" s="2">
        <f>SUM(contact[[#This Row],[?]:[x]])</f>
        <v>0</v>
      </c>
      <c r="G6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53" s="3" t="s">
        <v>2109</v>
      </c>
      <c r="K653" s="1" t="s">
        <v>1338</v>
      </c>
      <c r="L653" s="1" t="s">
        <v>2</v>
      </c>
      <c r="M653" s="1" t="s">
        <v>2</v>
      </c>
      <c r="O653" s="2"/>
      <c r="P653" s="2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spans="1:32" s="1" customFormat="1" ht="20.25" customHeight="1" x14ac:dyDescent="0.25">
      <c r="A654" s="2"/>
      <c r="B654" s="2"/>
      <c r="C654" s="2" t="s">
        <v>1285</v>
      </c>
      <c r="D654" s="2">
        <f>COUNTIF(contact[[#This Row],[Bagossy]:[Szo
03:00 - 10:00]],"=~?")</f>
        <v>0</v>
      </c>
      <c r="E654" s="2">
        <f>COUNTIF(contact[[#This Row],[Bagossy]:[Szo
03:00 - 10:00]],"=x")</f>
        <v>0</v>
      </c>
      <c r="F654" s="2">
        <f>SUM(contact[[#This Row],[?]:[x]])</f>
        <v>0</v>
      </c>
      <c r="G6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54" s="2"/>
      <c r="I654" s="2"/>
      <c r="J654" s="3" t="s">
        <v>2564</v>
      </c>
      <c r="K654" s="1" t="s">
        <v>153</v>
      </c>
      <c r="L654" s="1" t="s">
        <v>2</v>
      </c>
      <c r="M654" s="1" t="s">
        <v>2</v>
      </c>
      <c r="O654" s="2"/>
      <c r="P654" s="2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spans="1:32" s="1" customFormat="1" ht="20.25" customHeight="1" x14ac:dyDescent="0.25">
      <c r="A655" s="2"/>
      <c r="B655" s="2"/>
      <c r="C655" s="2"/>
      <c r="D655" s="2">
        <f>COUNTIF(contact[[#This Row],[Bagossy]:[Szo
03:00 - 10:00]],"=~?")</f>
        <v>0</v>
      </c>
      <c r="E655" s="2">
        <f>COUNTIF(contact[[#This Row],[Bagossy]:[Szo
03:00 - 10:00]],"=x")</f>
        <v>0</v>
      </c>
      <c r="F655" s="2">
        <f>SUM(contact[[#This Row],[?]:[x]])</f>
        <v>0</v>
      </c>
      <c r="G6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55" s="2"/>
      <c r="I655" s="2"/>
      <c r="J655" s="3" t="s">
        <v>2605</v>
      </c>
      <c r="K655" s="1" t="s">
        <v>92</v>
      </c>
      <c r="L655" s="1" t="s">
        <v>2</v>
      </c>
      <c r="M655" s="1" t="s">
        <v>2</v>
      </c>
      <c r="O655" s="2"/>
      <c r="P655" s="2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spans="1:32" s="1" customFormat="1" ht="20.25" customHeight="1" x14ac:dyDescent="0.25">
      <c r="A656" s="2" t="s">
        <v>1285</v>
      </c>
      <c r="B656" s="2" t="s">
        <v>1285</v>
      </c>
      <c r="C656" s="2" t="s">
        <v>1285</v>
      </c>
      <c r="D656" s="2">
        <f>COUNTIF(contact[[#This Row],[Bagossy]:[Szo
03:00 - 10:00]],"=~?")</f>
        <v>0</v>
      </c>
      <c r="E656" s="2">
        <f>COUNTIF(contact[[#This Row],[Bagossy]:[Szo
03:00 - 10:00]],"=x")</f>
        <v>4</v>
      </c>
      <c r="F656" s="2">
        <f>SUM(contact[[#This Row],[?]:[x]])</f>
        <v>4</v>
      </c>
      <c r="G656" s="2">
        <f>COUNTIF(contact[[#This Row],[Sze
10:00 - 22:00]:[Cs
03:00 - 08:00]],"=x")+COUNTIF(contact[[#This Row],[P
08:00 - 12:00]:[P
03:00 - 08:00]],"=x")+COUNTIF(contact[[#This Row],[Szo
08:00 - 12:00]:[Szo
03:00 - 10:00]],"=x")</f>
        <v>3</v>
      </c>
      <c r="H656" s="2" t="s">
        <v>4623</v>
      </c>
      <c r="I656" s="2" t="s">
        <v>4633</v>
      </c>
      <c r="J656" s="3" t="s">
        <v>2626</v>
      </c>
      <c r="K656" s="1" t="s">
        <v>305</v>
      </c>
      <c r="L656" s="1" t="s">
        <v>2</v>
      </c>
      <c r="M656" s="1" t="s">
        <v>2</v>
      </c>
      <c r="N656" s="2" t="s">
        <v>4612</v>
      </c>
      <c r="O656" s="2" t="s">
        <v>1285</v>
      </c>
      <c r="P656" s="2"/>
      <c r="Q656" s="6" t="s">
        <v>1285</v>
      </c>
      <c r="R656" s="6"/>
      <c r="S656" s="6" t="s">
        <v>1285</v>
      </c>
      <c r="T656" s="6" t="s">
        <v>1285</v>
      </c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spans="1:32" s="1" customFormat="1" ht="20.25" customHeight="1" x14ac:dyDescent="0.25">
      <c r="A657" s="2"/>
      <c r="B657" s="2"/>
      <c r="C657" s="2"/>
      <c r="D657" s="2">
        <f>COUNTIF(contact[[#This Row],[Bagossy]:[Szo
03:00 - 10:00]],"=~?")</f>
        <v>0</v>
      </c>
      <c r="E657" s="2">
        <f>COUNTIF(contact[[#This Row],[Bagossy]:[Szo
03:00 - 10:00]],"=x")</f>
        <v>0</v>
      </c>
      <c r="F657" s="2">
        <f>SUM(contact[[#This Row],[?]:[x]])</f>
        <v>0</v>
      </c>
      <c r="G6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57" s="2"/>
      <c r="I657" s="2"/>
      <c r="J657" s="3" t="s">
        <v>2655</v>
      </c>
      <c r="K657" s="1" t="s">
        <v>6</v>
      </c>
      <c r="L657" s="1" t="s">
        <v>2</v>
      </c>
      <c r="M657" s="1" t="s">
        <v>2</v>
      </c>
      <c r="O657" s="2"/>
      <c r="P657" s="2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spans="1:32" s="1" customFormat="1" ht="20.25" customHeight="1" x14ac:dyDescent="0.25">
      <c r="A658" s="2"/>
      <c r="B658" s="2"/>
      <c r="C658" s="2"/>
      <c r="D658" s="2">
        <f>COUNTIF(contact[[#This Row],[Bagossy]:[Szo
03:00 - 10:00]],"=~?")</f>
        <v>0</v>
      </c>
      <c r="E658" s="2">
        <f>COUNTIF(contact[[#This Row],[Bagossy]:[Szo
03:00 - 10:00]],"=x")</f>
        <v>0</v>
      </c>
      <c r="F658" s="2">
        <f>SUM(contact[[#This Row],[?]:[x]])</f>
        <v>0</v>
      </c>
      <c r="G6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58" s="3" t="s">
        <v>2092</v>
      </c>
      <c r="K658" s="1" t="s">
        <v>114</v>
      </c>
      <c r="L658" s="1" t="s">
        <v>2</v>
      </c>
      <c r="M658" s="1" t="s">
        <v>2</v>
      </c>
      <c r="O658" s="2"/>
      <c r="P658" s="2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spans="1:32" s="1" customFormat="1" ht="20.25" customHeight="1" x14ac:dyDescent="0.25">
      <c r="A659" s="2"/>
      <c r="B659" s="2"/>
      <c r="C659" s="2"/>
      <c r="D659" s="2">
        <f>COUNTIF(contact[[#This Row],[Bagossy]:[Szo
03:00 - 10:00]],"=~?")</f>
        <v>0</v>
      </c>
      <c r="E659" s="2">
        <f>COUNTIF(contact[[#This Row],[Bagossy]:[Szo
03:00 - 10:00]],"=x")</f>
        <v>0</v>
      </c>
      <c r="F659" s="2">
        <f>SUM(contact[[#This Row],[?]:[x]])</f>
        <v>0</v>
      </c>
      <c r="G6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59" s="2"/>
      <c r="I659" s="2"/>
      <c r="J659" s="3" t="s">
        <v>2670</v>
      </c>
      <c r="K659" s="1" t="s">
        <v>6</v>
      </c>
      <c r="L659" s="1" t="s">
        <v>2</v>
      </c>
      <c r="M659" s="1" t="s">
        <v>2</v>
      </c>
      <c r="O659" s="2"/>
      <c r="P659" s="2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spans="1:32" s="1" customFormat="1" ht="20.25" customHeight="1" x14ac:dyDescent="0.25">
      <c r="A660" s="2"/>
      <c r="B660" s="2"/>
      <c r="C660" s="2"/>
      <c r="D660" s="2">
        <f>COUNTIF(contact[[#This Row],[Bagossy]:[Szo
03:00 - 10:00]],"=~?")</f>
        <v>0</v>
      </c>
      <c r="E660" s="2">
        <f>COUNTIF(contact[[#This Row],[Bagossy]:[Szo
03:00 - 10:00]],"=x")</f>
        <v>0</v>
      </c>
      <c r="F660" s="2">
        <f>SUM(contact[[#This Row],[?]:[x]])</f>
        <v>0</v>
      </c>
      <c r="G6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0" s="3" t="s">
        <v>3874</v>
      </c>
      <c r="K660" s="1" t="s">
        <v>2</v>
      </c>
      <c r="L660" s="1" t="s">
        <v>2</v>
      </c>
      <c r="M660" s="1" t="s">
        <v>2</v>
      </c>
      <c r="O660" s="2"/>
      <c r="P660" s="2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spans="1:32" s="1" customFormat="1" ht="20.25" customHeight="1" x14ac:dyDescent="0.25">
      <c r="A661" s="2"/>
      <c r="B661" s="2"/>
      <c r="C661" s="2"/>
      <c r="D661" s="2">
        <f>COUNTIF(contact[[#This Row],[Bagossy]:[Szo
03:00 - 10:00]],"=~?")</f>
        <v>0</v>
      </c>
      <c r="E661" s="2">
        <f>COUNTIF(contact[[#This Row],[Bagossy]:[Szo
03:00 - 10:00]],"=x")</f>
        <v>0</v>
      </c>
      <c r="F661" s="2">
        <f>SUM(contact[[#This Row],[?]:[x]])</f>
        <v>0</v>
      </c>
      <c r="G6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1" s="3" t="s">
        <v>2889</v>
      </c>
      <c r="K661" s="1" t="s">
        <v>2</v>
      </c>
      <c r="L661" s="1" t="s">
        <v>2</v>
      </c>
      <c r="M661" s="1" t="s">
        <v>2</v>
      </c>
      <c r="O661" s="2"/>
      <c r="P661" s="2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spans="1:32" s="1" customFormat="1" ht="20.25" customHeight="1" x14ac:dyDescent="0.25">
      <c r="A662" s="2"/>
      <c r="B662" s="2"/>
      <c r="C662" s="2"/>
      <c r="D662" s="2">
        <f>COUNTIF(contact[[#This Row],[Bagossy]:[Szo
03:00 - 10:00]],"=~?")</f>
        <v>0</v>
      </c>
      <c r="E662" s="2">
        <f>COUNTIF(contact[[#This Row],[Bagossy]:[Szo
03:00 - 10:00]],"=x")</f>
        <v>0</v>
      </c>
      <c r="F662" s="2">
        <f>SUM(contact[[#This Row],[?]:[x]])</f>
        <v>0</v>
      </c>
      <c r="G6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2" s="3" t="s">
        <v>3289</v>
      </c>
      <c r="K662" s="1" t="s">
        <v>2</v>
      </c>
      <c r="L662" s="1" t="s">
        <v>2</v>
      </c>
      <c r="M662" s="1" t="s">
        <v>2</v>
      </c>
      <c r="O662" s="2"/>
      <c r="P662" s="2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spans="1:32" s="1" customFormat="1" ht="20.25" customHeight="1" x14ac:dyDescent="0.25">
      <c r="A663" s="2"/>
      <c r="B663" s="2"/>
      <c r="C663" s="2"/>
      <c r="D663" s="2">
        <f>COUNTIF(contact[[#This Row],[Bagossy]:[Szo
03:00 - 10:00]],"=~?")</f>
        <v>0</v>
      </c>
      <c r="E663" s="2">
        <f>COUNTIF(contact[[#This Row],[Bagossy]:[Szo
03:00 - 10:00]],"=x")</f>
        <v>0</v>
      </c>
      <c r="F663" s="2">
        <f>SUM(contact[[#This Row],[?]:[x]])</f>
        <v>0</v>
      </c>
      <c r="G6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3" s="3" t="s">
        <v>2566</v>
      </c>
      <c r="K663" s="1" t="s">
        <v>291</v>
      </c>
      <c r="L663" s="1" t="s">
        <v>2</v>
      </c>
      <c r="M663" s="1" t="s">
        <v>2</v>
      </c>
      <c r="O663" s="2"/>
      <c r="P663" s="2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spans="1:32" s="1" customFormat="1" ht="20.25" customHeight="1" x14ac:dyDescent="0.25">
      <c r="A664" s="2"/>
      <c r="B664" s="2"/>
      <c r="C664" s="2"/>
      <c r="D664" s="2">
        <f>COUNTIF(contact[[#This Row],[Bagossy]:[Szo
03:00 - 10:00]],"=~?")</f>
        <v>0</v>
      </c>
      <c r="E664" s="2">
        <f>COUNTIF(contact[[#This Row],[Bagossy]:[Szo
03:00 - 10:00]],"=x")</f>
        <v>0</v>
      </c>
      <c r="F664" s="2">
        <f>SUM(contact[[#This Row],[?]:[x]])</f>
        <v>0</v>
      </c>
      <c r="G6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4" s="3" t="s">
        <v>2738</v>
      </c>
      <c r="K664" s="1" t="s">
        <v>2</v>
      </c>
      <c r="L664" s="1" t="s">
        <v>2</v>
      </c>
      <c r="M664" s="1" t="s">
        <v>2</v>
      </c>
      <c r="O664" s="2"/>
      <c r="P664" s="2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spans="1:32" s="1" customFormat="1" ht="20.25" customHeight="1" x14ac:dyDescent="0.25">
      <c r="A665" s="2"/>
      <c r="B665" s="2"/>
      <c r="C665" s="2"/>
      <c r="D665" s="2">
        <f>COUNTIF(contact[[#This Row],[Bagossy]:[Szo
03:00 - 10:00]],"=~?")</f>
        <v>0</v>
      </c>
      <c r="E665" s="2">
        <f>COUNTIF(contact[[#This Row],[Bagossy]:[Szo
03:00 - 10:00]],"=x")</f>
        <v>0</v>
      </c>
      <c r="F665" s="2">
        <f>SUM(contact[[#This Row],[?]:[x]])</f>
        <v>0</v>
      </c>
      <c r="G6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5" s="3" t="s">
        <v>2794</v>
      </c>
      <c r="K665" s="1" t="s">
        <v>2</v>
      </c>
      <c r="L665" s="1" t="s">
        <v>2</v>
      </c>
      <c r="M665" s="1" t="s">
        <v>2</v>
      </c>
      <c r="O665" s="2"/>
      <c r="P665" s="2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spans="1:32" s="1" customFormat="1" ht="20.25" customHeight="1" x14ac:dyDescent="0.25">
      <c r="A666" s="2"/>
      <c r="B666" s="2"/>
      <c r="C666" s="2"/>
      <c r="D666" s="2">
        <f>COUNTIF(contact[[#This Row],[Bagossy]:[Szo
03:00 - 10:00]],"=~?")</f>
        <v>0</v>
      </c>
      <c r="E666" s="2">
        <f>COUNTIF(contact[[#This Row],[Bagossy]:[Szo
03:00 - 10:00]],"=x")</f>
        <v>0</v>
      </c>
      <c r="F666" s="2">
        <f>SUM(contact[[#This Row],[?]:[x]])</f>
        <v>0</v>
      </c>
      <c r="G6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6" s="3" t="s">
        <v>3355</v>
      </c>
      <c r="K666" s="1" t="s">
        <v>2</v>
      </c>
      <c r="L666" s="1" t="s">
        <v>2</v>
      </c>
      <c r="M666" s="1" t="s">
        <v>2</v>
      </c>
      <c r="O666" s="2"/>
      <c r="P666" s="2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spans="1:32" s="1" customFormat="1" ht="20.25" customHeight="1" x14ac:dyDescent="0.25">
      <c r="A667" s="2"/>
      <c r="B667" s="2"/>
      <c r="C667" s="2"/>
      <c r="D667" s="2">
        <f>COUNTIF(contact[[#This Row],[Bagossy]:[Szo
03:00 - 10:00]],"=~?")</f>
        <v>0</v>
      </c>
      <c r="E667" s="2">
        <f>COUNTIF(contact[[#This Row],[Bagossy]:[Szo
03:00 - 10:00]],"=x")</f>
        <v>0</v>
      </c>
      <c r="F667" s="2">
        <f>SUM(contact[[#This Row],[?]:[x]])</f>
        <v>0</v>
      </c>
      <c r="G6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7" s="3" t="s">
        <v>3236</v>
      </c>
      <c r="K667" s="1" t="s">
        <v>703</v>
      </c>
      <c r="L667" s="1" t="s">
        <v>2</v>
      </c>
      <c r="M667" s="1" t="s">
        <v>2</v>
      </c>
      <c r="O667" s="2"/>
      <c r="P667" s="2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spans="1:32" s="1" customFormat="1" ht="20.25" customHeight="1" x14ac:dyDescent="0.25">
      <c r="A668" s="2"/>
      <c r="B668" s="2"/>
      <c r="C668" s="2"/>
      <c r="D668" s="2">
        <f>COUNTIF(contact[[#This Row],[Bagossy]:[Szo
03:00 - 10:00]],"=~?")</f>
        <v>0</v>
      </c>
      <c r="E668" s="2">
        <f>COUNTIF(contact[[#This Row],[Bagossy]:[Szo
03:00 - 10:00]],"=x")</f>
        <v>0</v>
      </c>
      <c r="F668" s="2">
        <f>SUM(contact[[#This Row],[?]:[x]])</f>
        <v>0</v>
      </c>
      <c r="G6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8" s="3" t="s">
        <v>4196</v>
      </c>
      <c r="K668" s="1" t="s">
        <v>1810</v>
      </c>
      <c r="L668" s="1" t="s">
        <v>2</v>
      </c>
      <c r="M668" s="1" t="s">
        <v>2</v>
      </c>
      <c r="O668" s="2"/>
      <c r="P668" s="2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spans="1:32" s="1" customFormat="1" ht="20.25" customHeight="1" x14ac:dyDescent="0.25">
      <c r="A669" s="2"/>
      <c r="B669" s="2"/>
      <c r="C669" s="2"/>
      <c r="D669" s="2">
        <f>COUNTIF(contact[[#This Row],[Bagossy]:[Szo
03:00 - 10:00]],"=~?")</f>
        <v>0</v>
      </c>
      <c r="E669" s="2">
        <f>COUNTIF(contact[[#This Row],[Bagossy]:[Szo
03:00 - 10:00]],"=x")</f>
        <v>0</v>
      </c>
      <c r="F669" s="2">
        <f>SUM(contact[[#This Row],[?]:[x]])</f>
        <v>0</v>
      </c>
      <c r="G6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69" s="3" t="s">
        <v>2224</v>
      </c>
      <c r="K669" s="1" t="s">
        <v>157</v>
      </c>
      <c r="L669" s="1" t="s">
        <v>2</v>
      </c>
      <c r="M669" s="1" t="s">
        <v>2</v>
      </c>
      <c r="O669" s="2"/>
      <c r="P669" s="2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spans="1:32" s="1" customFormat="1" ht="20.25" customHeight="1" x14ac:dyDescent="0.25">
      <c r="A670" s="2"/>
      <c r="B670" s="2"/>
      <c r="C670" s="2"/>
      <c r="D670" s="2">
        <f>COUNTIF(contact[[#This Row],[Bagossy]:[Szo
03:00 - 10:00]],"=~?")</f>
        <v>0</v>
      </c>
      <c r="E670" s="2">
        <f>COUNTIF(contact[[#This Row],[Bagossy]:[Szo
03:00 - 10:00]],"=x")</f>
        <v>0</v>
      </c>
      <c r="F670" s="2">
        <f>SUM(contact[[#This Row],[?]:[x]])</f>
        <v>0</v>
      </c>
      <c r="G6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0" s="3" t="s">
        <v>4587</v>
      </c>
      <c r="K670" s="1" t="s">
        <v>1253</v>
      </c>
      <c r="L670" s="1" t="s">
        <v>2</v>
      </c>
      <c r="M670" s="1" t="s">
        <v>2</v>
      </c>
      <c r="O670" s="2"/>
      <c r="P670" s="2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spans="1:32" s="1" customFormat="1" ht="20.25" customHeight="1" x14ac:dyDescent="0.25">
      <c r="A671" s="2"/>
      <c r="B671" s="2"/>
      <c r="C671" s="2"/>
      <c r="D671" s="2">
        <f>COUNTIF(contact[[#This Row],[Bagossy]:[Szo
03:00 - 10:00]],"=~?")</f>
        <v>0</v>
      </c>
      <c r="E671" s="2">
        <f>COUNTIF(contact[[#This Row],[Bagossy]:[Szo
03:00 - 10:00]],"=x")</f>
        <v>0</v>
      </c>
      <c r="F671" s="2">
        <f>SUM(contact[[#This Row],[?]:[x]])</f>
        <v>0</v>
      </c>
      <c r="G6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1" s="3" t="s">
        <v>2952</v>
      </c>
      <c r="K671" s="1" t="s">
        <v>1332</v>
      </c>
      <c r="L671" s="1" t="s">
        <v>2</v>
      </c>
      <c r="M671" s="1" t="s">
        <v>2</v>
      </c>
      <c r="O671" s="2"/>
      <c r="P671" s="2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spans="1:32" s="1" customFormat="1" ht="20.25" customHeight="1" x14ac:dyDescent="0.25">
      <c r="A672" s="2"/>
      <c r="B672" s="2"/>
      <c r="C672" s="2"/>
      <c r="D672" s="2">
        <f>COUNTIF(contact[[#This Row],[Bagossy]:[Szo
03:00 - 10:00]],"=~?")</f>
        <v>0</v>
      </c>
      <c r="E672" s="2">
        <f>COUNTIF(contact[[#This Row],[Bagossy]:[Szo
03:00 - 10:00]],"=x")</f>
        <v>0</v>
      </c>
      <c r="F672" s="2">
        <f>SUM(contact[[#This Row],[?]:[x]])</f>
        <v>0</v>
      </c>
      <c r="G6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2" s="3" t="s">
        <v>1970</v>
      </c>
      <c r="K672" s="1" t="s">
        <v>1302</v>
      </c>
      <c r="L672" s="1" t="s">
        <v>2</v>
      </c>
      <c r="M672" s="1" t="s">
        <v>2</v>
      </c>
      <c r="O672" s="2"/>
      <c r="P672" s="2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spans="1:32" s="1" customFormat="1" ht="20.25" customHeight="1" x14ac:dyDescent="0.25">
      <c r="A673" s="2"/>
      <c r="B673" s="2"/>
      <c r="C673" s="2"/>
      <c r="D673" s="2">
        <f>COUNTIF(contact[[#This Row],[Bagossy]:[Szo
03:00 - 10:00]],"=~?")</f>
        <v>0</v>
      </c>
      <c r="E673" s="2">
        <f>COUNTIF(contact[[#This Row],[Bagossy]:[Szo
03:00 - 10:00]],"=x")</f>
        <v>0</v>
      </c>
      <c r="F673" s="2">
        <f>SUM(contact[[#This Row],[?]:[x]])</f>
        <v>0</v>
      </c>
      <c r="G6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3" s="3" t="s">
        <v>2137</v>
      </c>
      <c r="K673" s="1" t="s">
        <v>1344</v>
      </c>
      <c r="L673" s="1" t="s">
        <v>2</v>
      </c>
      <c r="M673" s="1" t="s">
        <v>2</v>
      </c>
      <c r="O673" s="2"/>
      <c r="P673" s="2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spans="1:32" s="1" customFormat="1" ht="20.25" customHeight="1" x14ac:dyDescent="0.25">
      <c r="A674" s="2"/>
      <c r="B674" s="2"/>
      <c r="C674" s="2"/>
      <c r="D674" s="2">
        <f>COUNTIF(contact[[#This Row],[Bagossy]:[Szo
03:00 - 10:00]],"=~?")</f>
        <v>0</v>
      </c>
      <c r="E674" s="2">
        <f>COUNTIF(contact[[#This Row],[Bagossy]:[Szo
03:00 - 10:00]],"=x")</f>
        <v>0</v>
      </c>
      <c r="F674" s="2">
        <f>SUM(contact[[#This Row],[?]:[x]])</f>
        <v>0</v>
      </c>
      <c r="G6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4" s="3" t="s">
        <v>3370</v>
      </c>
      <c r="K674" s="1" t="s">
        <v>1625</v>
      </c>
      <c r="L674" s="1" t="s">
        <v>2</v>
      </c>
      <c r="M674" s="1" t="s">
        <v>2</v>
      </c>
      <c r="O674" s="2"/>
      <c r="P674" s="2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spans="1:32" s="1" customFormat="1" ht="20.25" customHeight="1" x14ac:dyDescent="0.25">
      <c r="A675" s="2"/>
      <c r="B675" s="2"/>
      <c r="C675" s="2"/>
      <c r="D675" s="2">
        <f>COUNTIF(contact[[#This Row],[Bagossy]:[Szo
03:00 - 10:00]],"=~?")</f>
        <v>0</v>
      </c>
      <c r="E675" s="2">
        <f>COUNTIF(contact[[#This Row],[Bagossy]:[Szo
03:00 - 10:00]],"=x")</f>
        <v>0</v>
      </c>
      <c r="F675" s="2">
        <f>SUM(contact[[#This Row],[?]:[x]])</f>
        <v>0</v>
      </c>
      <c r="G6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5" s="3" t="s">
        <v>2185</v>
      </c>
      <c r="K675" s="1" t="s">
        <v>157</v>
      </c>
      <c r="L675" s="1" t="s">
        <v>2</v>
      </c>
      <c r="M675" s="1" t="s">
        <v>2</v>
      </c>
      <c r="O675" s="2"/>
      <c r="P675" s="2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spans="1:32" s="1" customFormat="1" ht="20.25" customHeight="1" x14ac:dyDescent="0.25">
      <c r="A676" s="2"/>
      <c r="B676" s="2"/>
      <c r="C676" s="2"/>
      <c r="D676" s="2">
        <f>COUNTIF(contact[[#This Row],[Bagossy]:[Szo
03:00 - 10:00]],"=~?")</f>
        <v>0</v>
      </c>
      <c r="E676" s="2">
        <f>COUNTIF(contact[[#This Row],[Bagossy]:[Szo
03:00 - 10:00]],"=x")</f>
        <v>0</v>
      </c>
      <c r="F676" s="2">
        <f>SUM(contact[[#This Row],[?]:[x]])</f>
        <v>0</v>
      </c>
      <c r="G6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6" s="3" t="s">
        <v>2230</v>
      </c>
      <c r="K676" s="1" t="s">
        <v>192</v>
      </c>
      <c r="L676" s="1" t="s">
        <v>2</v>
      </c>
      <c r="M676" s="1" t="s">
        <v>2</v>
      </c>
      <c r="O676" s="2"/>
      <c r="P676" s="2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spans="1:32" s="1" customFormat="1" ht="20.25" customHeight="1" x14ac:dyDescent="0.25">
      <c r="A677" s="2"/>
      <c r="B677" s="2"/>
      <c r="C677" s="2"/>
      <c r="D677" s="2">
        <f>COUNTIF(contact[[#This Row],[Bagossy]:[Szo
03:00 - 10:00]],"=~?")</f>
        <v>0</v>
      </c>
      <c r="E677" s="2">
        <f>COUNTIF(contact[[#This Row],[Bagossy]:[Szo
03:00 - 10:00]],"=x")</f>
        <v>0</v>
      </c>
      <c r="F677" s="2">
        <f>SUM(contact[[#This Row],[?]:[x]])</f>
        <v>0</v>
      </c>
      <c r="G6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7" s="3" t="s">
        <v>2770</v>
      </c>
      <c r="K677" s="1" t="s">
        <v>1483</v>
      </c>
      <c r="L677" s="1" t="s">
        <v>2</v>
      </c>
      <c r="M677" s="1" t="s">
        <v>2</v>
      </c>
      <c r="O677" s="2"/>
      <c r="P677" s="2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spans="1:32" s="1" customFormat="1" ht="20.25" customHeight="1" x14ac:dyDescent="0.25">
      <c r="A678" s="2"/>
      <c r="B678" s="2"/>
      <c r="C678" s="2"/>
      <c r="D678" s="2">
        <f>COUNTIF(contact[[#This Row],[Bagossy]:[Szo
03:00 - 10:00]],"=~?")</f>
        <v>0</v>
      </c>
      <c r="E678" s="2">
        <f>COUNTIF(contact[[#This Row],[Bagossy]:[Szo
03:00 - 10:00]],"=x")</f>
        <v>0</v>
      </c>
      <c r="F678" s="2">
        <f>SUM(contact[[#This Row],[?]:[x]])</f>
        <v>0</v>
      </c>
      <c r="G6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8" s="3" t="s">
        <v>3204</v>
      </c>
      <c r="K678" s="1" t="s">
        <v>1327</v>
      </c>
      <c r="L678" s="1" t="s">
        <v>2</v>
      </c>
      <c r="M678" s="1" t="s">
        <v>2</v>
      </c>
      <c r="O678" s="2"/>
      <c r="P678" s="2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spans="1:32" s="1" customFormat="1" ht="20.25" customHeight="1" x14ac:dyDescent="0.25">
      <c r="A679" s="2"/>
      <c r="B679" s="2"/>
      <c r="C679" s="2"/>
      <c r="D679" s="2">
        <f>COUNTIF(contact[[#This Row],[Bagossy]:[Szo
03:00 - 10:00]],"=~?")</f>
        <v>0</v>
      </c>
      <c r="E679" s="2">
        <f>COUNTIF(contact[[#This Row],[Bagossy]:[Szo
03:00 - 10:00]],"=x")</f>
        <v>0</v>
      </c>
      <c r="F679" s="2">
        <f>SUM(contact[[#This Row],[?]:[x]])</f>
        <v>0</v>
      </c>
      <c r="G6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79" s="3" t="s">
        <v>4214</v>
      </c>
      <c r="K679" s="1" t="s">
        <v>1814</v>
      </c>
      <c r="L679" s="1" t="s">
        <v>2</v>
      </c>
      <c r="M679" s="1" t="s">
        <v>2</v>
      </c>
      <c r="O679" s="2"/>
      <c r="P679" s="2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spans="1:32" s="1" customFormat="1" ht="20.25" customHeight="1" x14ac:dyDescent="0.25">
      <c r="A680" s="2"/>
      <c r="B680" s="2"/>
      <c r="C680" s="2"/>
      <c r="D680" s="2">
        <f>COUNTIF(contact[[#This Row],[Bagossy]:[Szo
03:00 - 10:00]],"=~?")</f>
        <v>0</v>
      </c>
      <c r="E680" s="2">
        <f>COUNTIF(contact[[#This Row],[Bagossy]:[Szo
03:00 - 10:00]],"=x")</f>
        <v>0</v>
      </c>
      <c r="F680" s="2">
        <f>SUM(contact[[#This Row],[?]:[x]])</f>
        <v>0</v>
      </c>
      <c r="G6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0" s="3" t="s">
        <v>2728</v>
      </c>
      <c r="K680" s="1" t="s">
        <v>466</v>
      </c>
      <c r="L680" s="1" t="s">
        <v>2</v>
      </c>
      <c r="M680" s="1" t="s">
        <v>2</v>
      </c>
      <c r="O680" s="2"/>
      <c r="P680" s="2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spans="1:32" s="1" customFormat="1" ht="20.25" customHeight="1" x14ac:dyDescent="0.25">
      <c r="A681" s="2"/>
      <c r="B681" s="2"/>
      <c r="C681" s="2"/>
      <c r="D681" s="2">
        <f>COUNTIF(contact[[#This Row],[Bagossy]:[Szo
03:00 - 10:00]],"=~?")</f>
        <v>0</v>
      </c>
      <c r="E681" s="2">
        <f>COUNTIF(contact[[#This Row],[Bagossy]:[Szo
03:00 - 10:00]],"=x")</f>
        <v>0</v>
      </c>
      <c r="F681" s="2">
        <f>SUM(contact[[#This Row],[?]:[x]])</f>
        <v>0</v>
      </c>
      <c r="G6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1" s="3" t="s">
        <v>4065</v>
      </c>
      <c r="K681" s="1" t="s">
        <v>1773</v>
      </c>
      <c r="L681" s="1" t="s">
        <v>2</v>
      </c>
      <c r="M681" s="1" t="s">
        <v>2</v>
      </c>
      <c r="O681" s="2"/>
      <c r="P681" s="2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spans="1:32" s="1" customFormat="1" ht="20.25" customHeight="1" x14ac:dyDescent="0.25">
      <c r="A682" s="2"/>
      <c r="B682" s="2"/>
      <c r="C682" s="2"/>
      <c r="D682" s="2">
        <f>COUNTIF(contact[[#This Row],[Bagossy]:[Szo
03:00 - 10:00]],"=~?")</f>
        <v>0</v>
      </c>
      <c r="E682" s="2">
        <f>COUNTIF(contact[[#This Row],[Bagossy]:[Szo
03:00 - 10:00]],"=x")</f>
        <v>0</v>
      </c>
      <c r="F682" s="2">
        <f>SUM(contact[[#This Row],[?]:[x]])</f>
        <v>0</v>
      </c>
      <c r="G6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2" s="3" t="s">
        <v>4283</v>
      </c>
      <c r="K682" s="1" t="s">
        <v>1173</v>
      </c>
      <c r="L682" s="1" t="s">
        <v>2</v>
      </c>
      <c r="M682" s="1" t="s">
        <v>2</v>
      </c>
      <c r="O682" s="2"/>
      <c r="P682" s="2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spans="1:32" s="1" customFormat="1" ht="20.25" customHeight="1" x14ac:dyDescent="0.25">
      <c r="A683" s="2"/>
      <c r="B683" s="2"/>
      <c r="C683" s="2"/>
      <c r="D683" s="2">
        <f>COUNTIF(contact[[#This Row],[Bagossy]:[Szo
03:00 - 10:00]],"=~?")</f>
        <v>0</v>
      </c>
      <c r="E683" s="2">
        <f>COUNTIF(contact[[#This Row],[Bagossy]:[Szo
03:00 - 10:00]],"=x")</f>
        <v>0</v>
      </c>
      <c r="F683" s="2">
        <f>SUM(contact[[#This Row],[?]:[x]])</f>
        <v>0</v>
      </c>
      <c r="G6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83" s="2"/>
      <c r="I683" s="2"/>
      <c r="J683" s="3" t="s">
        <v>2671</v>
      </c>
      <c r="K683" s="1" t="s">
        <v>733</v>
      </c>
      <c r="L683" s="1" t="s">
        <v>2</v>
      </c>
      <c r="M683" s="1" t="s">
        <v>2</v>
      </c>
      <c r="O683" s="2"/>
      <c r="P683" s="2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spans="1:32" s="1" customFormat="1" ht="20.25" customHeight="1" x14ac:dyDescent="0.25">
      <c r="A684" s="2"/>
      <c r="B684" s="2"/>
      <c r="C684" s="2"/>
      <c r="D684" s="2">
        <f>COUNTIF(contact[[#This Row],[Bagossy]:[Szo
03:00 - 10:00]],"=~?")</f>
        <v>0</v>
      </c>
      <c r="E684" s="2">
        <f>COUNTIF(contact[[#This Row],[Bagossy]:[Szo
03:00 - 10:00]],"=x")</f>
        <v>0</v>
      </c>
      <c r="F684" s="2">
        <f>SUM(contact[[#This Row],[?]:[x]])</f>
        <v>0</v>
      </c>
      <c r="G6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4" s="3" t="s">
        <v>4314</v>
      </c>
      <c r="K684" s="1" t="s">
        <v>1327</v>
      </c>
      <c r="L684" s="1" t="s">
        <v>2</v>
      </c>
      <c r="M684" s="1" t="s">
        <v>2</v>
      </c>
      <c r="O684" s="2"/>
      <c r="P684" s="2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spans="1:32" s="1" customFormat="1" ht="20.25" customHeight="1" x14ac:dyDescent="0.25">
      <c r="A685" s="2"/>
      <c r="B685" s="2"/>
      <c r="C685" s="2"/>
      <c r="D685" s="2">
        <f>COUNTIF(contact[[#This Row],[Bagossy]:[Szo
03:00 - 10:00]],"=~?")</f>
        <v>0</v>
      </c>
      <c r="E685" s="2">
        <f>COUNTIF(contact[[#This Row],[Bagossy]:[Szo
03:00 - 10:00]],"=x")</f>
        <v>0</v>
      </c>
      <c r="F685" s="2">
        <f>SUM(contact[[#This Row],[?]:[x]])</f>
        <v>0</v>
      </c>
      <c r="G6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5" s="3" t="s">
        <v>2859</v>
      </c>
      <c r="K685" s="1" t="s">
        <v>1501</v>
      </c>
      <c r="L685" s="1" t="s">
        <v>2</v>
      </c>
      <c r="M685" s="1" t="s">
        <v>2</v>
      </c>
      <c r="O685" s="2"/>
      <c r="P685" s="2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spans="1:32" s="1" customFormat="1" ht="20.25" customHeight="1" x14ac:dyDescent="0.25">
      <c r="A686" s="2"/>
      <c r="B686" s="2"/>
      <c r="C686" s="2"/>
      <c r="D686" s="2">
        <f>COUNTIF(contact[[#This Row],[Bagossy]:[Szo
03:00 - 10:00]],"=~?")</f>
        <v>0</v>
      </c>
      <c r="E686" s="2">
        <f>COUNTIF(contact[[#This Row],[Bagossy]:[Szo
03:00 - 10:00]],"=x")</f>
        <v>0</v>
      </c>
      <c r="F686" s="2">
        <f>SUM(contact[[#This Row],[?]:[x]])</f>
        <v>0</v>
      </c>
      <c r="G6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6" s="3" t="s">
        <v>4553</v>
      </c>
      <c r="K686" s="1" t="s">
        <v>1270</v>
      </c>
      <c r="L686" s="1" t="s">
        <v>2</v>
      </c>
      <c r="M686" s="1" t="s">
        <v>2</v>
      </c>
      <c r="O686" s="2"/>
      <c r="P686" s="2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spans="1:32" s="1" customFormat="1" ht="20.25" customHeight="1" x14ac:dyDescent="0.25">
      <c r="A687" s="2"/>
      <c r="B687" s="2"/>
      <c r="C687" s="2"/>
      <c r="D687" s="2">
        <f>COUNTIF(contact[[#This Row],[Bagossy]:[Szo
03:00 - 10:00]],"=~?")</f>
        <v>0</v>
      </c>
      <c r="E687" s="2">
        <f>COUNTIF(contact[[#This Row],[Bagossy]:[Szo
03:00 - 10:00]],"=x")</f>
        <v>0</v>
      </c>
      <c r="F687" s="2">
        <f>SUM(contact[[#This Row],[?]:[x]])</f>
        <v>0</v>
      </c>
      <c r="G6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7" s="3" t="s">
        <v>4401</v>
      </c>
      <c r="K687" s="1" t="s">
        <v>1226</v>
      </c>
      <c r="L687" s="1" t="s">
        <v>2</v>
      </c>
      <c r="M687" s="1" t="s">
        <v>2</v>
      </c>
      <c r="O687" s="2"/>
      <c r="P687" s="2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spans="1:32" s="1" customFormat="1" ht="20.25" customHeight="1" x14ac:dyDescent="0.25">
      <c r="A688" s="2"/>
      <c r="B688" s="2"/>
      <c r="C688" s="2"/>
      <c r="D688" s="2">
        <f>COUNTIF(contact[[#This Row],[Bagossy]:[Szo
03:00 - 10:00]],"=~?")</f>
        <v>0</v>
      </c>
      <c r="E688" s="2">
        <f>COUNTIF(contact[[#This Row],[Bagossy]:[Szo
03:00 - 10:00]],"=x")</f>
        <v>0</v>
      </c>
      <c r="F688" s="2">
        <f>SUM(contact[[#This Row],[?]:[x]])</f>
        <v>0</v>
      </c>
      <c r="G6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8" s="3" t="s">
        <v>4371</v>
      </c>
      <c r="K688" s="1" t="s">
        <v>1215</v>
      </c>
      <c r="L688" s="1" t="s">
        <v>2</v>
      </c>
      <c r="M688" s="1" t="s">
        <v>2</v>
      </c>
      <c r="O688" s="2"/>
      <c r="P688" s="2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spans="1:32" s="1" customFormat="1" ht="20.25" customHeight="1" x14ac:dyDescent="0.25">
      <c r="A689" s="2"/>
      <c r="B689" s="2"/>
      <c r="C689" s="2"/>
      <c r="D689" s="2">
        <f>COUNTIF(contact[[#This Row],[Bagossy]:[Szo
03:00 - 10:00]],"=~?")</f>
        <v>0</v>
      </c>
      <c r="E689" s="2">
        <f>COUNTIF(contact[[#This Row],[Bagossy]:[Szo
03:00 - 10:00]],"=x")</f>
        <v>0</v>
      </c>
      <c r="F689" s="2">
        <f>SUM(contact[[#This Row],[?]:[x]])</f>
        <v>0</v>
      </c>
      <c r="G6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89" s="3" t="s">
        <v>3119</v>
      </c>
      <c r="K689" s="1" t="s">
        <v>1569</v>
      </c>
      <c r="L689" s="1" t="s">
        <v>2</v>
      </c>
      <c r="M689" s="1" t="s">
        <v>2</v>
      </c>
      <c r="O689" s="2"/>
      <c r="P689" s="2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spans="1:32" s="1" customFormat="1" ht="20.25" customHeight="1" x14ac:dyDescent="0.25">
      <c r="A690" s="2"/>
      <c r="B690" s="2"/>
      <c r="C690" s="2"/>
      <c r="D690" s="2">
        <f>COUNTIF(contact[[#This Row],[Bagossy]:[Szo
03:00 - 10:00]],"=~?")</f>
        <v>0</v>
      </c>
      <c r="E690" s="2">
        <f>COUNTIF(contact[[#This Row],[Bagossy]:[Szo
03:00 - 10:00]],"=x")</f>
        <v>0</v>
      </c>
      <c r="F690" s="2">
        <f>SUM(contact[[#This Row],[?]:[x]])</f>
        <v>0</v>
      </c>
      <c r="G6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0" s="3" t="s">
        <v>2416</v>
      </c>
      <c r="K690" s="1" t="s">
        <v>1404</v>
      </c>
      <c r="L690" s="1" t="s">
        <v>2</v>
      </c>
      <c r="M690" s="1" t="s">
        <v>2</v>
      </c>
      <c r="O690" s="2"/>
      <c r="P690" s="2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spans="1:32" s="1" customFormat="1" ht="20.25" customHeight="1" x14ac:dyDescent="0.25">
      <c r="A691" s="2"/>
      <c r="B691" s="2"/>
      <c r="C691" s="2"/>
      <c r="D691" s="2">
        <f>COUNTIF(contact[[#This Row],[Bagossy]:[Szo
03:00 - 10:00]],"=~?")</f>
        <v>0</v>
      </c>
      <c r="E691" s="2">
        <f>COUNTIF(contact[[#This Row],[Bagossy]:[Szo
03:00 - 10:00]],"=x")</f>
        <v>0</v>
      </c>
      <c r="F691" s="2">
        <f>SUM(contact[[#This Row],[?]:[x]])</f>
        <v>0</v>
      </c>
      <c r="G6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1" s="3" t="s">
        <v>2250</v>
      </c>
      <c r="K691" s="1" t="s">
        <v>205</v>
      </c>
      <c r="L691" s="1" t="s">
        <v>2</v>
      </c>
      <c r="M691" s="1" t="s">
        <v>2</v>
      </c>
      <c r="O691" s="2"/>
      <c r="P691" s="2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spans="1:32" s="1" customFormat="1" ht="20.25" customHeight="1" x14ac:dyDescent="0.25">
      <c r="A692" s="2"/>
      <c r="B692" s="2"/>
      <c r="C692" s="2"/>
      <c r="D692" s="2">
        <f>COUNTIF(contact[[#This Row],[Bagossy]:[Szo
03:00 - 10:00]],"=~?")</f>
        <v>0</v>
      </c>
      <c r="E692" s="2">
        <f>COUNTIF(contact[[#This Row],[Bagossy]:[Szo
03:00 - 10:00]],"=x")</f>
        <v>0</v>
      </c>
      <c r="F692" s="2">
        <f>SUM(contact[[#This Row],[?]:[x]])</f>
        <v>0</v>
      </c>
      <c r="G6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2" s="3" t="s">
        <v>3136</v>
      </c>
      <c r="K692" s="1" t="s">
        <v>658</v>
      </c>
      <c r="L692" s="1" t="s">
        <v>2</v>
      </c>
      <c r="M692" s="1" t="s">
        <v>2</v>
      </c>
      <c r="O692" s="2"/>
      <c r="P692" s="2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spans="1:32" s="1" customFormat="1" ht="20.25" customHeight="1" x14ac:dyDescent="0.25">
      <c r="A693" s="2"/>
      <c r="B693" s="2"/>
      <c r="C693" s="2"/>
      <c r="D693" s="2">
        <f>COUNTIF(contact[[#This Row],[Bagossy]:[Szo
03:00 - 10:00]],"=~?")</f>
        <v>0</v>
      </c>
      <c r="E693" s="2">
        <f>COUNTIF(contact[[#This Row],[Bagossy]:[Szo
03:00 - 10:00]],"=x")</f>
        <v>0</v>
      </c>
      <c r="F693" s="2">
        <f>SUM(contact[[#This Row],[?]:[x]])</f>
        <v>0</v>
      </c>
      <c r="G6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3" s="3" t="s">
        <v>2656</v>
      </c>
      <c r="K693" s="1" t="s">
        <v>1466</v>
      </c>
      <c r="L693" s="1" t="s">
        <v>2</v>
      </c>
      <c r="M693" s="1" t="s">
        <v>2</v>
      </c>
      <c r="O693" s="2"/>
      <c r="P693" s="2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spans="1:32" s="1" customFormat="1" ht="20.25" customHeight="1" x14ac:dyDescent="0.25">
      <c r="A694" s="2"/>
      <c r="B694" s="2"/>
      <c r="C694" s="2"/>
      <c r="D694" s="2">
        <f>COUNTIF(contact[[#This Row],[Bagossy]:[Szo
03:00 - 10:00]],"=~?")</f>
        <v>0</v>
      </c>
      <c r="E694" s="2">
        <f>COUNTIF(contact[[#This Row],[Bagossy]:[Szo
03:00 - 10:00]],"=x")</f>
        <v>0</v>
      </c>
      <c r="F694" s="2">
        <f>SUM(contact[[#This Row],[?]:[x]])</f>
        <v>0</v>
      </c>
      <c r="G6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4" s="3" t="s">
        <v>2584</v>
      </c>
      <c r="K694" s="1" t="s">
        <v>390</v>
      </c>
      <c r="L694" s="1" t="s">
        <v>2</v>
      </c>
      <c r="M694" s="1" t="s">
        <v>2</v>
      </c>
      <c r="O694" s="2"/>
      <c r="P694" s="2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spans="1:32" s="1" customFormat="1" ht="20.25" customHeight="1" x14ac:dyDescent="0.25">
      <c r="A695" s="2"/>
      <c r="B695" s="2"/>
      <c r="C695" s="2"/>
      <c r="D695" s="2">
        <f>COUNTIF(contact[[#This Row],[Bagossy]:[Szo
03:00 - 10:00]],"=~?")</f>
        <v>0</v>
      </c>
      <c r="E695" s="2">
        <f>COUNTIF(contact[[#This Row],[Bagossy]:[Szo
03:00 - 10:00]],"=x")</f>
        <v>0</v>
      </c>
      <c r="F695" s="2">
        <f>SUM(contact[[#This Row],[?]:[x]])</f>
        <v>0</v>
      </c>
      <c r="G6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5" s="3" t="s">
        <v>2523</v>
      </c>
      <c r="K695" s="1" t="s">
        <v>356</v>
      </c>
      <c r="L695" s="1" t="s">
        <v>2</v>
      </c>
      <c r="M695" s="1" t="s">
        <v>2</v>
      </c>
      <c r="O695" s="2"/>
      <c r="P695" s="2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spans="1:32" s="1" customFormat="1" ht="20.25" customHeight="1" x14ac:dyDescent="0.25">
      <c r="A696" s="2"/>
      <c r="B696" s="2"/>
      <c r="C696" s="2"/>
      <c r="D696" s="2">
        <f>COUNTIF(contact[[#This Row],[Bagossy]:[Szo
03:00 - 10:00]],"=~?")</f>
        <v>0</v>
      </c>
      <c r="E696" s="2">
        <f>COUNTIF(contact[[#This Row],[Bagossy]:[Szo
03:00 - 10:00]],"=x")</f>
        <v>0</v>
      </c>
      <c r="F696" s="2">
        <f>SUM(contact[[#This Row],[?]:[x]])</f>
        <v>0</v>
      </c>
      <c r="G6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6" s="3" t="s">
        <v>2354</v>
      </c>
      <c r="K696" s="1" t="s">
        <v>2</v>
      </c>
      <c r="L696" s="1" t="s">
        <v>2</v>
      </c>
      <c r="M696" s="1" t="s">
        <v>2</v>
      </c>
      <c r="O696" s="2"/>
      <c r="P696" s="2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spans="1:32" s="1" customFormat="1" ht="20.25" customHeight="1" x14ac:dyDescent="0.25">
      <c r="A697" s="2"/>
      <c r="B697" s="2"/>
      <c r="C697" s="2"/>
      <c r="D697" s="2">
        <f>COUNTIF(contact[[#This Row],[Bagossy]:[Szo
03:00 - 10:00]],"=~?")</f>
        <v>0</v>
      </c>
      <c r="E697" s="2">
        <f>COUNTIF(contact[[#This Row],[Bagossy]:[Szo
03:00 - 10:00]],"=x")</f>
        <v>0</v>
      </c>
      <c r="F697" s="2">
        <f>SUM(contact[[#This Row],[?]:[x]])</f>
        <v>0</v>
      </c>
      <c r="G6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7" s="3" t="s">
        <v>407</v>
      </c>
      <c r="K697" s="1" t="s">
        <v>2</v>
      </c>
      <c r="L697" s="1" t="s">
        <v>2</v>
      </c>
      <c r="M697" s="1" t="s">
        <v>2</v>
      </c>
      <c r="O697" s="2"/>
      <c r="P697" s="2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spans="1:32" s="1" customFormat="1" ht="20.25" customHeight="1" x14ac:dyDescent="0.25">
      <c r="A698" s="2"/>
      <c r="B698" s="2"/>
      <c r="C698" s="2"/>
      <c r="D698" s="2">
        <f>COUNTIF(contact[[#This Row],[Bagossy]:[Szo
03:00 - 10:00]],"=~?")</f>
        <v>0</v>
      </c>
      <c r="E698" s="2">
        <f>COUNTIF(contact[[#This Row],[Bagossy]:[Szo
03:00 - 10:00]],"=x")</f>
        <v>0</v>
      </c>
      <c r="F698" s="2">
        <f>SUM(contact[[#This Row],[?]:[x]])</f>
        <v>0</v>
      </c>
      <c r="G6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698" s="3" t="s">
        <v>3578</v>
      </c>
      <c r="K698" s="1" t="s">
        <v>1676</v>
      </c>
      <c r="L698" s="1" t="s">
        <v>2</v>
      </c>
      <c r="M698" s="1" t="s">
        <v>2</v>
      </c>
      <c r="O698" s="2"/>
      <c r="P698" s="2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spans="1:32" s="1" customFormat="1" ht="20.25" customHeight="1" x14ac:dyDescent="0.25">
      <c r="A699" s="2"/>
      <c r="B699" s="2"/>
      <c r="C699" s="2" t="s">
        <v>1285</v>
      </c>
      <c r="D699" s="2">
        <f>COUNTIF(contact[[#This Row],[Bagossy]:[Szo
03:00 - 10:00]],"=~?")</f>
        <v>0</v>
      </c>
      <c r="E699" s="2">
        <f>COUNTIF(contact[[#This Row],[Bagossy]:[Szo
03:00 - 10:00]],"=x")</f>
        <v>0</v>
      </c>
      <c r="F699" s="2">
        <f>SUM(contact[[#This Row],[?]:[x]])</f>
        <v>0</v>
      </c>
      <c r="G6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699" s="2"/>
      <c r="I699" s="2"/>
      <c r="J699" s="3" t="s">
        <v>2672</v>
      </c>
      <c r="K699" s="1" t="s">
        <v>1469</v>
      </c>
      <c r="L699" s="1" t="s">
        <v>2</v>
      </c>
      <c r="M699" s="1" t="s">
        <v>2</v>
      </c>
      <c r="O699" s="2"/>
      <c r="P699" s="2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spans="1:32" s="1" customFormat="1" ht="20.25" customHeight="1" x14ac:dyDescent="0.25">
      <c r="A700" s="2"/>
      <c r="B700" s="2"/>
      <c r="C700" s="2"/>
      <c r="D700" s="2">
        <f>COUNTIF(contact[[#This Row],[Bagossy]:[Szo
03:00 - 10:00]],"=~?")</f>
        <v>0</v>
      </c>
      <c r="E700" s="2">
        <f>COUNTIF(contact[[#This Row],[Bagossy]:[Szo
03:00 - 10:00]],"=x")</f>
        <v>0</v>
      </c>
      <c r="F700" s="2">
        <f>SUM(contact[[#This Row],[?]:[x]])</f>
        <v>0</v>
      </c>
      <c r="G7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0" s="3" t="s">
        <v>3324</v>
      </c>
      <c r="K700" s="1" t="s">
        <v>746</v>
      </c>
      <c r="L700" s="1" t="s">
        <v>2</v>
      </c>
      <c r="M700" s="1" t="s">
        <v>2</v>
      </c>
      <c r="O700" s="2"/>
      <c r="P700" s="2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spans="1:32" s="1" customFormat="1" ht="20.25" customHeight="1" x14ac:dyDescent="0.25">
      <c r="A701" s="2"/>
      <c r="B701" s="2"/>
      <c r="C701" s="2"/>
      <c r="D701" s="2">
        <f>COUNTIF(contact[[#This Row],[Bagossy]:[Szo
03:00 - 10:00]],"=~?")</f>
        <v>0</v>
      </c>
      <c r="E701" s="2">
        <f>COUNTIF(contact[[#This Row],[Bagossy]:[Szo
03:00 - 10:00]],"=x")</f>
        <v>0</v>
      </c>
      <c r="F701" s="2">
        <f>SUM(contact[[#This Row],[?]:[x]])</f>
        <v>0</v>
      </c>
      <c r="G7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1" s="3" t="s">
        <v>3324</v>
      </c>
      <c r="K701" s="1" t="s">
        <v>2</v>
      </c>
      <c r="L701" s="1" t="s">
        <v>2</v>
      </c>
      <c r="M701" s="1" t="s">
        <v>2</v>
      </c>
      <c r="O701" s="2"/>
      <c r="P701" s="2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spans="1:32" s="1" customFormat="1" ht="20.25" customHeight="1" x14ac:dyDescent="0.25">
      <c r="A702" s="2"/>
      <c r="B702" s="2"/>
      <c r="C702" s="2"/>
      <c r="D702" s="2">
        <f>COUNTIF(contact[[#This Row],[Bagossy]:[Szo
03:00 - 10:00]],"=~?")</f>
        <v>0</v>
      </c>
      <c r="E702" s="2">
        <f>COUNTIF(contact[[#This Row],[Bagossy]:[Szo
03:00 - 10:00]],"=x")</f>
        <v>0</v>
      </c>
      <c r="F702" s="2">
        <f>SUM(contact[[#This Row],[?]:[x]])</f>
        <v>0</v>
      </c>
      <c r="G7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2" s="3" t="s">
        <v>3447</v>
      </c>
      <c r="K702" s="1" t="s">
        <v>465</v>
      </c>
      <c r="L702" s="1" t="s">
        <v>2</v>
      </c>
      <c r="M702" s="1" t="s">
        <v>2</v>
      </c>
      <c r="O702" s="2"/>
      <c r="P702" s="2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spans="1:32" s="1" customFormat="1" ht="20.25" customHeight="1" x14ac:dyDescent="0.25">
      <c r="A703" s="2"/>
      <c r="B703" s="2"/>
      <c r="C703" s="2"/>
      <c r="D703" s="2">
        <f>COUNTIF(contact[[#This Row],[Bagossy]:[Szo
03:00 - 10:00]],"=~?")</f>
        <v>0</v>
      </c>
      <c r="E703" s="2">
        <f>COUNTIF(contact[[#This Row],[Bagossy]:[Szo
03:00 - 10:00]],"=x")</f>
        <v>0</v>
      </c>
      <c r="F703" s="2">
        <f>SUM(contact[[#This Row],[?]:[x]])</f>
        <v>0</v>
      </c>
      <c r="G7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03" s="2"/>
      <c r="I703" s="2"/>
      <c r="J703" s="3" t="s">
        <v>2689</v>
      </c>
      <c r="K703" s="1" t="s">
        <v>1471</v>
      </c>
      <c r="L703" s="1" t="s">
        <v>2</v>
      </c>
      <c r="M703" s="1" t="s">
        <v>2</v>
      </c>
      <c r="O703" s="2"/>
      <c r="P703" s="2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spans="1:32" s="1" customFormat="1" ht="20.25" customHeight="1" x14ac:dyDescent="0.25">
      <c r="A704" s="2"/>
      <c r="B704" s="2"/>
      <c r="C704" s="2"/>
      <c r="D704" s="2">
        <f>COUNTIF(contact[[#This Row],[Bagossy]:[Szo
03:00 - 10:00]],"=~?")</f>
        <v>0</v>
      </c>
      <c r="E704" s="2">
        <f>COUNTIF(contact[[#This Row],[Bagossy]:[Szo
03:00 - 10:00]],"=x")</f>
        <v>0</v>
      </c>
      <c r="F704" s="2">
        <f>SUM(contact[[#This Row],[?]:[x]])</f>
        <v>0</v>
      </c>
      <c r="G7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4" s="3" t="s">
        <v>4295</v>
      </c>
      <c r="K704" s="1" t="s">
        <v>954</v>
      </c>
      <c r="L704" s="1" t="s">
        <v>2</v>
      </c>
      <c r="M704" s="1" t="s">
        <v>2</v>
      </c>
      <c r="O704" s="2"/>
      <c r="P704" s="2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spans="1:32" s="1" customFormat="1" ht="20.25" customHeight="1" x14ac:dyDescent="0.25">
      <c r="A705" s="2"/>
      <c r="B705" s="2"/>
      <c r="C705" s="2" t="s">
        <v>1285</v>
      </c>
      <c r="D705" s="2">
        <f>COUNTIF(contact[[#This Row],[Bagossy]:[Szo
03:00 - 10:00]],"=~?")</f>
        <v>0</v>
      </c>
      <c r="E705" s="2">
        <f>COUNTIF(contact[[#This Row],[Bagossy]:[Szo
03:00 - 10:00]],"=x")</f>
        <v>0</v>
      </c>
      <c r="F705" s="2">
        <f>SUM(contact[[#This Row],[?]:[x]])</f>
        <v>0</v>
      </c>
      <c r="G7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05" s="2"/>
      <c r="I705" s="2"/>
      <c r="J705" s="3" t="s">
        <v>2693</v>
      </c>
      <c r="K705" s="1" t="s">
        <v>6</v>
      </c>
      <c r="L705" s="1" t="s">
        <v>2</v>
      </c>
      <c r="M705" s="1" t="s">
        <v>2</v>
      </c>
      <c r="O705" s="2"/>
      <c r="P705" s="2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spans="1:32" s="1" customFormat="1" ht="20.25" customHeight="1" x14ac:dyDescent="0.25">
      <c r="A706" s="2"/>
      <c r="B706" s="2"/>
      <c r="C706" s="2"/>
      <c r="D706" s="2">
        <f>COUNTIF(contact[[#This Row],[Bagossy]:[Szo
03:00 - 10:00]],"=~?")</f>
        <v>0</v>
      </c>
      <c r="E706" s="2">
        <f>COUNTIF(contact[[#This Row],[Bagossy]:[Szo
03:00 - 10:00]],"=x")</f>
        <v>0</v>
      </c>
      <c r="F706" s="2">
        <f>SUM(contact[[#This Row],[?]:[x]])</f>
        <v>0</v>
      </c>
      <c r="G7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06" s="2"/>
      <c r="I706" s="2"/>
      <c r="J706" s="3" t="s">
        <v>2741</v>
      </c>
      <c r="K706" s="1" t="s">
        <v>1479</v>
      </c>
      <c r="L706" s="1" t="s">
        <v>2</v>
      </c>
      <c r="M706" s="1" t="s">
        <v>2</v>
      </c>
      <c r="O706" s="2"/>
      <c r="P706" s="2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spans="1:32" s="1" customFormat="1" ht="20.25" customHeight="1" x14ac:dyDescent="0.25">
      <c r="A707" s="2"/>
      <c r="B707" s="2"/>
      <c r="C707" s="2"/>
      <c r="D707" s="2">
        <f>COUNTIF(contact[[#This Row],[Bagossy]:[Szo
03:00 - 10:00]],"=~?")</f>
        <v>0</v>
      </c>
      <c r="E707" s="2">
        <f>COUNTIF(contact[[#This Row],[Bagossy]:[Szo
03:00 - 10:00]],"=x")</f>
        <v>0</v>
      </c>
      <c r="F707" s="2">
        <f>SUM(contact[[#This Row],[?]:[x]])</f>
        <v>0</v>
      </c>
      <c r="G7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7" s="3" t="s">
        <v>3624</v>
      </c>
      <c r="K707" s="1" t="s">
        <v>870</v>
      </c>
      <c r="L707" s="1" t="s">
        <v>2</v>
      </c>
      <c r="M707" s="1" t="s">
        <v>2</v>
      </c>
      <c r="O707" s="2"/>
      <c r="P707" s="2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spans="1:32" s="1" customFormat="1" ht="20.25" customHeight="1" x14ac:dyDescent="0.25">
      <c r="A708" s="2"/>
      <c r="B708" s="2"/>
      <c r="C708" s="2"/>
      <c r="D708" s="2">
        <f>COUNTIF(contact[[#This Row],[Bagossy]:[Szo
03:00 - 10:00]],"=~?")</f>
        <v>0</v>
      </c>
      <c r="E708" s="2">
        <f>COUNTIF(contact[[#This Row],[Bagossy]:[Szo
03:00 - 10:00]],"=x")</f>
        <v>0</v>
      </c>
      <c r="F708" s="2">
        <f>SUM(contact[[#This Row],[?]:[x]])</f>
        <v>0</v>
      </c>
      <c r="G7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8" s="3" t="s">
        <v>2585</v>
      </c>
      <c r="K708" s="1" t="s">
        <v>391</v>
      </c>
      <c r="L708" s="1" t="s">
        <v>2</v>
      </c>
      <c r="M708" s="1" t="s">
        <v>2</v>
      </c>
      <c r="O708" s="2"/>
      <c r="P708" s="2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spans="1:32" s="1" customFormat="1" ht="20.25" customHeight="1" x14ac:dyDescent="0.25">
      <c r="A709" s="2"/>
      <c r="B709" s="2"/>
      <c r="C709" s="2"/>
      <c r="D709" s="2">
        <f>COUNTIF(contact[[#This Row],[Bagossy]:[Szo
03:00 - 10:00]],"=~?")</f>
        <v>0</v>
      </c>
      <c r="E709" s="2">
        <f>COUNTIF(contact[[#This Row],[Bagossy]:[Szo
03:00 - 10:00]],"=x")</f>
        <v>0</v>
      </c>
      <c r="F709" s="2">
        <f>SUM(contact[[#This Row],[?]:[x]])</f>
        <v>0</v>
      </c>
      <c r="G7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09" s="3" t="s">
        <v>2928</v>
      </c>
      <c r="K709" s="1" t="s">
        <v>465</v>
      </c>
      <c r="L709" s="1" t="s">
        <v>2</v>
      </c>
      <c r="M709" s="1" t="s">
        <v>2</v>
      </c>
      <c r="O709" s="2"/>
      <c r="P709" s="2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spans="1:32" s="1" customFormat="1" ht="20.25" customHeight="1" x14ac:dyDescent="0.25">
      <c r="A710" s="2"/>
      <c r="B710" s="2"/>
      <c r="C710" s="2"/>
      <c r="D710" s="2">
        <f>COUNTIF(contact[[#This Row],[Bagossy]:[Szo
03:00 - 10:00]],"=~?")</f>
        <v>0</v>
      </c>
      <c r="E710" s="2">
        <f>COUNTIF(contact[[#This Row],[Bagossy]:[Szo
03:00 - 10:00]],"=x")</f>
        <v>0</v>
      </c>
      <c r="F710" s="2">
        <f>SUM(contact[[#This Row],[?]:[x]])</f>
        <v>0</v>
      </c>
      <c r="G7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0" s="3" t="s">
        <v>3807</v>
      </c>
      <c r="K710" s="1" t="s">
        <v>1717</v>
      </c>
      <c r="L710" s="1" t="s">
        <v>108</v>
      </c>
      <c r="M710" s="1" t="s">
        <v>953</v>
      </c>
      <c r="O710" s="2"/>
      <c r="P710" s="2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spans="1:32" s="1" customFormat="1" ht="20.25" customHeight="1" x14ac:dyDescent="0.25">
      <c r="A711" s="2"/>
      <c r="B711" s="2"/>
      <c r="C711" s="2" t="s">
        <v>1285</v>
      </c>
      <c r="D711" s="2">
        <f>COUNTIF(contact[[#This Row],[Bagossy]:[Szo
03:00 - 10:00]],"=~?")</f>
        <v>0</v>
      </c>
      <c r="E711" s="2">
        <f>COUNTIF(contact[[#This Row],[Bagossy]:[Szo
03:00 - 10:00]],"=x")</f>
        <v>0</v>
      </c>
      <c r="F711" s="2">
        <f>SUM(contact[[#This Row],[?]:[x]])</f>
        <v>0</v>
      </c>
      <c r="G7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11" s="2"/>
      <c r="I711" s="2"/>
      <c r="J711" s="3" t="s">
        <v>2763</v>
      </c>
      <c r="K711" s="1" t="s">
        <v>705</v>
      </c>
      <c r="L711" s="1" t="s">
        <v>2</v>
      </c>
      <c r="M711" s="1" t="s">
        <v>2</v>
      </c>
      <c r="O711" s="2"/>
      <c r="P711" s="2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spans="1:32" s="1" customFormat="1" ht="20.25" customHeight="1" x14ac:dyDescent="0.25">
      <c r="A712" s="2"/>
      <c r="B712" s="2"/>
      <c r="C712" s="2"/>
      <c r="D712" s="2">
        <f>COUNTIF(contact[[#This Row],[Bagossy]:[Szo
03:00 - 10:00]],"=~?")</f>
        <v>0</v>
      </c>
      <c r="E712" s="2">
        <f>COUNTIF(contact[[#This Row],[Bagossy]:[Szo
03:00 - 10:00]],"=x")</f>
        <v>0</v>
      </c>
      <c r="F712" s="2">
        <f>SUM(contact[[#This Row],[?]:[x]])</f>
        <v>0</v>
      </c>
      <c r="G7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2" s="3" t="s">
        <v>2073</v>
      </c>
      <c r="K712" s="1" t="s">
        <v>2</v>
      </c>
      <c r="L712" s="1" t="s">
        <v>2</v>
      </c>
      <c r="M712" s="1" t="s">
        <v>2</v>
      </c>
      <c r="O712" s="2"/>
      <c r="P712" s="2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spans="1:32" s="1" customFormat="1" ht="20.25" customHeight="1" x14ac:dyDescent="0.25">
      <c r="A713" s="2"/>
      <c r="B713" s="2"/>
      <c r="C713" s="2"/>
      <c r="D713" s="2">
        <f>COUNTIF(contact[[#This Row],[Bagossy]:[Szo
03:00 - 10:00]],"=~?")</f>
        <v>0</v>
      </c>
      <c r="E713" s="2">
        <f>COUNTIF(contact[[#This Row],[Bagossy]:[Szo
03:00 - 10:00]],"=x")</f>
        <v>0</v>
      </c>
      <c r="F713" s="2">
        <f>SUM(contact[[#This Row],[?]:[x]])</f>
        <v>0</v>
      </c>
      <c r="G7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3" s="3" t="s">
        <v>3347</v>
      </c>
      <c r="K713" s="1" t="s">
        <v>277</v>
      </c>
      <c r="L713" s="1" t="s">
        <v>2</v>
      </c>
      <c r="M713" s="1" t="s">
        <v>2</v>
      </c>
      <c r="O713" s="2"/>
      <c r="P713" s="2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spans="1:32" s="1" customFormat="1" ht="20.25" customHeight="1" x14ac:dyDescent="0.25">
      <c r="A714" s="2"/>
      <c r="B714" s="2"/>
      <c r="C714" s="2"/>
      <c r="D714" s="2">
        <f>COUNTIF(contact[[#This Row],[Bagossy]:[Szo
03:00 - 10:00]],"=~?")</f>
        <v>0</v>
      </c>
      <c r="E714" s="2">
        <f>COUNTIF(contact[[#This Row],[Bagossy]:[Szo
03:00 - 10:00]],"=x")</f>
        <v>0</v>
      </c>
      <c r="F714" s="2">
        <f>SUM(contact[[#This Row],[?]:[x]])</f>
        <v>0</v>
      </c>
      <c r="G7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4" s="3" t="s">
        <v>411</v>
      </c>
      <c r="K714" s="1" t="s">
        <v>2</v>
      </c>
      <c r="L714" s="1" t="s">
        <v>2</v>
      </c>
      <c r="M714" s="1" t="s">
        <v>2</v>
      </c>
      <c r="O714" s="2"/>
      <c r="P714" s="2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spans="1:32" s="1" customFormat="1" ht="20.25" customHeight="1" x14ac:dyDescent="0.25">
      <c r="A715" s="2"/>
      <c r="B715" s="2"/>
      <c r="C715" s="2"/>
      <c r="D715" s="2">
        <f>COUNTIF(contact[[#This Row],[Bagossy]:[Szo
03:00 - 10:00]],"=~?")</f>
        <v>0</v>
      </c>
      <c r="E715" s="2">
        <f>COUNTIF(contact[[#This Row],[Bagossy]:[Szo
03:00 - 10:00]],"=x")</f>
        <v>0</v>
      </c>
      <c r="F715" s="2">
        <f>SUM(contact[[#This Row],[?]:[x]])</f>
        <v>0</v>
      </c>
      <c r="G7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5" s="3" t="s">
        <v>3246</v>
      </c>
      <c r="K715" s="1" t="s">
        <v>711</v>
      </c>
      <c r="L715" s="1" t="s">
        <v>2</v>
      </c>
      <c r="M715" s="1" t="s">
        <v>2</v>
      </c>
      <c r="O715" s="2"/>
      <c r="P715" s="2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spans="1:32" s="1" customFormat="1" ht="20.25" customHeight="1" x14ac:dyDescent="0.25">
      <c r="A716" s="2"/>
      <c r="B716" s="2"/>
      <c r="C716" s="2"/>
      <c r="D716" s="2">
        <f>COUNTIF(contact[[#This Row],[Bagossy]:[Szo
03:00 - 10:00]],"=~?")</f>
        <v>0</v>
      </c>
      <c r="E716" s="2">
        <f>COUNTIF(contact[[#This Row],[Bagossy]:[Szo
03:00 - 10:00]],"=x")</f>
        <v>0</v>
      </c>
      <c r="F716" s="2">
        <f>SUM(contact[[#This Row],[?]:[x]])</f>
        <v>0</v>
      </c>
      <c r="G7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6" s="3" t="s">
        <v>4211</v>
      </c>
      <c r="K716" s="1" t="s">
        <v>1143</v>
      </c>
      <c r="L716" s="1" t="s">
        <v>2</v>
      </c>
      <c r="M716" s="1" t="s">
        <v>2</v>
      </c>
      <c r="O716" s="2"/>
      <c r="P716" s="2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spans="1:32" s="1" customFormat="1" ht="20.25" customHeight="1" x14ac:dyDescent="0.25">
      <c r="A717" s="2"/>
      <c r="B717" s="2"/>
      <c r="C717" s="2"/>
      <c r="D717" s="2">
        <f>COUNTIF(contact[[#This Row],[Bagossy]:[Szo
03:00 - 10:00]],"=~?")</f>
        <v>0</v>
      </c>
      <c r="E717" s="2">
        <f>COUNTIF(contact[[#This Row],[Bagossy]:[Szo
03:00 - 10:00]],"=x")</f>
        <v>0</v>
      </c>
      <c r="F717" s="2">
        <f>SUM(contact[[#This Row],[?]:[x]])</f>
        <v>0</v>
      </c>
      <c r="G7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7" s="3" t="s">
        <v>415</v>
      </c>
      <c r="K717" s="1" t="s">
        <v>1458</v>
      </c>
      <c r="L717" s="1" t="s">
        <v>2</v>
      </c>
      <c r="M717" s="1" t="s">
        <v>2</v>
      </c>
      <c r="O717" s="2"/>
      <c r="P717" s="2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spans="1:32" s="1" customFormat="1" ht="20.25" customHeight="1" x14ac:dyDescent="0.25">
      <c r="A718" s="2"/>
      <c r="B718" s="2"/>
      <c r="C718" s="2"/>
      <c r="D718" s="2">
        <f>COUNTIF(contact[[#This Row],[Bagossy]:[Szo
03:00 - 10:00]],"=~?")</f>
        <v>0</v>
      </c>
      <c r="E718" s="2">
        <f>COUNTIF(contact[[#This Row],[Bagossy]:[Szo
03:00 - 10:00]],"=x")</f>
        <v>0</v>
      </c>
      <c r="F718" s="2">
        <f>SUM(contact[[#This Row],[?]:[x]])</f>
        <v>0</v>
      </c>
      <c r="G7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8" s="3" t="s">
        <v>419</v>
      </c>
      <c r="K718" s="1" t="s">
        <v>2</v>
      </c>
      <c r="L718" s="1" t="s">
        <v>2</v>
      </c>
      <c r="M718" s="1" t="s">
        <v>2</v>
      </c>
      <c r="O718" s="2"/>
      <c r="P718" s="2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spans="1:32" s="1" customFormat="1" ht="20.25" customHeight="1" x14ac:dyDescent="0.25">
      <c r="A719" s="2"/>
      <c r="B719" s="2"/>
      <c r="C719" s="2"/>
      <c r="D719" s="2">
        <f>COUNTIF(contact[[#This Row],[Bagossy]:[Szo
03:00 - 10:00]],"=~?")</f>
        <v>0</v>
      </c>
      <c r="E719" s="2">
        <f>COUNTIF(contact[[#This Row],[Bagossy]:[Szo
03:00 - 10:00]],"=x")</f>
        <v>0</v>
      </c>
      <c r="F719" s="2">
        <f>SUM(contact[[#This Row],[?]:[x]])</f>
        <v>0</v>
      </c>
      <c r="G7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19" s="3" t="s">
        <v>1917</v>
      </c>
      <c r="K719" s="1" t="s">
        <v>2</v>
      </c>
      <c r="L719" s="1" t="s">
        <v>2</v>
      </c>
      <c r="M719" s="1" t="s">
        <v>2</v>
      </c>
      <c r="O719" s="2"/>
      <c r="P719" s="2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spans="1:32" s="1" customFormat="1" ht="20.25" customHeight="1" x14ac:dyDescent="0.25">
      <c r="A720" s="2"/>
      <c r="B720" s="2"/>
      <c r="C720" s="2"/>
      <c r="D720" s="2">
        <f>COUNTIF(contact[[#This Row],[Bagossy]:[Szo
03:00 - 10:00]],"=~?")</f>
        <v>0</v>
      </c>
      <c r="E720" s="2">
        <f>COUNTIF(contact[[#This Row],[Bagossy]:[Szo
03:00 - 10:00]],"=x")</f>
        <v>0</v>
      </c>
      <c r="F720" s="2">
        <f>SUM(contact[[#This Row],[?]:[x]])</f>
        <v>0</v>
      </c>
      <c r="G7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0" s="3" t="s">
        <v>3608</v>
      </c>
      <c r="K720" s="1" t="s">
        <v>2</v>
      </c>
      <c r="L720" s="1" t="s">
        <v>2</v>
      </c>
      <c r="M720" s="1" t="s">
        <v>2</v>
      </c>
      <c r="O720" s="2"/>
      <c r="P720" s="2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spans="1:32" s="1" customFormat="1" ht="20.25" customHeight="1" x14ac:dyDescent="0.25">
      <c r="A721" s="2"/>
      <c r="B721" s="2"/>
      <c r="C721" s="2"/>
      <c r="D721" s="2">
        <f>COUNTIF(contact[[#This Row],[Bagossy]:[Szo
03:00 - 10:00]],"=~?")</f>
        <v>0</v>
      </c>
      <c r="E721" s="2">
        <f>COUNTIF(contact[[#This Row],[Bagossy]:[Szo
03:00 - 10:00]],"=x")</f>
        <v>0</v>
      </c>
      <c r="F721" s="2">
        <f>SUM(contact[[#This Row],[?]:[x]])</f>
        <v>0</v>
      </c>
      <c r="G7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1" s="3" t="s">
        <v>2479</v>
      </c>
      <c r="K721" s="1" t="s">
        <v>332</v>
      </c>
      <c r="L721" s="1" t="s">
        <v>2</v>
      </c>
      <c r="M721" s="1" t="s">
        <v>2</v>
      </c>
      <c r="O721" s="2"/>
      <c r="P721" s="2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spans="1:32" s="1" customFormat="1" ht="20.25" customHeight="1" x14ac:dyDescent="0.25">
      <c r="A722" s="2"/>
      <c r="B722" s="2"/>
      <c r="C722" s="2"/>
      <c r="D722" s="2">
        <f>COUNTIF(contact[[#This Row],[Bagossy]:[Szo
03:00 - 10:00]],"=~?")</f>
        <v>0</v>
      </c>
      <c r="E722" s="2">
        <f>COUNTIF(contact[[#This Row],[Bagossy]:[Szo
03:00 - 10:00]],"=x")</f>
        <v>0</v>
      </c>
      <c r="F722" s="2">
        <f>SUM(contact[[#This Row],[?]:[x]])</f>
        <v>0</v>
      </c>
      <c r="G7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22" s="2"/>
      <c r="I722" s="2"/>
      <c r="J722" s="3" t="s">
        <v>2765</v>
      </c>
      <c r="K722" s="1" t="s">
        <v>1481</v>
      </c>
      <c r="L722" s="1" t="s">
        <v>2</v>
      </c>
      <c r="M722" s="1" t="s">
        <v>2</v>
      </c>
      <c r="O722" s="2"/>
      <c r="P722" s="2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spans="1:32" s="1" customFormat="1" ht="20.25" customHeight="1" x14ac:dyDescent="0.25">
      <c r="A723" s="2"/>
      <c r="B723" s="2"/>
      <c r="C723" s="2"/>
      <c r="D723" s="2">
        <f>COUNTIF(contact[[#This Row],[Bagossy]:[Szo
03:00 - 10:00]],"=~?")</f>
        <v>0</v>
      </c>
      <c r="E723" s="2">
        <f>COUNTIF(contact[[#This Row],[Bagossy]:[Szo
03:00 - 10:00]],"=x")</f>
        <v>0</v>
      </c>
      <c r="F723" s="2">
        <f>SUM(contact[[#This Row],[?]:[x]])</f>
        <v>0</v>
      </c>
      <c r="G7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3" s="3" t="s">
        <v>4531</v>
      </c>
      <c r="K723" s="1" t="s">
        <v>2</v>
      </c>
      <c r="L723" s="1" t="s">
        <v>2</v>
      </c>
      <c r="M723" s="1" t="s">
        <v>2</v>
      </c>
      <c r="O723" s="2"/>
      <c r="P723" s="2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spans="1:32" s="1" customFormat="1" ht="20.25" customHeight="1" x14ac:dyDescent="0.25">
      <c r="A724" s="2"/>
      <c r="B724" s="2"/>
      <c r="C724" s="2"/>
      <c r="D724" s="2">
        <f>COUNTIF(contact[[#This Row],[Bagossy]:[Szo
03:00 - 10:00]],"=~?")</f>
        <v>0</v>
      </c>
      <c r="E724" s="2">
        <f>COUNTIF(contact[[#This Row],[Bagossy]:[Szo
03:00 - 10:00]],"=x")</f>
        <v>0</v>
      </c>
      <c r="F724" s="2">
        <f>SUM(contact[[#This Row],[?]:[x]])</f>
        <v>0</v>
      </c>
      <c r="G7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4" s="3" t="s">
        <v>2431</v>
      </c>
      <c r="K724" s="1" t="s">
        <v>2</v>
      </c>
      <c r="L724" s="1" t="s">
        <v>2</v>
      </c>
      <c r="M724" s="1" t="s">
        <v>2</v>
      </c>
      <c r="O724" s="2"/>
      <c r="P724" s="2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spans="1:32" s="1" customFormat="1" ht="20.25" customHeight="1" x14ac:dyDescent="0.25">
      <c r="A725" s="2"/>
      <c r="B725" s="2"/>
      <c r="C725" s="2"/>
      <c r="D725" s="2">
        <f>COUNTIF(contact[[#This Row],[Bagossy]:[Szo
03:00 - 10:00]],"=~?")</f>
        <v>0</v>
      </c>
      <c r="E725" s="2">
        <f>COUNTIF(contact[[#This Row],[Bagossy]:[Szo
03:00 - 10:00]],"=x")</f>
        <v>0</v>
      </c>
      <c r="F725" s="2">
        <f>SUM(contact[[#This Row],[?]:[x]])</f>
        <v>0</v>
      </c>
      <c r="G7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5" s="3" t="s">
        <v>3836</v>
      </c>
      <c r="K725" s="1" t="s">
        <v>2</v>
      </c>
      <c r="L725" s="1" t="s">
        <v>2</v>
      </c>
      <c r="M725" s="1" t="s">
        <v>2</v>
      </c>
      <c r="O725" s="2"/>
      <c r="P725" s="2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spans="1:32" s="1" customFormat="1" ht="20.25" customHeight="1" x14ac:dyDescent="0.25">
      <c r="A726" s="2"/>
      <c r="B726" s="2"/>
      <c r="C726" s="2"/>
      <c r="D726" s="2">
        <f>COUNTIF(contact[[#This Row],[Bagossy]:[Szo
03:00 - 10:00]],"=~?")</f>
        <v>0</v>
      </c>
      <c r="E726" s="2">
        <f>COUNTIF(contact[[#This Row],[Bagossy]:[Szo
03:00 - 10:00]],"=x")</f>
        <v>0</v>
      </c>
      <c r="F726" s="2">
        <f>SUM(contact[[#This Row],[?]:[x]])</f>
        <v>0</v>
      </c>
      <c r="G7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6" s="3" t="s">
        <v>4437</v>
      </c>
      <c r="K726" s="1" t="s">
        <v>2</v>
      </c>
      <c r="L726" s="1" t="s">
        <v>2</v>
      </c>
      <c r="M726" s="1" t="s">
        <v>2</v>
      </c>
      <c r="O726" s="2"/>
      <c r="P726" s="2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spans="1:32" s="1" customFormat="1" ht="20.25" customHeight="1" x14ac:dyDescent="0.25">
      <c r="A727" s="2"/>
      <c r="B727" s="2"/>
      <c r="C727" s="2"/>
      <c r="D727" s="2">
        <f>COUNTIF(contact[[#This Row],[Bagossy]:[Szo
03:00 - 10:00]],"=~?")</f>
        <v>0</v>
      </c>
      <c r="E727" s="2">
        <f>COUNTIF(contact[[#This Row],[Bagossy]:[Szo
03:00 - 10:00]],"=x")</f>
        <v>0</v>
      </c>
      <c r="F727" s="2">
        <f>SUM(contact[[#This Row],[?]:[x]])</f>
        <v>0</v>
      </c>
      <c r="G7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7" s="3" t="s">
        <v>420</v>
      </c>
      <c r="K727" s="1" t="s">
        <v>2</v>
      </c>
      <c r="L727" s="1" t="s">
        <v>2</v>
      </c>
      <c r="M727" s="1" t="s">
        <v>2</v>
      </c>
      <c r="O727" s="2"/>
      <c r="P727" s="2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spans="1:32" s="1" customFormat="1" ht="20.25" customHeight="1" x14ac:dyDescent="0.25">
      <c r="A728" s="2"/>
      <c r="B728" s="2"/>
      <c r="C728" s="2" t="s">
        <v>1285</v>
      </c>
      <c r="D728" s="2">
        <f>COUNTIF(contact[[#This Row],[Bagossy]:[Szo
03:00 - 10:00]],"=~?")</f>
        <v>0</v>
      </c>
      <c r="E728" s="2">
        <f>COUNTIF(contact[[#This Row],[Bagossy]:[Szo
03:00 - 10:00]],"=x")</f>
        <v>0</v>
      </c>
      <c r="F728" s="2">
        <f>SUM(contact[[#This Row],[?]:[x]])</f>
        <v>0</v>
      </c>
      <c r="G7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28" s="2" t="s">
        <v>4616</v>
      </c>
      <c r="I728" s="2"/>
      <c r="J728" s="3" t="s">
        <v>2766</v>
      </c>
      <c r="K728" s="1" t="s">
        <v>683</v>
      </c>
      <c r="L728" s="1" t="s">
        <v>2</v>
      </c>
      <c r="M728" s="1" t="s">
        <v>2</v>
      </c>
      <c r="O728" s="2"/>
      <c r="P728" s="2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spans="1:32" s="1" customFormat="1" ht="20.25" customHeight="1" x14ac:dyDescent="0.25">
      <c r="A729" s="2"/>
      <c r="B729" s="2"/>
      <c r="C729" s="2"/>
      <c r="D729" s="2">
        <f>COUNTIF(contact[[#This Row],[Bagossy]:[Szo
03:00 - 10:00]],"=~?")</f>
        <v>0</v>
      </c>
      <c r="E729" s="2">
        <f>COUNTIF(contact[[#This Row],[Bagossy]:[Szo
03:00 - 10:00]],"=x")</f>
        <v>0</v>
      </c>
      <c r="F729" s="2">
        <f>SUM(contact[[#This Row],[?]:[x]])</f>
        <v>0</v>
      </c>
      <c r="G7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29" s="3" t="s">
        <v>4493</v>
      </c>
      <c r="K729" s="1" t="s">
        <v>2</v>
      </c>
      <c r="L729" s="1" t="s">
        <v>2</v>
      </c>
      <c r="M729" s="1" t="s">
        <v>2</v>
      </c>
      <c r="O729" s="2"/>
      <c r="P729" s="2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spans="1:32" s="1" customFormat="1" ht="20.25" customHeight="1" x14ac:dyDescent="0.25">
      <c r="A730" s="2"/>
      <c r="B730" s="2"/>
      <c r="C730" s="2"/>
      <c r="D730" s="2">
        <f>COUNTIF(contact[[#This Row],[Bagossy]:[Szo
03:00 - 10:00]],"=~?")</f>
        <v>0</v>
      </c>
      <c r="E730" s="2">
        <f>COUNTIF(contact[[#This Row],[Bagossy]:[Szo
03:00 - 10:00]],"=x")</f>
        <v>0</v>
      </c>
      <c r="F730" s="2">
        <f>SUM(contact[[#This Row],[?]:[x]])</f>
        <v>0</v>
      </c>
      <c r="G7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0" s="3" t="s">
        <v>4532</v>
      </c>
      <c r="K730" s="1" t="s">
        <v>221</v>
      </c>
      <c r="L730" s="1" t="s">
        <v>2</v>
      </c>
      <c r="M730" s="1" t="s">
        <v>2</v>
      </c>
      <c r="O730" s="2"/>
      <c r="P730" s="2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spans="1:32" s="1" customFormat="1" ht="20.25" customHeight="1" x14ac:dyDescent="0.25">
      <c r="A731" s="2"/>
      <c r="B731" s="2"/>
      <c r="C731" s="2"/>
      <c r="D731" s="2">
        <f>COUNTIF(contact[[#This Row],[Bagossy]:[Szo
03:00 - 10:00]],"=~?")</f>
        <v>0</v>
      </c>
      <c r="E731" s="2">
        <f>COUNTIF(contact[[#This Row],[Bagossy]:[Szo
03:00 - 10:00]],"=x")</f>
        <v>0</v>
      </c>
      <c r="F731" s="2">
        <f>SUM(contact[[#This Row],[?]:[x]])</f>
        <v>0</v>
      </c>
      <c r="G7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1" s="3" t="s">
        <v>421</v>
      </c>
      <c r="K731" s="1" t="s">
        <v>2</v>
      </c>
      <c r="L731" s="1" t="s">
        <v>2</v>
      </c>
      <c r="M731" s="1" t="s">
        <v>2</v>
      </c>
      <c r="O731" s="2"/>
      <c r="P731" s="2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spans="1:32" s="1" customFormat="1" ht="20.25" customHeight="1" x14ac:dyDescent="0.25">
      <c r="A732" s="2"/>
      <c r="B732" s="2"/>
      <c r="C732" s="2"/>
      <c r="D732" s="2">
        <f>COUNTIF(contact[[#This Row],[Bagossy]:[Szo
03:00 - 10:00]],"=~?")</f>
        <v>0</v>
      </c>
      <c r="E732" s="2">
        <f>COUNTIF(contact[[#This Row],[Bagossy]:[Szo
03:00 - 10:00]],"=x")</f>
        <v>0</v>
      </c>
      <c r="F732" s="2">
        <f>SUM(contact[[#This Row],[?]:[x]])</f>
        <v>0</v>
      </c>
      <c r="G7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2" s="3" t="s">
        <v>3988</v>
      </c>
      <c r="K732" s="1" t="s">
        <v>1327</v>
      </c>
      <c r="L732" s="1" t="s">
        <v>2</v>
      </c>
      <c r="M732" s="1" t="s">
        <v>2</v>
      </c>
      <c r="O732" s="2"/>
      <c r="P732" s="2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spans="1:32" s="1" customFormat="1" ht="20.25" customHeight="1" x14ac:dyDescent="0.25">
      <c r="A733" s="2"/>
      <c r="B733" s="2"/>
      <c r="C733" s="2"/>
      <c r="D733" s="2">
        <f>COUNTIF(contact[[#This Row],[Bagossy]:[Szo
03:00 - 10:00]],"=~?")</f>
        <v>0</v>
      </c>
      <c r="E733" s="2">
        <f>COUNTIF(contact[[#This Row],[Bagossy]:[Szo
03:00 - 10:00]],"=x")</f>
        <v>0</v>
      </c>
      <c r="F733" s="2">
        <f>SUM(contact[[#This Row],[?]:[x]])</f>
        <v>0</v>
      </c>
      <c r="G7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3" s="3" t="s">
        <v>2020</v>
      </c>
      <c r="K733" s="1" t="s">
        <v>70</v>
      </c>
      <c r="L733" s="1" t="s">
        <v>2</v>
      </c>
      <c r="M733" s="1" t="s">
        <v>2</v>
      </c>
      <c r="O733" s="2"/>
      <c r="P733" s="2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spans="1:32" s="1" customFormat="1" ht="20.25" customHeight="1" x14ac:dyDescent="0.25">
      <c r="A734" s="2"/>
      <c r="B734" s="2"/>
      <c r="C734" s="2"/>
      <c r="D734" s="2">
        <f>COUNTIF(contact[[#This Row],[Bagossy]:[Szo
03:00 - 10:00]],"=~?")</f>
        <v>0</v>
      </c>
      <c r="E734" s="2">
        <f>COUNTIF(contact[[#This Row],[Bagossy]:[Szo
03:00 - 10:00]],"=x")</f>
        <v>0</v>
      </c>
      <c r="F734" s="2">
        <f>SUM(contact[[#This Row],[?]:[x]])</f>
        <v>0</v>
      </c>
      <c r="G7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4" s="3" t="s">
        <v>1956</v>
      </c>
      <c r="K734" s="1" t="s">
        <v>1298</v>
      </c>
      <c r="L734" s="1" t="s">
        <v>2</v>
      </c>
      <c r="M734" s="1" t="s">
        <v>2</v>
      </c>
      <c r="O734" s="2"/>
      <c r="P734" s="2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spans="1:32" s="1" customFormat="1" ht="20.25" customHeight="1" x14ac:dyDescent="0.25">
      <c r="A735" s="2"/>
      <c r="B735" s="2"/>
      <c r="C735" s="2"/>
      <c r="D735" s="2">
        <f>COUNTIF(contact[[#This Row],[Bagossy]:[Szo
03:00 - 10:00]],"=~?")</f>
        <v>0</v>
      </c>
      <c r="E735" s="2">
        <f>COUNTIF(contact[[#This Row],[Bagossy]:[Szo
03:00 - 10:00]],"=x")</f>
        <v>0</v>
      </c>
      <c r="F735" s="2">
        <f>SUM(contact[[#This Row],[?]:[x]])</f>
        <v>0</v>
      </c>
      <c r="G7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5" s="3" t="s">
        <v>4197</v>
      </c>
      <c r="K735" s="1" t="s">
        <v>1327</v>
      </c>
      <c r="L735" s="1" t="s">
        <v>2</v>
      </c>
      <c r="M735" s="1" t="s">
        <v>2</v>
      </c>
      <c r="O735" s="2"/>
      <c r="P735" s="2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spans="1:32" s="1" customFormat="1" ht="20.25" customHeight="1" x14ac:dyDescent="0.25">
      <c r="A736" s="2"/>
      <c r="B736" s="2"/>
      <c r="C736" s="2"/>
      <c r="D736" s="2">
        <f>COUNTIF(contact[[#This Row],[Bagossy]:[Szo
03:00 - 10:00]],"=~?")</f>
        <v>0</v>
      </c>
      <c r="E736" s="2">
        <f>COUNTIF(contact[[#This Row],[Bagossy]:[Szo
03:00 - 10:00]],"=x")</f>
        <v>0</v>
      </c>
      <c r="F736" s="2">
        <f>SUM(contact[[#This Row],[?]:[x]])</f>
        <v>0</v>
      </c>
      <c r="G7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6" s="3" t="s">
        <v>4121</v>
      </c>
      <c r="K736" s="1" t="s">
        <v>1106</v>
      </c>
      <c r="L736" s="1" t="s">
        <v>2</v>
      </c>
      <c r="M736" s="1" t="s">
        <v>2</v>
      </c>
      <c r="O736" s="2"/>
      <c r="P736" s="2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spans="1:32" s="1" customFormat="1" ht="20.25" customHeight="1" x14ac:dyDescent="0.25">
      <c r="A737" s="2"/>
      <c r="B737" s="2"/>
      <c r="C737" s="2"/>
      <c r="D737" s="2">
        <f>COUNTIF(contact[[#This Row],[Bagossy]:[Szo
03:00 - 10:00]],"=~?")</f>
        <v>0</v>
      </c>
      <c r="E737" s="2">
        <f>COUNTIF(contact[[#This Row],[Bagossy]:[Szo
03:00 - 10:00]],"=x")</f>
        <v>0</v>
      </c>
      <c r="F737" s="2">
        <f>SUM(contact[[#This Row],[?]:[x]])</f>
        <v>0</v>
      </c>
      <c r="G7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37" s="2"/>
      <c r="I737" s="2"/>
      <c r="J737" s="3" t="s">
        <v>2767</v>
      </c>
      <c r="K737" s="1" t="s">
        <v>563</v>
      </c>
      <c r="L737" s="1" t="s">
        <v>2</v>
      </c>
      <c r="M737" s="1" t="s">
        <v>2</v>
      </c>
      <c r="O737" s="2"/>
      <c r="P737" s="2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spans="1:32" s="1" customFormat="1" ht="20.25" customHeight="1" x14ac:dyDescent="0.25">
      <c r="A738" s="2"/>
      <c r="B738" s="2"/>
      <c r="C738" s="2"/>
      <c r="D738" s="2">
        <f>COUNTIF(contact[[#This Row],[Bagossy]:[Szo
03:00 - 10:00]],"=~?")</f>
        <v>0</v>
      </c>
      <c r="E738" s="2">
        <f>COUNTIF(contact[[#This Row],[Bagossy]:[Szo
03:00 - 10:00]],"=x")</f>
        <v>0</v>
      </c>
      <c r="F738" s="2">
        <f>SUM(contact[[#This Row],[?]:[x]])</f>
        <v>0</v>
      </c>
      <c r="G7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38" s="2"/>
      <c r="I738" s="2"/>
      <c r="J738" s="3" t="s">
        <v>2769</v>
      </c>
      <c r="K738" s="1" t="s">
        <v>1482</v>
      </c>
      <c r="L738" s="1" t="s">
        <v>2</v>
      </c>
      <c r="M738" s="1" t="s">
        <v>2</v>
      </c>
      <c r="O738" s="2"/>
      <c r="P738" s="2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spans="1:32" s="1" customFormat="1" ht="20.25" customHeight="1" x14ac:dyDescent="0.25">
      <c r="A739" s="2"/>
      <c r="B739" s="2"/>
      <c r="C739" s="2"/>
      <c r="D739" s="2">
        <f>COUNTIF(contact[[#This Row],[Bagossy]:[Szo
03:00 - 10:00]],"=~?")</f>
        <v>0</v>
      </c>
      <c r="E739" s="2">
        <f>COUNTIF(contact[[#This Row],[Bagossy]:[Szo
03:00 - 10:00]],"=x")</f>
        <v>0</v>
      </c>
      <c r="F739" s="2">
        <f>SUM(contact[[#This Row],[?]:[x]])</f>
        <v>0</v>
      </c>
      <c r="G7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39" s="3" t="s">
        <v>3408</v>
      </c>
      <c r="K739" s="1" t="s">
        <v>2</v>
      </c>
      <c r="L739" s="1" t="s">
        <v>2</v>
      </c>
      <c r="M739" s="1" t="s">
        <v>2</v>
      </c>
      <c r="O739" s="2"/>
      <c r="P739" s="2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spans="1:32" s="1" customFormat="1" ht="20.25" customHeight="1" x14ac:dyDescent="0.25">
      <c r="A740" s="2"/>
      <c r="B740" s="2"/>
      <c r="C740" s="2"/>
      <c r="D740" s="2">
        <f>COUNTIF(contact[[#This Row],[Bagossy]:[Szo
03:00 - 10:00]],"=~?")</f>
        <v>0</v>
      </c>
      <c r="E740" s="2">
        <f>COUNTIF(contact[[#This Row],[Bagossy]:[Szo
03:00 - 10:00]],"=x")</f>
        <v>0</v>
      </c>
      <c r="F740" s="2">
        <f>SUM(contact[[#This Row],[?]:[x]])</f>
        <v>0</v>
      </c>
      <c r="G7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0" s="3" t="s">
        <v>4453</v>
      </c>
      <c r="K740" s="1" t="s">
        <v>1245</v>
      </c>
      <c r="L740" s="1" t="s">
        <v>2</v>
      </c>
      <c r="M740" s="1" t="s">
        <v>2</v>
      </c>
      <c r="O740" s="2"/>
      <c r="P740" s="2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spans="1:32" s="1" customFormat="1" ht="20.25" customHeight="1" x14ac:dyDescent="0.25">
      <c r="A741" s="2"/>
      <c r="B741" s="2"/>
      <c r="C741" s="2"/>
      <c r="D741" s="2">
        <f>COUNTIF(contact[[#This Row],[Bagossy]:[Szo
03:00 - 10:00]],"=~?")</f>
        <v>0</v>
      </c>
      <c r="E741" s="2">
        <f>COUNTIF(contact[[#This Row],[Bagossy]:[Szo
03:00 - 10:00]],"=x")</f>
        <v>0</v>
      </c>
      <c r="F741" s="2">
        <f>SUM(contact[[#This Row],[?]:[x]])</f>
        <v>0</v>
      </c>
      <c r="G7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41" s="2"/>
      <c r="I741" s="2"/>
      <c r="J741" s="3" t="s">
        <v>2774</v>
      </c>
      <c r="K741" s="1" t="s">
        <v>193</v>
      </c>
      <c r="L741" s="1" t="s">
        <v>2</v>
      </c>
      <c r="M741" s="1" t="s">
        <v>2</v>
      </c>
      <c r="O741" s="2"/>
      <c r="P741" s="2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spans="1:32" s="1" customFormat="1" ht="20.25" customHeight="1" x14ac:dyDescent="0.25">
      <c r="A742" s="2"/>
      <c r="B742" s="2"/>
      <c r="C742" s="2"/>
      <c r="D742" s="2">
        <f>COUNTIF(contact[[#This Row],[Bagossy]:[Szo
03:00 - 10:00]],"=~?")</f>
        <v>0</v>
      </c>
      <c r="E742" s="2">
        <f>COUNTIF(contact[[#This Row],[Bagossy]:[Szo
03:00 - 10:00]],"=x")</f>
        <v>0</v>
      </c>
      <c r="F742" s="2">
        <f>SUM(contact[[#This Row],[?]:[x]])</f>
        <v>0</v>
      </c>
      <c r="G7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2" s="3" t="s">
        <v>2722</v>
      </c>
      <c r="K742" s="1" t="s">
        <v>380</v>
      </c>
      <c r="L742" s="1" t="s">
        <v>2</v>
      </c>
      <c r="M742" s="1" t="s">
        <v>2</v>
      </c>
      <c r="O742" s="2"/>
      <c r="P742" s="2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spans="1:32" s="1" customFormat="1" ht="20.25" customHeight="1" x14ac:dyDescent="0.25">
      <c r="A743" s="2"/>
      <c r="B743" s="2"/>
      <c r="C743" s="2"/>
      <c r="D743" s="2">
        <f>COUNTIF(contact[[#This Row],[Bagossy]:[Szo
03:00 - 10:00]],"=~?")</f>
        <v>0</v>
      </c>
      <c r="E743" s="2">
        <f>COUNTIF(contact[[#This Row],[Bagossy]:[Szo
03:00 - 10:00]],"=x")</f>
        <v>0</v>
      </c>
      <c r="F743" s="2">
        <f>SUM(contact[[#This Row],[?]:[x]])</f>
        <v>0</v>
      </c>
      <c r="G7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3" s="3" t="s">
        <v>3238</v>
      </c>
      <c r="K743" s="1" t="s">
        <v>2</v>
      </c>
      <c r="L743" s="1" t="s">
        <v>2</v>
      </c>
      <c r="M743" s="1" t="s">
        <v>2</v>
      </c>
      <c r="O743" s="2"/>
      <c r="P743" s="2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spans="1:32" s="1" customFormat="1" ht="20.25" customHeight="1" x14ac:dyDescent="0.25">
      <c r="A744" s="2"/>
      <c r="B744" s="2"/>
      <c r="C744" s="2"/>
      <c r="D744" s="2">
        <f>COUNTIF(contact[[#This Row],[Bagossy]:[Szo
03:00 - 10:00]],"=~?")</f>
        <v>0</v>
      </c>
      <c r="E744" s="2">
        <f>COUNTIF(contact[[#This Row],[Bagossy]:[Szo
03:00 - 10:00]],"=x")</f>
        <v>0</v>
      </c>
      <c r="F744" s="2">
        <f>SUM(contact[[#This Row],[?]:[x]])</f>
        <v>0</v>
      </c>
      <c r="G7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4" s="3" t="s">
        <v>2657</v>
      </c>
      <c r="K744" s="1" t="s">
        <v>2</v>
      </c>
      <c r="L744" s="1" t="s">
        <v>2</v>
      </c>
      <c r="M744" s="1" t="s">
        <v>2</v>
      </c>
      <c r="O744" s="2"/>
      <c r="P744" s="2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spans="1:32" s="1" customFormat="1" ht="20.25" customHeight="1" x14ac:dyDescent="0.25">
      <c r="A745" s="2"/>
      <c r="B745" s="2"/>
      <c r="C745" s="2"/>
      <c r="D745" s="2">
        <f>COUNTIF(contact[[#This Row],[Bagossy]:[Szo
03:00 - 10:00]],"=~?")</f>
        <v>0</v>
      </c>
      <c r="E745" s="2">
        <f>COUNTIF(contact[[#This Row],[Bagossy]:[Szo
03:00 - 10:00]],"=x")</f>
        <v>0</v>
      </c>
      <c r="F745" s="2">
        <f>SUM(contact[[#This Row],[?]:[x]])</f>
        <v>0</v>
      </c>
      <c r="G7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5" s="3" t="s">
        <v>1898</v>
      </c>
      <c r="K745" s="1" t="s">
        <v>2</v>
      </c>
      <c r="L745" s="1" t="s">
        <v>2</v>
      </c>
      <c r="M745" s="1" t="s">
        <v>2</v>
      </c>
      <c r="O745" s="2"/>
      <c r="P745" s="2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spans="1:32" s="1" customFormat="1" ht="20.25" customHeight="1" x14ac:dyDescent="0.25">
      <c r="A746" s="2"/>
      <c r="B746" s="2"/>
      <c r="C746" s="2"/>
      <c r="D746" s="2">
        <f>COUNTIF(contact[[#This Row],[Bagossy]:[Szo
03:00 - 10:00]],"=~?")</f>
        <v>0</v>
      </c>
      <c r="E746" s="2">
        <f>COUNTIF(contact[[#This Row],[Bagossy]:[Szo
03:00 - 10:00]],"=x")</f>
        <v>0</v>
      </c>
      <c r="F746" s="2">
        <f>SUM(contact[[#This Row],[?]:[x]])</f>
        <v>0</v>
      </c>
      <c r="G7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6" s="3" t="s">
        <v>436</v>
      </c>
      <c r="K746" s="1" t="s">
        <v>2</v>
      </c>
      <c r="L746" s="1" t="s">
        <v>2</v>
      </c>
      <c r="M746" s="1" t="s">
        <v>2</v>
      </c>
      <c r="O746" s="2"/>
      <c r="P746" s="2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spans="1:32" s="1" customFormat="1" ht="20.25" customHeight="1" x14ac:dyDescent="0.25">
      <c r="A747" s="2"/>
      <c r="B747" s="2"/>
      <c r="C747" s="2"/>
      <c r="D747" s="2">
        <f>COUNTIF(contact[[#This Row],[Bagossy]:[Szo
03:00 - 10:00]],"=~?")</f>
        <v>0</v>
      </c>
      <c r="E747" s="2">
        <f>COUNTIF(contact[[#This Row],[Bagossy]:[Szo
03:00 - 10:00]],"=x")</f>
        <v>0</v>
      </c>
      <c r="F747" s="2">
        <f>SUM(contact[[#This Row],[?]:[x]])</f>
        <v>0</v>
      </c>
      <c r="G7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47" s="2"/>
      <c r="I747" s="2"/>
      <c r="J747" s="3" t="s">
        <v>2779</v>
      </c>
      <c r="K747" s="1" t="s">
        <v>1485</v>
      </c>
      <c r="L747" s="1" t="s">
        <v>2</v>
      </c>
      <c r="M747" s="1" t="s">
        <v>2</v>
      </c>
      <c r="O747" s="2"/>
      <c r="P747" s="2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spans="1:32" s="1" customFormat="1" ht="20.25" customHeight="1" x14ac:dyDescent="0.25">
      <c r="A748" s="2"/>
      <c r="B748" s="2"/>
      <c r="C748" s="2"/>
      <c r="D748" s="2">
        <f>COUNTIF(contact[[#This Row],[Bagossy]:[Szo
03:00 - 10:00]],"=~?")</f>
        <v>0</v>
      </c>
      <c r="E748" s="2">
        <f>COUNTIF(contact[[#This Row],[Bagossy]:[Szo
03:00 - 10:00]],"=x")</f>
        <v>0</v>
      </c>
      <c r="F748" s="2">
        <f>SUM(contact[[#This Row],[?]:[x]])</f>
        <v>0</v>
      </c>
      <c r="G7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8" s="3" t="s">
        <v>4405</v>
      </c>
      <c r="K748" s="1" t="s">
        <v>568</v>
      </c>
      <c r="L748" s="1" t="s">
        <v>2</v>
      </c>
      <c r="M748" s="1" t="s">
        <v>2</v>
      </c>
      <c r="O748" s="2"/>
      <c r="P748" s="2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spans="1:32" s="1" customFormat="1" ht="20.25" customHeight="1" x14ac:dyDescent="0.25">
      <c r="A749" s="2"/>
      <c r="B749" s="2"/>
      <c r="C749" s="2"/>
      <c r="D749" s="2">
        <f>COUNTIF(contact[[#This Row],[Bagossy]:[Szo
03:00 - 10:00]],"=~?")</f>
        <v>0</v>
      </c>
      <c r="E749" s="2">
        <f>COUNTIF(contact[[#This Row],[Bagossy]:[Szo
03:00 - 10:00]],"=x")</f>
        <v>0</v>
      </c>
      <c r="F749" s="2">
        <f>SUM(contact[[#This Row],[?]:[x]])</f>
        <v>0</v>
      </c>
      <c r="G7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49" s="3" t="s">
        <v>2123</v>
      </c>
      <c r="K749" s="1" t="s">
        <v>123</v>
      </c>
      <c r="L749" s="1" t="s">
        <v>2</v>
      </c>
      <c r="M749" s="1" t="s">
        <v>2</v>
      </c>
      <c r="O749" s="2"/>
      <c r="P749" s="2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spans="1:32" s="1" customFormat="1" ht="20.25" customHeight="1" x14ac:dyDescent="0.25">
      <c r="A750" s="2"/>
      <c r="B750" s="2"/>
      <c r="C750" s="2"/>
      <c r="D750" s="2">
        <f>COUNTIF(contact[[#This Row],[Bagossy]:[Szo
03:00 - 10:00]],"=~?")</f>
        <v>0</v>
      </c>
      <c r="E750" s="2">
        <f>COUNTIF(contact[[#This Row],[Bagossy]:[Szo
03:00 - 10:00]],"=x")</f>
        <v>0</v>
      </c>
      <c r="F750" s="2">
        <f>SUM(contact[[#This Row],[?]:[x]])</f>
        <v>0</v>
      </c>
      <c r="G7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50" s="2"/>
      <c r="I750" s="2"/>
      <c r="J750" s="3" t="s">
        <v>2785</v>
      </c>
      <c r="K750" s="1" t="s">
        <v>54</v>
      </c>
      <c r="L750" s="1" t="s">
        <v>2</v>
      </c>
      <c r="M750" s="1" t="s">
        <v>2</v>
      </c>
      <c r="O750" s="2"/>
      <c r="P750" s="2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spans="1:32" s="1" customFormat="1" ht="20.25" customHeight="1" x14ac:dyDescent="0.25">
      <c r="A751" s="2"/>
      <c r="B751" s="2"/>
      <c r="C751" s="2"/>
      <c r="D751" s="2">
        <f>COUNTIF(contact[[#This Row],[Bagossy]:[Szo
03:00 - 10:00]],"=~?")</f>
        <v>0</v>
      </c>
      <c r="E751" s="2">
        <f>COUNTIF(contact[[#This Row],[Bagossy]:[Szo
03:00 - 10:00]],"=x")</f>
        <v>0</v>
      </c>
      <c r="F751" s="2">
        <f>SUM(contact[[#This Row],[?]:[x]])</f>
        <v>0</v>
      </c>
      <c r="G7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51" s="2"/>
      <c r="I751" s="2"/>
      <c r="J751" s="3" t="s">
        <v>2790</v>
      </c>
      <c r="K751" s="1" t="s">
        <v>512</v>
      </c>
      <c r="L751" s="1" t="s">
        <v>2</v>
      </c>
      <c r="M751" s="1" t="s">
        <v>2</v>
      </c>
      <c r="O751" s="2"/>
      <c r="P751" s="2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spans="1:32" s="1" customFormat="1" ht="20.25" customHeight="1" x14ac:dyDescent="0.25">
      <c r="A752" s="2"/>
      <c r="B752" s="2"/>
      <c r="C752" s="2"/>
      <c r="D752" s="2">
        <f>COUNTIF(contact[[#This Row],[Bagossy]:[Szo
03:00 - 10:00]],"=~?")</f>
        <v>0</v>
      </c>
      <c r="E752" s="2">
        <f>COUNTIF(contact[[#This Row],[Bagossy]:[Szo
03:00 - 10:00]],"=x")</f>
        <v>0</v>
      </c>
      <c r="F752" s="2">
        <f>SUM(contact[[#This Row],[?]:[x]])</f>
        <v>0</v>
      </c>
      <c r="G7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52" s="2"/>
      <c r="I752" s="2"/>
      <c r="J752" s="3" t="s">
        <v>2790</v>
      </c>
      <c r="K752" s="1" t="s">
        <v>513</v>
      </c>
      <c r="L752" s="1" t="s">
        <v>2</v>
      </c>
      <c r="M752" s="1" t="s">
        <v>2</v>
      </c>
      <c r="O752" s="2"/>
      <c r="P752" s="2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spans="1:32" s="1" customFormat="1" ht="20.25" customHeight="1" x14ac:dyDescent="0.25">
      <c r="A753" s="2"/>
      <c r="B753" s="2"/>
      <c r="C753" s="2"/>
      <c r="D753" s="2">
        <f>COUNTIF(contact[[#This Row],[Bagossy]:[Szo
03:00 - 10:00]],"=~?")</f>
        <v>0</v>
      </c>
      <c r="E753" s="2">
        <f>COUNTIF(contact[[#This Row],[Bagossy]:[Szo
03:00 - 10:00]],"=x")</f>
        <v>0</v>
      </c>
      <c r="F753" s="2">
        <f>SUM(contact[[#This Row],[?]:[x]])</f>
        <v>0</v>
      </c>
      <c r="G7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53" s="3" t="s">
        <v>3293</v>
      </c>
      <c r="K753" s="1" t="s">
        <v>2</v>
      </c>
      <c r="L753" s="1" t="s">
        <v>2</v>
      </c>
      <c r="M753" s="1" t="s">
        <v>2</v>
      </c>
      <c r="O753" s="2"/>
      <c r="P753" s="2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spans="1:32" s="1" customFormat="1" ht="20.25" customHeight="1" x14ac:dyDescent="0.25">
      <c r="A754" s="2"/>
      <c r="B754" s="2"/>
      <c r="C754" s="2"/>
      <c r="D754" s="2">
        <f>COUNTIF(contact[[#This Row],[Bagossy]:[Szo
03:00 - 10:00]],"=~?")</f>
        <v>0</v>
      </c>
      <c r="E754" s="2">
        <f>COUNTIF(contact[[#This Row],[Bagossy]:[Szo
03:00 - 10:00]],"=x")</f>
        <v>0</v>
      </c>
      <c r="F754" s="2">
        <f>SUM(contact[[#This Row],[?]:[x]])</f>
        <v>0</v>
      </c>
      <c r="G7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54" s="2"/>
      <c r="I754" s="2"/>
      <c r="J754" s="3" t="s">
        <v>2798</v>
      </c>
      <c r="K754" s="1" t="s">
        <v>151</v>
      </c>
      <c r="L754" s="1" t="s">
        <v>2</v>
      </c>
      <c r="M754" s="1" t="s">
        <v>2</v>
      </c>
      <c r="O754" s="2"/>
      <c r="P754" s="2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spans="1:32" s="1" customFormat="1" ht="20.25" customHeight="1" x14ac:dyDescent="0.25">
      <c r="A755" s="2"/>
      <c r="B755" s="2"/>
      <c r="C755" s="2"/>
      <c r="D755" s="2">
        <f>COUNTIF(contact[[#This Row],[Bagossy]:[Szo
03:00 - 10:00]],"=~?")</f>
        <v>0</v>
      </c>
      <c r="E755" s="2">
        <f>COUNTIF(contact[[#This Row],[Bagossy]:[Szo
03:00 - 10:00]],"=x")</f>
        <v>0</v>
      </c>
      <c r="F755" s="2">
        <f>SUM(contact[[#This Row],[?]:[x]])</f>
        <v>0</v>
      </c>
      <c r="G7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55" s="3" t="s">
        <v>3450</v>
      </c>
      <c r="K755" s="1" t="s">
        <v>2</v>
      </c>
      <c r="L755" s="1" t="s">
        <v>2</v>
      </c>
      <c r="M755" s="1" t="s">
        <v>2</v>
      </c>
      <c r="O755" s="2"/>
      <c r="P755" s="2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spans="1:32" s="1" customFormat="1" ht="20.25" customHeight="1" x14ac:dyDescent="0.25">
      <c r="A756" s="2"/>
      <c r="B756" s="2"/>
      <c r="C756" s="2"/>
      <c r="D756" s="2">
        <f>COUNTIF(contact[[#This Row],[Bagossy]:[Szo
03:00 - 10:00]],"=~?")</f>
        <v>0</v>
      </c>
      <c r="E756" s="2">
        <f>COUNTIF(contact[[#This Row],[Bagossy]:[Szo
03:00 - 10:00]],"=x")</f>
        <v>0</v>
      </c>
      <c r="F756" s="2">
        <f>SUM(contact[[#This Row],[?]:[x]])</f>
        <v>0</v>
      </c>
      <c r="G7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56" s="2"/>
      <c r="I756" s="2"/>
      <c r="J756" s="3" t="s">
        <v>2814</v>
      </c>
      <c r="K756" s="1" t="s">
        <v>1056</v>
      </c>
      <c r="L756" s="1" t="s">
        <v>2</v>
      </c>
      <c r="M756" s="1" t="s">
        <v>2</v>
      </c>
      <c r="O756" s="2"/>
      <c r="P756" s="2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spans="1:32" s="1" customFormat="1" ht="20.25" customHeight="1" x14ac:dyDescent="0.25">
      <c r="A757" s="2"/>
      <c r="B757" s="2"/>
      <c r="C757" s="2"/>
      <c r="D757" s="2">
        <f>COUNTIF(contact[[#This Row],[Bagossy]:[Szo
03:00 - 10:00]],"=~?")</f>
        <v>0</v>
      </c>
      <c r="E757" s="2">
        <f>COUNTIF(contact[[#This Row],[Bagossy]:[Szo
03:00 - 10:00]],"=x")</f>
        <v>0</v>
      </c>
      <c r="F757" s="2">
        <f>SUM(contact[[#This Row],[?]:[x]])</f>
        <v>0</v>
      </c>
      <c r="G7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57" s="3" t="s">
        <v>3708</v>
      </c>
      <c r="K757" s="1" t="s">
        <v>437</v>
      </c>
      <c r="L757" s="1" t="s">
        <v>2</v>
      </c>
      <c r="M757" s="1" t="s">
        <v>2</v>
      </c>
      <c r="O757" s="2"/>
      <c r="P757" s="2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spans="1:32" s="1" customFormat="1" ht="20.25" customHeight="1" x14ac:dyDescent="0.25">
      <c r="A758" s="2"/>
      <c r="B758" s="2"/>
      <c r="C758" s="2"/>
      <c r="D758" s="2">
        <f>COUNTIF(contact[[#This Row],[Bagossy]:[Szo
03:00 - 10:00]],"=~?")</f>
        <v>0</v>
      </c>
      <c r="E758" s="2">
        <f>COUNTIF(contact[[#This Row],[Bagossy]:[Szo
03:00 - 10:00]],"=x")</f>
        <v>0</v>
      </c>
      <c r="F758" s="2">
        <f>SUM(contact[[#This Row],[?]:[x]])</f>
        <v>0</v>
      </c>
      <c r="G7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58" s="2"/>
      <c r="I758" s="2"/>
      <c r="J758" s="3" t="s">
        <v>2815</v>
      </c>
      <c r="K758" s="1" t="s">
        <v>636</v>
      </c>
      <c r="L758" s="1" t="s">
        <v>2</v>
      </c>
      <c r="M758" s="1" t="s">
        <v>2</v>
      </c>
      <c r="O758" s="2"/>
      <c r="P758" s="2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spans="1:32" s="1" customFormat="1" ht="20.25" customHeight="1" x14ac:dyDescent="0.25">
      <c r="A759" s="2"/>
      <c r="B759" s="2"/>
      <c r="C759" s="2"/>
      <c r="D759" s="2">
        <f>COUNTIF(contact[[#This Row],[Bagossy]:[Szo
03:00 - 10:00]],"=~?")</f>
        <v>0</v>
      </c>
      <c r="E759" s="2">
        <f>COUNTIF(contact[[#This Row],[Bagossy]:[Szo
03:00 - 10:00]],"=x")</f>
        <v>0</v>
      </c>
      <c r="F759" s="2">
        <f>SUM(contact[[#This Row],[?]:[x]])</f>
        <v>0</v>
      </c>
      <c r="G7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59" s="3" t="s">
        <v>3627</v>
      </c>
      <c r="K759" s="1" t="s">
        <v>1689</v>
      </c>
      <c r="L759" s="1" t="s">
        <v>2</v>
      </c>
      <c r="M759" s="1" t="s">
        <v>2</v>
      </c>
      <c r="O759" s="2"/>
      <c r="P759" s="2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spans="1:32" s="1" customFormat="1" ht="20.25" customHeight="1" x14ac:dyDescent="0.25">
      <c r="A760" s="2"/>
      <c r="B760" s="2"/>
      <c r="C760" s="2"/>
      <c r="D760" s="2">
        <f>COUNTIF(contact[[#This Row],[Bagossy]:[Szo
03:00 - 10:00]],"=~?")</f>
        <v>0</v>
      </c>
      <c r="E760" s="2">
        <f>COUNTIF(contact[[#This Row],[Bagossy]:[Szo
03:00 - 10:00]],"=x")</f>
        <v>0</v>
      </c>
      <c r="F760" s="2">
        <f>SUM(contact[[#This Row],[?]:[x]])</f>
        <v>0</v>
      </c>
      <c r="G7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0" s="3" t="s">
        <v>3626</v>
      </c>
      <c r="K760" s="1" t="s">
        <v>2</v>
      </c>
      <c r="L760" s="1" t="s">
        <v>2</v>
      </c>
      <c r="M760" s="1" t="s">
        <v>2</v>
      </c>
      <c r="O760" s="2"/>
      <c r="P760" s="2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spans="1:32" s="1" customFormat="1" ht="20.25" customHeight="1" x14ac:dyDescent="0.25">
      <c r="A761" s="2"/>
      <c r="B761" s="2"/>
      <c r="C761" s="2"/>
      <c r="D761" s="2">
        <f>COUNTIF(contact[[#This Row],[Bagossy]:[Szo
03:00 - 10:00]],"=~?")</f>
        <v>0</v>
      </c>
      <c r="E761" s="2">
        <f>COUNTIF(contact[[#This Row],[Bagossy]:[Szo
03:00 - 10:00]],"=x")</f>
        <v>0</v>
      </c>
      <c r="F761" s="2">
        <f>SUM(contact[[#This Row],[?]:[x]])</f>
        <v>0</v>
      </c>
      <c r="G7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1" s="3" t="s">
        <v>2687</v>
      </c>
      <c r="K761" s="1" t="s">
        <v>445</v>
      </c>
      <c r="L761" s="1" t="s">
        <v>2</v>
      </c>
      <c r="M761" s="1" t="s">
        <v>2</v>
      </c>
      <c r="O761" s="2"/>
      <c r="P761" s="2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spans="1:32" s="1" customFormat="1" ht="20.25" customHeight="1" x14ac:dyDescent="0.25">
      <c r="A762" s="2"/>
      <c r="B762" s="2"/>
      <c r="C762" s="2"/>
      <c r="D762" s="2">
        <f>COUNTIF(contact[[#This Row],[Bagossy]:[Szo
03:00 - 10:00]],"=~?")</f>
        <v>0</v>
      </c>
      <c r="E762" s="2">
        <f>COUNTIF(contact[[#This Row],[Bagossy]:[Szo
03:00 - 10:00]],"=x")</f>
        <v>0</v>
      </c>
      <c r="F762" s="2">
        <f>SUM(contact[[#This Row],[?]:[x]])</f>
        <v>0</v>
      </c>
      <c r="G7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2" s="3" t="s">
        <v>2136</v>
      </c>
      <c r="K762" s="1" t="s">
        <v>2</v>
      </c>
      <c r="L762" s="1" t="s">
        <v>2</v>
      </c>
      <c r="M762" s="1" t="s">
        <v>2</v>
      </c>
      <c r="O762" s="2"/>
      <c r="P762" s="2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spans="1:32" s="1" customFormat="1" ht="20.25" customHeight="1" x14ac:dyDescent="0.25">
      <c r="A763" s="2"/>
      <c r="B763" s="2"/>
      <c r="C763" s="2"/>
      <c r="D763" s="2">
        <f>COUNTIF(contact[[#This Row],[Bagossy]:[Szo
03:00 - 10:00]],"=~?")</f>
        <v>0</v>
      </c>
      <c r="E763" s="2">
        <f>COUNTIF(contact[[#This Row],[Bagossy]:[Szo
03:00 - 10:00]],"=x")</f>
        <v>0</v>
      </c>
      <c r="F763" s="2">
        <f>SUM(contact[[#This Row],[?]:[x]])</f>
        <v>0</v>
      </c>
      <c r="G7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3" s="3" t="s">
        <v>3674</v>
      </c>
      <c r="K763" s="1" t="s">
        <v>895</v>
      </c>
      <c r="L763" s="1" t="s">
        <v>2</v>
      </c>
      <c r="M763" s="1" t="s">
        <v>2</v>
      </c>
      <c r="O763" s="2"/>
      <c r="P763" s="2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spans="1:32" s="1" customFormat="1" ht="20.25" customHeight="1" x14ac:dyDescent="0.25">
      <c r="A764" s="2"/>
      <c r="B764" s="2"/>
      <c r="C764" s="2"/>
      <c r="D764" s="2">
        <f>COUNTIF(contact[[#This Row],[Bagossy]:[Szo
03:00 - 10:00]],"=~?")</f>
        <v>0</v>
      </c>
      <c r="E764" s="2">
        <f>COUNTIF(contact[[#This Row],[Bagossy]:[Szo
03:00 - 10:00]],"=x")</f>
        <v>0</v>
      </c>
      <c r="F764" s="2">
        <f>SUM(contact[[#This Row],[?]:[x]])</f>
        <v>0</v>
      </c>
      <c r="G7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4" s="3" t="s">
        <v>446</v>
      </c>
      <c r="K764" s="1" t="s">
        <v>2</v>
      </c>
      <c r="L764" s="1" t="s">
        <v>2</v>
      </c>
      <c r="M764" s="1" t="s">
        <v>2</v>
      </c>
      <c r="O764" s="2"/>
      <c r="P764" s="2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spans="1:32" s="1" customFormat="1" ht="20.25" customHeight="1" x14ac:dyDescent="0.25">
      <c r="A765" s="2"/>
      <c r="B765" s="2"/>
      <c r="C765" s="2"/>
      <c r="D765" s="2">
        <f>COUNTIF(contact[[#This Row],[Bagossy]:[Szo
03:00 - 10:00]],"=~?")</f>
        <v>0</v>
      </c>
      <c r="E765" s="2">
        <f>COUNTIF(contact[[#This Row],[Bagossy]:[Szo
03:00 - 10:00]],"=x")</f>
        <v>0</v>
      </c>
      <c r="F765" s="2">
        <f>SUM(contact[[#This Row],[?]:[x]])</f>
        <v>0</v>
      </c>
      <c r="G7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5" s="3" t="s">
        <v>4039</v>
      </c>
      <c r="K765" s="1" t="s">
        <v>1313</v>
      </c>
      <c r="L765" s="1" t="s">
        <v>2</v>
      </c>
      <c r="M765" s="1" t="s">
        <v>2</v>
      </c>
      <c r="O765" s="2"/>
      <c r="P765" s="2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spans="1:32" s="1" customFormat="1" ht="20.25" customHeight="1" x14ac:dyDescent="0.25">
      <c r="A766" s="2"/>
      <c r="B766" s="2"/>
      <c r="C766" s="2"/>
      <c r="D766" s="2">
        <f>COUNTIF(contact[[#This Row],[Bagossy]:[Szo
03:00 - 10:00]],"=~?")</f>
        <v>0</v>
      </c>
      <c r="E766" s="2">
        <f>COUNTIF(contact[[#This Row],[Bagossy]:[Szo
03:00 - 10:00]],"=x")</f>
        <v>0</v>
      </c>
      <c r="F766" s="2">
        <f>SUM(contact[[#This Row],[?]:[x]])</f>
        <v>0</v>
      </c>
      <c r="G7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66" s="2"/>
      <c r="I766" s="2"/>
      <c r="J766" s="3" t="s">
        <v>2816</v>
      </c>
      <c r="K766" s="1" t="s">
        <v>6</v>
      </c>
      <c r="L766" s="1" t="s">
        <v>2</v>
      </c>
      <c r="M766" s="1" t="s">
        <v>2</v>
      </c>
      <c r="O766" s="2"/>
      <c r="P766" s="2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spans="1:32" s="1" customFormat="1" ht="20.25" customHeight="1" x14ac:dyDescent="0.25">
      <c r="A767" s="2"/>
      <c r="B767" s="2"/>
      <c r="C767" s="2"/>
      <c r="D767" s="2">
        <f>COUNTIF(contact[[#This Row],[Bagossy]:[Szo
03:00 - 10:00]],"=~?")</f>
        <v>0</v>
      </c>
      <c r="E767" s="2">
        <f>COUNTIF(contact[[#This Row],[Bagossy]:[Szo
03:00 - 10:00]],"=x")</f>
        <v>0</v>
      </c>
      <c r="F767" s="2">
        <f>SUM(contact[[#This Row],[?]:[x]])</f>
        <v>0</v>
      </c>
      <c r="G7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7" s="3" t="s">
        <v>3855</v>
      </c>
      <c r="K767" s="1" t="s">
        <v>2</v>
      </c>
      <c r="L767" s="1" t="s">
        <v>2</v>
      </c>
      <c r="M767" s="1" t="s">
        <v>2</v>
      </c>
      <c r="O767" s="2"/>
      <c r="P767" s="2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spans="1:32" s="1" customFormat="1" ht="20.25" customHeight="1" x14ac:dyDescent="0.25">
      <c r="A768" s="2"/>
      <c r="B768" s="2"/>
      <c r="C768" s="2"/>
      <c r="D768" s="2">
        <f>COUNTIF(contact[[#This Row],[Bagossy]:[Szo
03:00 - 10:00]],"=~?")</f>
        <v>0</v>
      </c>
      <c r="E768" s="2">
        <f>COUNTIF(contact[[#This Row],[Bagossy]:[Szo
03:00 - 10:00]],"=x")</f>
        <v>0</v>
      </c>
      <c r="F768" s="2">
        <f>SUM(contact[[#This Row],[?]:[x]])</f>
        <v>0</v>
      </c>
      <c r="G7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68" s="2"/>
      <c r="I768" s="2"/>
      <c r="J768" s="3" t="s">
        <v>2818</v>
      </c>
      <c r="K768" s="1" t="s">
        <v>1492</v>
      </c>
      <c r="L768" s="1" t="s">
        <v>2</v>
      </c>
      <c r="M768" s="1" t="s">
        <v>2</v>
      </c>
      <c r="O768" s="2"/>
      <c r="P768" s="2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spans="1:32" s="1" customFormat="1" ht="20.25" customHeight="1" x14ac:dyDescent="0.25">
      <c r="A769" s="2"/>
      <c r="B769" s="2"/>
      <c r="C769" s="2"/>
      <c r="D769" s="2">
        <f>COUNTIF(contact[[#This Row],[Bagossy]:[Szo
03:00 - 10:00]],"=~?")</f>
        <v>0</v>
      </c>
      <c r="E769" s="2">
        <f>COUNTIF(contact[[#This Row],[Bagossy]:[Szo
03:00 - 10:00]],"=x")</f>
        <v>0</v>
      </c>
      <c r="F769" s="2">
        <f>SUM(contact[[#This Row],[?]:[x]])</f>
        <v>0</v>
      </c>
      <c r="G7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69" s="3" t="s">
        <v>3346</v>
      </c>
      <c r="K769" s="1" t="s">
        <v>2</v>
      </c>
      <c r="L769" s="1" t="s">
        <v>2</v>
      </c>
      <c r="M769" s="1" t="s">
        <v>2</v>
      </c>
      <c r="O769" s="2"/>
      <c r="P769" s="2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spans="1:32" s="1" customFormat="1" ht="20.25" customHeight="1" x14ac:dyDescent="0.25">
      <c r="A770" s="2"/>
      <c r="B770" s="2"/>
      <c r="C770" s="2"/>
      <c r="D770" s="2">
        <f>COUNTIF(contact[[#This Row],[Bagossy]:[Szo
03:00 - 10:00]],"=~?")</f>
        <v>0</v>
      </c>
      <c r="E770" s="2">
        <f>COUNTIF(contact[[#This Row],[Bagossy]:[Szo
03:00 - 10:00]],"=x")</f>
        <v>0</v>
      </c>
      <c r="F770" s="2">
        <f>SUM(contact[[#This Row],[?]:[x]])</f>
        <v>0</v>
      </c>
      <c r="G7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0" s="3" t="s">
        <v>469</v>
      </c>
      <c r="K770" s="1" t="s">
        <v>2</v>
      </c>
      <c r="L770" s="1" t="s">
        <v>2</v>
      </c>
      <c r="M770" s="1" t="s">
        <v>2</v>
      </c>
      <c r="O770" s="2"/>
      <c r="P770" s="2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spans="1:32" s="1" customFormat="1" ht="20.25" customHeight="1" x14ac:dyDescent="0.25">
      <c r="A771" s="2"/>
      <c r="B771" s="2"/>
      <c r="C771" s="2"/>
      <c r="D771" s="2">
        <f>COUNTIF(contact[[#This Row],[Bagossy]:[Szo
03:00 - 10:00]],"=~?")</f>
        <v>0</v>
      </c>
      <c r="E771" s="2">
        <f>COUNTIF(contact[[#This Row],[Bagossy]:[Szo
03:00 - 10:00]],"=x")</f>
        <v>0</v>
      </c>
      <c r="F771" s="2">
        <f>SUM(contact[[#This Row],[?]:[x]])</f>
        <v>0</v>
      </c>
      <c r="G7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1" s="3" t="s">
        <v>2737</v>
      </c>
      <c r="K771" s="1" t="s">
        <v>2</v>
      </c>
      <c r="L771" s="1" t="s">
        <v>2</v>
      </c>
      <c r="M771" s="1" t="s">
        <v>2</v>
      </c>
      <c r="O771" s="2"/>
      <c r="P771" s="2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spans="1:32" s="1" customFormat="1" ht="20.25" customHeight="1" x14ac:dyDescent="0.25">
      <c r="A772" s="2"/>
      <c r="B772" s="2"/>
      <c r="C772" s="2"/>
      <c r="D772" s="2">
        <f>COUNTIF(contact[[#This Row],[Bagossy]:[Szo
03:00 - 10:00]],"=~?")</f>
        <v>0</v>
      </c>
      <c r="E772" s="2">
        <f>COUNTIF(contact[[#This Row],[Bagossy]:[Szo
03:00 - 10:00]],"=x")</f>
        <v>0</v>
      </c>
      <c r="F772" s="2">
        <f>SUM(contact[[#This Row],[?]:[x]])</f>
        <v>0</v>
      </c>
      <c r="G7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2" s="3" t="s">
        <v>4317</v>
      </c>
      <c r="K772" s="1" t="s">
        <v>1186</v>
      </c>
      <c r="L772" s="1" t="s">
        <v>2</v>
      </c>
      <c r="M772" s="1" t="s">
        <v>2</v>
      </c>
      <c r="O772" s="2"/>
      <c r="P772" s="2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spans="1:32" s="1" customFormat="1" ht="20.25" customHeight="1" x14ac:dyDescent="0.25">
      <c r="A773" s="2"/>
      <c r="B773" s="2"/>
      <c r="C773" s="2"/>
      <c r="D773" s="2">
        <f>COUNTIF(contact[[#This Row],[Bagossy]:[Szo
03:00 - 10:00]],"=~?")</f>
        <v>0</v>
      </c>
      <c r="E773" s="2">
        <f>COUNTIF(contact[[#This Row],[Bagossy]:[Szo
03:00 - 10:00]],"=x")</f>
        <v>0</v>
      </c>
      <c r="F773" s="2">
        <f>SUM(contact[[#This Row],[?]:[x]])</f>
        <v>0</v>
      </c>
      <c r="G7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3" s="3" t="s">
        <v>475</v>
      </c>
      <c r="K773" s="1" t="s">
        <v>2</v>
      </c>
      <c r="L773" s="1" t="s">
        <v>2</v>
      </c>
      <c r="M773" s="1" t="s">
        <v>2</v>
      </c>
      <c r="O773" s="2"/>
      <c r="P773" s="2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spans="1:32" s="1" customFormat="1" ht="20.25" customHeight="1" x14ac:dyDescent="0.25">
      <c r="A774" s="2"/>
      <c r="B774" s="2"/>
      <c r="C774" s="2"/>
      <c r="D774" s="2">
        <f>COUNTIF(contact[[#This Row],[Bagossy]:[Szo
03:00 - 10:00]],"=~?")</f>
        <v>0</v>
      </c>
      <c r="E774" s="2">
        <f>COUNTIF(contact[[#This Row],[Bagossy]:[Szo
03:00 - 10:00]],"=x")</f>
        <v>0</v>
      </c>
      <c r="F774" s="2">
        <f>SUM(contact[[#This Row],[?]:[x]])</f>
        <v>0</v>
      </c>
      <c r="G7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4" s="3" t="s">
        <v>3367</v>
      </c>
      <c r="K774" s="1" t="s">
        <v>1623</v>
      </c>
      <c r="L774" s="1" t="s">
        <v>2</v>
      </c>
      <c r="M774" s="1" t="s">
        <v>2</v>
      </c>
      <c r="O774" s="2"/>
      <c r="P774" s="2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spans="1:32" s="1" customFormat="1" ht="20.25" customHeight="1" x14ac:dyDescent="0.25">
      <c r="A775" s="2"/>
      <c r="B775" s="2"/>
      <c r="C775" s="2"/>
      <c r="D775" s="2">
        <f>COUNTIF(contact[[#This Row],[Bagossy]:[Szo
03:00 - 10:00]],"=~?")</f>
        <v>0</v>
      </c>
      <c r="E775" s="2">
        <f>COUNTIF(contact[[#This Row],[Bagossy]:[Szo
03:00 - 10:00]],"=x")</f>
        <v>0</v>
      </c>
      <c r="F775" s="2">
        <f>SUM(contact[[#This Row],[?]:[x]])</f>
        <v>0</v>
      </c>
      <c r="G7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5" s="3" t="s">
        <v>2401</v>
      </c>
      <c r="K775" s="1" t="s">
        <v>2</v>
      </c>
      <c r="L775" s="1" t="s">
        <v>2</v>
      </c>
      <c r="M775" s="1" t="s">
        <v>2</v>
      </c>
      <c r="O775" s="2"/>
      <c r="P775" s="2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spans="1:32" s="1" customFormat="1" ht="20.25" customHeight="1" x14ac:dyDescent="0.25">
      <c r="A776" s="2"/>
      <c r="B776" s="2"/>
      <c r="C776" s="2"/>
      <c r="D776" s="2">
        <f>COUNTIF(contact[[#This Row],[Bagossy]:[Szo
03:00 - 10:00]],"=~?")</f>
        <v>0</v>
      </c>
      <c r="E776" s="2">
        <f>COUNTIF(contact[[#This Row],[Bagossy]:[Szo
03:00 - 10:00]],"=x")</f>
        <v>0</v>
      </c>
      <c r="F776" s="2">
        <f>SUM(contact[[#This Row],[?]:[x]])</f>
        <v>0</v>
      </c>
      <c r="G7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6" s="3" t="s">
        <v>2827</v>
      </c>
      <c r="K776" s="1" t="s">
        <v>514</v>
      </c>
      <c r="L776" s="1" t="s">
        <v>2</v>
      </c>
      <c r="M776" s="1" t="s">
        <v>2</v>
      </c>
      <c r="O776" s="2"/>
      <c r="P776" s="2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spans="1:32" s="1" customFormat="1" ht="20.25" customHeight="1" x14ac:dyDescent="0.25">
      <c r="A777" s="2"/>
      <c r="B777" s="2"/>
      <c r="C777" s="2"/>
      <c r="D777" s="2">
        <f>COUNTIF(contact[[#This Row],[Bagossy]:[Szo
03:00 - 10:00]],"=~?")</f>
        <v>0</v>
      </c>
      <c r="E777" s="2">
        <f>COUNTIF(contact[[#This Row],[Bagossy]:[Szo
03:00 - 10:00]],"=x")</f>
        <v>0</v>
      </c>
      <c r="F777" s="2">
        <f>SUM(contact[[#This Row],[?]:[x]])</f>
        <v>0</v>
      </c>
      <c r="G7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7" s="3" t="s">
        <v>3301</v>
      </c>
      <c r="K777" s="1" t="s">
        <v>2</v>
      </c>
      <c r="L777" s="1" t="s">
        <v>2</v>
      </c>
      <c r="M777" s="1" t="s">
        <v>2</v>
      </c>
      <c r="O777" s="2"/>
      <c r="P777" s="2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spans="1:32" s="1" customFormat="1" ht="20.25" customHeight="1" x14ac:dyDescent="0.25">
      <c r="A778" s="2" t="s">
        <v>1285</v>
      </c>
      <c r="B778" s="2" t="s">
        <v>1285</v>
      </c>
      <c r="C778" s="2" t="s">
        <v>1285</v>
      </c>
      <c r="D778" s="2">
        <f>COUNTIF(contact[[#This Row],[Bagossy]:[Szo
03:00 - 10:00]],"=~?")</f>
        <v>2</v>
      </c>
      <c r="E778" s="2">
        <f>COUNTIF(contact[[#This Row],[Bagossy]:[Szo
03:00 - 10:00]],"=x")</f>
        <v>4</v>
      </c>
      <c r="F778" s="2">
        <f>SUM(contact[[#This Row],[?]:[x]])</f>
        <v>6</v>
      </c>
      <c r="G778" s="2">
        <f>COUNTIF(contact[[#This Row],[Sze
10:00 - 22:00]:[Cs
03:00 - 08:00]],"=x")+COUNTIF(contact[[#This Row],[P
08:00 - 12:00]:[P
03:00 - 08:00]],"=x")+COUNTIF(contact[[#This Row],[Szo
08:00 - 12:00]:[Szo
03:00 - 10:00]],"=x")</f>
        <v>4</v>
      </c>
      <c r="H778" s="2" t="s">
        <v>4616</v>
      </c>
      <c r="I778" s="2"/>
      <c r="J778" s="3" t="s">
        <v>2822</v>
      </c>
      <c r="K778" s="1" t="s">
        <v>1493</v>
      </c>
      <c r="L778" s="1" t="s">
        <v>2</v>
      </c>
      <c r="M778" s="1" t="s">
        <v>2</v>
      </c>
      <c r="N778" s="2" t="s">
        <v>4612</v>
      </c>
      <c r="O778" s="2"/>
      <c r="P778" s="2"/>
      <c r="Q778" s="6"/>
      <c r="R778" s="6"/>
      <c r="S778" s="6"/>
      <c r="T778" s="6"/>
      <c r="U778" s="6" t="s">
        <v>1285</v>
      </c>
      <c r="V778" s="6" t="s">
        <v>1285</v>
      </c>
      <c r="W778" s="6"/>
      <c r="X778" s="6" t="s">
        <v>1285</v>
      </c>
      <c r="Y778" s="6" t="s">
        <v>4616</v>
      </c>
      <c r="Z778" s="6"/>
      <c r="AA778" s="6"/>
      <c r="AB778" s="6" t="s">
        <v>4616</v>
      </c>
      <c r="AC778" s="6" t="s">
        <v>1285</v>
      </c>
      <c r="AD778" s="6"/>
      <c r="AE778" s="6"/>
      <c r="AF778" s="6"/>
    </row>
    <row r="779" spans="1:32" s="1" customFormat="1" ht="20.25" customHeight="1" x14ac:dyDescent="0.25">
      <c r="A779" s="2"/>
      <c r="B779" s="2"/>
      <c r="C779" s="2"/>
      <c r="D779" s="2">
        <f>COUNTIF(contact[[#This Row],[Bagossy]:[Szo
03:00 - 10:00]],"=~?")</f>
        <v>0</v>
      </c>
      <c r="E779" s="2">
        <f>COUNTIF(contact[[#This Row],[Bagossy]:[Szo
03:00 - 10:00]],"=x")</f>
        <v>0</v>
      </c>
      <c r="F779" s="2">
        <f>SUM(contact[[#This Row],[?]:[x]])</f>
        <v>0</v>
      </c>
      <c r="G7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79" s="3" t="s">
        <v>3393</v>
      </c>
      <c r="K779" s="1" t="s">
        <v>1631</v>
      </c>
      <c r="L779" s="1" t="s">
        <v>2</v>
      </c>
      <c r="M779" s="1" t="s">
        <v>2</v>
      </c>
      <c r="O779" s="2"/>
      <c r="P779" s="2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spans="1:32" s="1" customFormat="1" ht="20.25" customHeight="1" x14ac:dyDescent="0.25">
      <c r="A780" s="2"/>
      <c r="B780" s="2"/>
      <c r="C780" s="2"/>
      <c r="D780" s="2">
        <f>COUNTIF(contact[[#This Row],[Bagossy]:[Szo
03:00 - 10:00]],"=~?")</f>
        <v>0</v>
      </c>
      <c r="E780" s="2">
        <f>COUNTIF(contact[[#This Row],[Bagossy]:[Szo
03:00 - 10:00]],"=x")</f>
        <v>0</v>
      </c>
      <c r="F780" s="2">
        <f>SUM(contact[[#This Row],[?]:[x]])</f>
        <v>0</v>
      </c>
      <c r="G7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0" s="3" t="s">
        <v>3764</v>
      </c>
      <c r="K780" s="1" t="s">
        <v>933</v>
      </c>
      <c r="L780" s="1" t="s">
        <v>2</v>
      </c>
      <c r="M780" s="1" t="s">
        <v>2</v>
      </c>
      <c r="O780" s="2"/>
      <c r="P780" s="2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spans="1:32" s="1" customFormat="1" ht="20.25" customHeight="1" x14ac:dyDescent="0.25">
      <c r="A781" s="2"/>
      <c r="B781" s="2"/>
      <c r="C781" s="2"/>
      <c r="D781" s="2">
        <f>COUNTIF(contact[[#This Row],[Bagossy]:[Szo
03:00 - 10:00]],"=~?")</f>
        <v>0</v>
      </c>
      <c r="E781" s="2">
        <f>COUNTIF(contact[[#This Row],[Bagossy]:[Szo
03:00 - 10:00]],"=x")</f>
        <v>0</v>
      </c>
      <c r="F781" s="2">
        <f>SUM(contact[[#This Row],[?]:[x]])</f>
        <v>0</v>
      </c>
      <c r="G7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81" s="2"/>
      <c r="I781" s="2"/>
      <c r="J781" s="3" t="s">
        <v>2824</v>
      </c>
      <c r="K781" s="1" t="s">
        <v>1495</v>
      </c>
      <c r="L781" s="1" t="s">
        <v>2</v>
      </c>
      <c r="M781" s="1" t="s">
        <v>2</v>
      </c>
      <c r="O781" s="2"/>
      <c r="P781" s="2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spans="1:32" s="1" customFormat="1" ht="20.25" customHeight="1" x14ac:dyDescent="0.25">
      <c r="A782" s="2"/>
      <c r="B782" s="2"/>
      <c r="C782" s="2"/>
      <c r="D782" s="2">
        <f>COUNTIF(contact[[#This Row],[Bagossy]:[Szo
03:00 - 10:00]],"=~?")</f>
        <v>0</v>
      </c>
      <c r="E782" s="2">
        <f>COUNTIF(contact[[#This Row],[Bagossy]:[Szo
03:00 - 10:00]],"=x")</f>
        <v>0</v>
      </c>
      <c r="F782" s="2">
        <f>SUM(contact[[#This Row],[?]:[x]])</f>
        <v>0</v>
      </c>
      <c r="G7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2" s="3" t="s">
        <v>476</v>
      </c>
      <c r="K782" s="1" t="s">
        <v>476</v>
      </c>
      <c r="L782" s="1" t="s">
        <v>2</v>
      </c>
      <c r="M782" s="1" t="s">
        <v>2</v>
      </c>
      <c r="O782" s="2"/>
      <c r="P782" s="2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spans="1:32" s="1" customFormat="1" ht="20.25" customHeight="1" x14ac:dyDescent="0.25">
      <c r="A783" s="2"/>
      <c r="B783" s="2"/>
      <c r="C783" s="2"/>
      <c r="D783" s="2">
        <f>COUNTIF(contact[[#This Row],[Bagossy]:[Szo
03:00 - 10:00]],"=~?")</f>
        <v>0</v>
      </c>
      <c r="E783" s="2">
        <f>COUNTIF(contact[[#This Row],[Bagossy]:[Szo
03:00 - 10:00]],"=x")</f>
        <v>0</v>
      </c>
      <c r="F783" s="2">
        <f>SUM(contact[[#This Row],[?]:[x]])</f>
        <v>0</v>
      </c>
      <c r="G7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3" s="3" t="s">
        <v>2177</v>
      </c>
      <c r="K783" s="1" t="s">
        <v>154</v>
      </c>
      <c r="L783" s="1" t="s">
        <v>2</v>
      </c>
      <c r="M783" s="1" t="s">
        <v>2</v>
      </c>
      <c r="O783" s="2"/>
      <c r="P783" s="2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spans="1:32" s="1" customFormat="1" ht="20.25" customHeight="1" x14ac:dyDescent="0.25">
      <c r="A784" s="2"/>
      <c r="B784" s="2"/>
      <c r="C784" s="2"/>
      <c r="D784" s="2">
        <f>COUNTIF(contact[[#This Row],[Bagossy]:[Szo
03:00 - 10:00]],"=~?")</f>
        <v>0</v>
      </c>
      <c r="E784" s="2">
        <f>COUNTIF(contact[[#This Row],[Bagossy]:[Szo
03:00 - 10:00]],"=x")</f>
        <v>0</v>
      </c>
      <c r="F784" s="2">
        <f>SUM(contact[[#This Row],[?]:[x]])</f>
        <v>0</v>
      </c>
      <c r="G7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4" s="3" t="s">
        <v>2439</v>
      </c>
      <c r="K784" s="1" t="s">
        <v>199</v>
      </c>
      <c r="L784" s="1" t="s">
        <v>2</v>
      </c>
      <c r="M784" s="1" t="s">
        <v>2</v>
      </c>
      <c r="O784" s="2"/>
      <c r="P784" s="2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spans="1:32" s="1" customFormat="1" ht="20.25" customHeight="1" x14ac:dyDescent="0.25">
      <c r="A785" s="2"/>
      <c r="B785" s="2"/>
      <c r="C785" s="2"/>
      <c r="D785" s="2">
        <f>COUNTIF(contact[[#This Row],[Bagossy]:[Szo
03:00 - 10:00]],"=~?")</f>
        <v>0</v>
      </c>
      <c r="E785" s="2">
        <f>COUNTIF(contact[[#This Row],[Bagossy]:[Szo
03:00 - 10:00]],"=x")</f>
        <v>0</v>
      </c>
      <c r="F785" s="2">
        <f>SUM(contact[[#This Row],[?]:[x]])</f>
        <v>0</v>
      </c>
      <c r="G7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5" s="3" t="s">
        <v>4199</v>
      </c>
      <c r="K785" s="1" t="s">
        <v>2</v>
      </c>
      <c r="L785" s="1" t="s">
        <v>2</v>
      </c>
      <c r="M785" s="1" t="s">
        <v>2</v>
      </c>
      <c r="O785" s="2"/>
      <c r="P785" s="2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spans="1:32" s="1" customFormat="1" ht="20.25" customHeight="1" x14ac:dyDescent="0.25">
      <c r="A786" s="2"/>
      <c r="B786" s="2"/>
      <c r="C786" s="2"/>
      <c r="D786" s="2">
        <f>COUNTIF(contact[[#This Row],[Bagossy]:[Szo
03:00 - 10:00]],"=~?")</f>
        <v>0</v>
      </c>
      <c r="E786" s="2">
        <f>COUNTIF(contact[[#This Row],[Bagossy]:[Szo
03:00 - 10:00]],"=x")</f>
        <v>0</v>
      </c>
      <c r="F786" s="2">
        <f>SUM(contact[[#This Row],[?]:[x]])</f>
        <v>0</v>
      </c>
      <c r="G7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6" s="3" t="s">
        <v>2805</v>
      </c>
      <c r="K786" s="1" t="s">
        <v>2</v>
      </c>
      <c r="L786" s="1" t="s">
        <v>354</v>
      </c>
      <c r="M786" s="1" t="s">
        <v>16</v>
      </c>
      <c r="O786" s="2"/>
      <c r="P786" s="2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spans="1:32" s="1" customFormat="1" ht="20.25" customHeight="1" x14ac:dyDescent="0.25">
      <c r="A787" s="2"/>
      <c r="B787" s="2"/>
      <c r="C787" s="2"/>
      <c r="D787" s="2">
        <f>COUNTIF(contact[[#This Row],[Bagossy]:[Szo
03:00 - 10:00]],"=~?")</f>
        <v>0</v>
      </c>
      <c r="E787" s="2">
        <f>COUNTIF(contact[[#This Row],[Bagossy]:[Szo
03:00 - 10:00]],"=x")</f>
        <v>0</v>
      </c>
      <c r="F787" s="2">
        <f>SUM(contact[[#This Row],[?]:[x]])</f>
        <v>0</v>
      </c>
      <c r="G7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787" s="2"/>
      <c r="I787" s="2"/>
      <c r="J787" s="3" t="s">
        <v>2826</v>
      </c>
      <c r="K787" s="1" t="s">
        <v>6</v>
      </c>
      <c r="L787" s="1" t="s">
        <v>15</v>
      </c>
      <c r="M787" s="1" t="s">
        <v>16</v>
      </c>
      <c r="O787" s="2"/>
      <c r="P787" s="2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spans="1:32" s="1" customFormat="1" ht="20.25" customHeight="1" x14ac:dyDescent="0.25">
      <c r="A788" s="2"/>
      <c r="B788" s="2"/>
      <c r="C788" s="2"/>
      <c r="D788" s="2">
        <f>COUNTIF(contact[[#This Row],[Bagossy]:[Szo
03:00 - 10:00]],"=~?")</f>
        <v>0</v>
      </c>
      <c r="E788" s="2">
        <f>COUNTIF(contact[[#This Row],[Bagossy]:[Szo
03:00 - 10:00]],"=x")</f>
        <v>0</v>
      </c>
      <c r="F788" s="2">
        <f>SUM(contact[[#This Row],[?]:[x]])</f>
        <v>0</v>
      </c>
      <c r="G7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8" s="3" t="s">
        <v>2093</v>
      </c>
      <c r="K788" s="1" t="s">
        <v>2</v>
      </c>
      <c r="L788" s="1" t="s">
        <v>2</v>
      </c>
      <c r="M788" s="1" t="s">
        <v>2</v>
      </c>
      <c r="O788" s="2"/>
      <c r="P788" s="2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spans="1:32" s="1" customFormat="1" ht="20.25" customHeight="1" x14ac:dyDescent="0.25">
      <c r="A789" s="2"/>
      <c r="B789" s="2"/>
      <c r="C789" s="2"/>
      <c r="D789" s="2">
        <f>COUNTIF(contact[[#This Row],[Bagossy]:[Szo
03:00 - 10:00]],"=~?")</f>
        <v>0</v>
      </c>
      <c r="E789" s="2">
        <f>COUNTIF(contact[[#This Row],[Bagossy]:[Szo
03:00 - 10:00]],"=x")</f>
        <v>0</v>
      </c>
      <c r="F789" s="2">
        <f>SUM(contact[[#This Row],[?]:[x]])</f>
        <v>0</v>
      </c>
      <c r="G7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89" s="3" t="s">
        <v>2110</v>
      </c>
      <c r="K789" s="1" t="s">
        <v>2</v>
      </c>
      <c r="L789" s="1" t="s">
        <v>2</v>
      </c>
      <c r="M789" s="1" t="s">
        <v>2</v>
      </c>
      <c r="O789" s="2"/>
      <c r="P789" s="2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spans="1:32" s="1" customFormat="1" ht="20.25" customHeight="1" x14ac:dyDescent="0.25">
      <c r="A790" s="2"/>
      <c r="B790" s="2"/>
      <c r="C790" s="2"/>
      <c r="D790" s="2">
        <f>COUNTIF(contact[[#This Row],[Bagossy]:[Szo
03:00 - 10:00]],"=~?")</f>
        <v>0</v>
      </c>
      <c r="E790" s="2">
        <f>COUNTIF(contact[[#This Row],[Bagossy]:[Szo
03:00 - 10:00]],"=x")</f>
        <v>0</v>
      </c>
      <c r="F790" s="2">
        <f>SUM(contact[[#This Row],[?]:[x]])</f>
        <v>0</v>
      </c>
      <c r="G7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0" s="3" t="s">
        <v>2178</v>
      </c>
      <c r="K790" s="1" t="s">
        <v>1360</v>
      </c>
      <c r="L790" s="1" t="s">
        <v>2</v>
      </c>
      <c r="M790" s="1" t="s">
        <v>2</v>
      </c>
      <c r="O790" s="2"/>
      <c r="P790" s="2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spans="1:32" s="1" customFormat="1" ht="20.25" customHeight="1" x14ac:dyDescent="0.25">
      <c r="A791" s="2"/>
      <c r="B791" s="2"/>
      <c r="C791" s="2"/>
      <c r="D791" s="2">
        <f>COUNTIF(contact[[#This Row],[Bagossy]:[Szo
03:00 - 10:00]],"=~?")</f>
        <v>0</v>
      </c>
      <c r="E791" s="2">
        <f>COUNTIF(contact[[#This Row],[Bagossy]:[Szo
03:00 - 10:00]],"=x")</f>
        <v>0</v>
      </c>
      <c r="F791" s="2">
        <f>SUM(contact[[#This Row],[?]:[x]])</f>
        <v>0</v>
      </c>
      <c r="G7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1" s="3" t="s">
        <v>2254</v>
      </c>
      <c r="K791" s="1" t="s">
        <v>2</v>
      </c>
      <c r="L791" s="1" t="s">
        <v>2</v>
      </c>
      <c r="M791" s="1" t="s">
        <v>2</v>
      </c>
      <c r="O791" s="2"/>
      <c r="P791" s="2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spans="1:32" s="1" customFormat="1" ht="20.25" customHeight="1" x14ac:dyDescent="0.25">
      <c r="A792" s="2"/>
      <c r="B792" s="2"/>
      <c r="C792" s="2"/>
      <c r="D792" s="2">
        <f>COUNTIF(contact[[#This Row],[Bagossy]:[Szo
03:00 - 10:00]],"=~?")</f>
        <v>0</v>
      </c>
      <c r="E792" s="2">
        <f>COUNTIF(contact[[#This Row],[Bagossy]:[Szo
03:00 - 10:00]],"=x")</f>
        <v>0</v>
      </c>
      <c r="F792" s="2">
        <f>SUM(contact[[#This Row],[?]:[x]])</f>
        <v>0</v>
      </c>
      <c r="G7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2" s="3" t="s">
        <v>2254</v>
      </c>
      <c r="K792" s="1" t="s">
        <v>208</v>
      </c>
      <c r="L792" s="1" t="s">
        <v>2</v>
      </c>
      <c r="M792" s="1" t="s">
        <v>2</v>
      </c>
      <c r="O792" s="2"/>
      <c r="P792" s="2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spans="1:32" s="1" customFormat="1" ht="20.25" customHeight="1" x14ac:dyDescent="0.25">
      <c r="A793" s="2"/>
      <c r="B793" s="2"/>
      <c r="C793" s="2"/>
      <c r="D793" s="2">
        <f>COUNTIF(contact[[#This Row],[Bagossy]:[Szo
03:00 - 10:00]],"=~?")</f>
        <v>0</v>
      </c>
      <c r="E793" s="2">
        <f>COUNTIF(contact[[#This Row],[Bagossy]:[Szo
03:00 - 10:00]],"=x")</f>
        <v>0</v>
      </c>
      <c r="F793" s="2">
        <f>SUM(contact[[#This Row],[?]:[x]])</f>
        <v>0</v>
      </c>
      <c r="G7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3" s="3" t="s">
        <v>2406</v>
      </c>
      <c r="K793" s="1" t="s">
        <v>2</v>
      </c>
      <c r="L793" s="1" t="s">
        <v>2</v>
      </c>
      <c r="M793" s="1" t="s">
        <v>2</v>
      </c>
      <c r="O793" s="2"/>
      <c r="P793" s="2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spans="1:32" s="1" customFormat="1" ht="20.25" customHeight="1" x14ac:dyDescent="0.25">
      <c r="A794" s="2"/>
      <c r="B794" s="2"/>
      <c r="C794" s="2"/>
      <c r="D794" s="2">
        <f>COUNTIF(contact[[#This Row],[Bagossy]:[Szo
03:00 - 10:00]],"=~?")</f>
        <v>0</v>
      </c>
      <c r="E794" s="2">
        <f>COUNTIF(contact[[#This Row],[Bagossy]:[Szo
03:00 - 10:00]],"=x")</f>
        <v>0</v>
      </c>
      <c r="F794" s="2">
        <f>SUM(contact[[#This Row],[?]:[x]])</f>
        <v>0</v>
      </c>
      <c r="G7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4" s="3" t="s">
        <v>2491</v>
      </c>
      <c r="K794" s="1" t="s">
        <v>341</v>
      </c>
      <c r="L794" s="1" t="s">
        <v>2</v>
      </c>
      <c r="M794" s="1" t="s">
        <v>2</v>
      </c>
      <c r="O794" s="2"/>
      <c r="P794" s="2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spans="1:32" s="1" customFormat="1" ht="20.25" customHeight="1" x14ac:dyDescent="0.25">
      <c r="A795" s="2" t="s">
        <v>1285</v>
      </c>
      <c r="B795" s="2" t="s">
        <v>1285</v>
      </c>
      <c r="C795" s="2" t="s">
        <v>1285</v>
      </c>
      <c r="D795" s="2">
        <f>COUNTIF(contact[[#This Row],[Bagossy]:[Szo
03:00 - 10:00]],"=~?")</f>
        <v>0</v>
      </c>
      <c r="E795" s="2">
        <f>COUNTIF(contact[[#This Row],[Bagossy]:[Szo
03:00 - 10:00]],"=x")</f>
        <v>10</v>
      </c>
      <c r="F795" s="2">
        <f>SUM(contact[[#This Row],[?]:[x]])</f>
        <v>10</v>
      </c>
      <c r="G795" s="2">
        <f>COUNTIF(contact[[#This Row],[Sze
10:00 - 22:00]:[Cs
03:00 - 08:00]],"=x")+COUNTIF(contact[[#This Row],[P
08:00 - 12:00]:[P
03:00 - 08:00]],"=x")+COUNTIF(contact[[#This Row],[Szo
08:00 - 12:00]:[Szo
03:00 - 10:00]],"=x")</f>
        <v>9</v>
      </c>
      <c r="H795" s="2" t="s">
        <v>4623</v>
      </c>
      <c r="I795" s="2"/>
      <c r="J795" s="3" t="s">
        <v>16</v>
      </c>
      <c r="K795" s="1" t="s">
        <v>378</v>
      </c>
      <c r="L795" s="1" t="s">
        <v>2</v>
      </c>
      <c r="M795" s="1" t="s">
        <v>2</v>
      </c>
      <c r="N795" s="2" t="s">
        <v>4612</v>
      </c>
      <c r="O795" s="2" t="s">
        <v>1285</v>
      </c>
      <c r="P795" s="2"/>
      <c r="Q795" s="6"/>
      <c r="R795" s="6"/>
      <c r="S795" s="6"/>
      <c r="T795" s="6" t="s">
        <v>1285</v>
      </c>
      <c r="U795" s="6" t="s">
        <v>1285</v>
      </c>
      <c r="V795" s="6" t="s">
        <v>1285</v>
      </c>
      <c r="W795" s="6"/>
      <c r="X795" s="6"/>
      <c r="Y795" s="6" t="s">
        <v>1285</v>
      </c>
      <c r="Z795" s="6" t="s">
        <v>1285</v>
      </c>
      <c r="AA795" s="6" t="s">
        <v>1285</v>
      </c>
      <c r="AB795" s="6"/>
      <c r="AC795" s="6"/>
      <c r="AD795" s="6" t="s">
        <v>1285</v>
      </c>
      <c r="AE795" s="6" t="s">
        <v>1285</v>
      </c>
      <c r="AF795" s="6" t="s">
        <v>1285</v>
      </c>
    </row>
    <row r="796" spans="1:32" s="1" customFormat="1" ht="20.25" customHeight="1" x14ac:dyDescent="0.25">
      <c r="A796" s="2"/>
      <c r="B796" s="2"/>
      <c r="C796" s="2"/>
      <c r="D796" s="2">
        <f>COUNTIF(contact[[#This Row],[Bagossy]:[Szo
03:00 - 10:00]],"=~?")</f>
        <v>0</v>
      </c>
      <c r="E796" s="2">
        <f>COUNTIF(contact[[#This Row],[Bagossy]:[Szo
03:00 - 10:00]],"=x")</f>
        <v>0</v>
      </c>
      <c r="F796" s="2">
        <f>SUM(contact[[#This Row],[?]:[x]])</f>
        <v>0</v>
      </c>
      <c r="G7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6" s="3" t="s">
        <v>2596</v>
      </c>
      <c r="K796" s="1" t="s">
        <v>401</v>
      </c>
      <c r="L796" s="1" t="s">
        <v>2</v>
      </c>
      <c r="M796" s="1" t="s">
        <v>2</v>
      </c>
      <c r="O796" s="2"/>
      <c r="P796" s="2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spans="1:32" s="1" customFormat="1" ht="20.25" customHeight="1" x14ac:dyDescent="0.25">
      <c r="A797" s="2"/>
      <c r="B797" s="2"/>
      <c r="C797" s="2"/>
      <c r="D797" s="2">
        <f>COUNTIF(contact[[#This Row],[Bagossy]:[Szo
03:00 - 10:00]],"=~?")</f>
        <v>0</v>
      </c>
      <c r="E797" s="2">
        <f>COUNTIF(contact[[#This Row],[Bagossy]:[Szo
03:00 - 10:00]],"=x")</f>
        <v>0</v>
      </c>
      <c r="F797" s="2">
        <f>SUM(contact[[#This Row],[?]:[x]])</f>
        <v>0</v>
      </c>
      <c r="G7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7" s="3" t="s">
        <v>2613</v>
      </c>
      <c r="K797" s="1" t="s">
        <v>1293</v>
      </c>
      <c r="L797" s="1" t="s">
        <v>2</v>
      </c>
      <c r="M797" s="1" t="s">
        <v>2</v>
      </c>
      <c r="O797" s="2"/>
      <c r="P797" s="2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spans="1:32" s="1" customFormat="1" ht="20.25" customHeight="1" x14ac:dyDescent="0.25">
      <c r="A798" s="2"/>
      <c r="B798" s="2"/>
      <c r="C798" s="2"/>
      <c r="D798" s="2">
        <f>COUNTIF(contact[[#This Row],[Bagossy]:[Szo
03:00 - 10:00]],"=~?")</f>
        <v>0</v>
      </c>
      <c r="E798" s="2">
        <f>COUNTIF(contact[[#This Row],[Bagossy]:[Szo
03:00 - 10:00]],"=x")</f>
        <v>0</v>
      </c>
      <c r="F798" s="2">
        <f>SUM(contact[[#This Row],[?]:[x]])</f>
        <v>0</v>
      </c>
      <c r="G7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8" s="3" t="s">
        <v>2619</v>
      </c>
      <c r="K798" s="1" t="s">
        <v>413</v>
      </c>
      <c r="L798" s="1" t="s">
        <v>2</v>
      </c>
      <c r="M798" s="1" t="s">
        <v>2</v>
      </c>
      <c r="O798" s="2"/>
      <c r="P798" s="2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spans="1:32" s="1" customFormat="1" ht="20.25" customHeight="1" x14ac:dyDescent="0.25">
      <c r="A799" s="2"/>
      <c r="B799" s="2"/>
      <c r="C799" s="2"/>
      <c r="D799" s="2">
        <f>COUNTIF(contact[[#This Row],[Bagossy]:[Szo
03:00 - 10:00]],"=~?")</f>
        <v>0</v>
      </c>
      <c r="E799" s="2">
        <f>COUNTIF(contact[[#This Row],[Bagossy]:[Szo
03:00 - 10:00]],"=x")</f>
        <v>0</v>
      </c>
      <c r="F799" s="2">
        <f>SUM(contact[[#This Row],[?]:[x]])</f>
        <v>0</v>
      </c>
      <c r="G7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799" s="3" t="s">
        <v>2636</v>
      </c>
      <c r="K799" s="1" t="s">
        <v>424</v>
      </c>
      <c r="L799" s="1" t="s">
        <v>2</v>
      </c>
      <c r="M799" s="1" t="s">
        <v>2</v>
      </c>
      <c r="O799" s="2"/>
      <c r="P799" s="2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spans="1:32" s="1" customFormat="1" ht="20.25" customHeight="1" x14ac:dyDescent="0.25">
      <c r="A800" s="2"/>
      <c r="B800" s="2"/>
      <c r="C800" s="2"/>
      <c r="D800" s="2">
        <f>COUNTIF(contact[[#This Row],[Bagossy]:[Szo
03:00 - 10:00]],"=~?")</f>
        <v>0</v>
      </c>
      <c r="E800" s="2">
        <f>COUNTIF(contact[[#This Row],[Bagossy]:[Szo
03:00 - 10:00]],"=x")</f>
        <v>0</v>
      </c>
      <c r="F800" s="2">
        <f>SUM(contact[[#This Row],[?]:[x]])</f>
        <v>0</v>
      </c>
      <c r="G8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0" s="3" t="s">
        <v>2659</v>
      </c>
      <c r="K800" s="1" t="s">
        <v>126</v>
      </c>
      <c r="L800" s="1" t="s">
        <v>2</v>
      </c>
      <c r="M800" s="1" t="s">
        <v>2</v>
      </c>
      <c r="O800" s="2"/>
      <c r="P800" s="2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spans="1:32" s="1" customFormat="1" ht="20.25" customHeight="1" x14ac:dyDescent="0.25">
      <c r="A801" s="2"/>
      <c r="B801" s="2"/>
      <c r="C801" s="2"/>
      <c r="D801" s="2">
        <f>COUNTIF(contact[[#This Row],[Bagossy]:[Szo
03:00 - 10:00]],"=~?")</f>
        <v>0</v>
      </c>
      <c r="E801" s="2">
        <f>COUNTIF(contact[[#This Row],[Bagossy]:[Szo
03:00 - 10:00]],"=x")</f>
        <v>0</v>
      </c>
      <c r="F801" s="2">
        <f>SUM(contact[[#This Row],[?]:[x]])</f>
        <v>0</v>
      </c>
      <c r="G8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1" s="3" t="s">
        <v>2739</v>
      </c>
      <c r="K801" s="1" t="s">
        <v>470</v>
      </c>
      <c r="L801" s="1" t="s">
        <v>2</v>
      </c>
      <c r="M801" s="1" t="s">
        <v>2</v>
      </c>
      <c r="O801" s="2"/>
      <c r="P801" s="2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spans="1:32" s="1" customFormat="1" ht="20.25" customHeight="1" x14ac:dyDescent="0.25">
      <c r="A802" s="2"/>
      <c r="B802" s="2"/>
      <c r="C802" s="2"/>
      <c r="D802" s="2">
        <f>COUNTIF(contact[[#This Row],[Bagossy]:[Szo
03:00 - 10:00]],"=~?")</f>
        <v>0</v>
      </c>
      <c r="E802" s="2">
        <f>COUNTIF(contact[[#This Row],[Bagossy]:[Szo
03:00 - 10:00]],"=x")</f>
        <v>0</v>
      </c>
      <c r="F802" s="2">
        <f>SUM(contact[[#This Row],[?]:[x]])</f>
        <v>0</v>
      </c>
      <c r="G8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2" s="3" t="s">
        <v>2753</v>
      </c>
      <c r="K802" s="1" t="s">
        <v>2</v>
      </c>
      <c r="L802" s="1" t="s">
        <v>2</v>
      </c>
      <c r="M802" s="1" t="s">
        <v>2</v>
      </c>
      <c r="O802" s="2"/>
      <c r="P802" s="2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spans="1:32" s="1" customFormat="1" ht="20.25" customHeight="1" x14ac:dyDescent="0.25">
      <c r="A803" s="2"/>
      <c r="B803" s="2"/>
      <c r="C803" s="2"/>
      <c r="D803" s="2">
        <f>COUNTIF(contact[[#This Row],[Bagossy]:[Szo
03:00 - 10:00]],"=~?")</f>
        <v>0</v>
      </c>
      <c r="E803" s="2">
        <f>COUNTIF(contact[[#This Row],[Bagossy]:[Szo
03:00 - 10:00]],"=x")</f>
        <v>0</v>
      </c>
      <c r="F803" s="2">
        <f>SUM(contact[[#This Row],[?]:[x]])</f>
        <v>0</v>
      </c>
      <c r="G8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3" s="3" t="s">
        <v>2809</v>
      </c>
      <c r="K803" s="1" t="s">
        <v>505</v>
      </c>
      <c r="L803" s="1" t="s">
        <v>2</v>
      </c>
      <c r="M803" s="1" t="s">
        <v>2</v>
      </c>
      <c r="O803" s="2"/>
      <c r="P803" s="2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spans="1:32" s="1" customFormat="1" ht="20.25" customHeight="1" x14ac:dyDescent="0.25">
      <c r="A804" s="2"/>
      <c r="B804" s="2"/>
      <c r="C804" s="2"/>
      <c r="D804" s="2">
        <f>COUNTIF(contact[[#This Row],[Bagossy]:[Szo
03:00 - 10:00]],"=~?")</f>
        <v>0</v>
      </c>
      <c r="E804" s="2">
        <f>COUNTIF(contact[[#This Row],[Bagossy]:[Szo
03:00 - 10:00]],"=x")</f>
        <v>0</v>
      </c>
      <c r="F804" s="2">
        <f>SUM(contact[[#This Row],[?]:[x]])</f>
        <v>0</v>
      </c>
      <c r="G8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4" s="3" t="s">
        <v>2906</v>
      </c>
      <c r="K804" s="1" t="s">
        <v>550</v>
      </c>
      <c r="L804" s="1" t="s">
        <v>2</v>
      </c>
      <c r="M804" s="1" t="s">
        <v>2</v>
      </c>
      <c r="O804" s="2"/>
      <c r="P804" s="2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spans="1:32" s="1" customFormat="1" ht="20.25" customHeight="1" x14ac:dyDescent="0.25">
      <c r="A805" s="2"/>
      <c r="B805" s="2"/>
      <c r="C805" s="2"/>
      <c r="D805" s="2">
        <f>COUNTIF(contact[[#This Row],[Bagossy]:[Szo
03:00 - 10:00]],"=~?")</f>
        <v>0</v>
      </c>
      <c r="E805" s="2">
        <f>COUNTIF(contact[[#This Row],[Bagossy]:[Szo
03:00 - 10:00]],"=x")</f>
        <v>0</v>
      </c>
      <c r="F805" s="2">
        <f>SUM(contact[[#This Row],[?]:[x]])</f>
        <v>0</v>
      </c>
      <c r="G8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5" s="3" t="s">
        <v>2963</v>
      </c>
      <c r="K805" s="1" t="s">
        <v>582</v>
      </c>
      <c r="L805" s="1" t="s">
        <v>2</v>
      </c>
      <c r="M805" s="1" t="s">
        <v>2</v>
      </c>
      <c r="O805" s="2"/>
      <c r="P805" s="2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spans="1:32" s="1" customFormat="1" ht="20.25" customHeight="1" x14ac:dyDescent="0.25">
      <c r="A806" s="2"/>
      <c r="B806" s="2"/>
      <c r="C806" s="2"/>
      <c r="D806" s="2">
        <f>COUNTIF(contact[[#This Row],[Bagossy]:[Szo
03:00 - 10:00]],"=~?")</f>
        <v>0</v>
      </c>
      <c r="E806" s="2">
        <f>COUNTIF(contact[[#This Row],[Bagossy]:[Szo
03:00 - 10:00]],"=x")</f>
        <v>0</v>
      </c>
      <c r="F806" s="2">
        <f>SUM(contact[[#This Row],[?]:[x]])</f>
        <v>0</v>
      </c>
      <c r="G8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6" s="3" t="s">
        <v>3079</v>
      </c>
      <c r="K806" s="1" t="s">
        <v>2</v>
      </c>
      <c r="L806" s="1" t="s">
        <v>2</v>
      </c>
      <c r="M806" s="1" t="s">
        <v>2</v>
      </c>
      <c r="O806" s="2"/>
      <c r="P806" s="2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spans="1:32" s="1" customFormat="1" ht="20.25" customHeight="1" x14ac:dyDescent="0.25">
      <c r="A807" s="2"/>
      <c r="B807" s="2"/>
      <c r="C807" s="2"/>
      <c r="D807" s="2">
        <f>COUNTIF(contact[[#This Row],[Bagossy]:[Szo
03:00 - 10:00]],"=~?")</f>
        <v>0</v>
      </c>
      <c r="E807" s="2">
        <f>COUNTIF(contact[[#This Row],[Bagossy]:[Szo
03:00 - 10:00]],"=x")</f>
        <v>0</v>
      </c>
      <c r="F807" s="2">
        <f>SUM(contact[[#This Row],[?]:[x]])</f>
        <v>0</v>
      </c>
      <c r="G8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07" s="2"/>
      <c r="I807" s="2"/>
      <c r="J807" s="3" t="s">
        <v>2828</v>
      </c>
      <c r="K807" s="1" t="s">
        <v>694</v>
      </c>
      <c r="L807" s="1" t="s">
        <v>2</v>
      </c>
      <c r="M807" s="1" t="s">
        <v>2</v>
      </c>
      <c r="O807" s="2"/>
      <c r="P807" s="2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spans="1:32" s="1" customFormat="1" ht="20.25" customHeight="1" x14ac:dyDescent="0.25">
      <c r="A808" s="2"/>
      <c r="B808" s="2"/>
      <c r="C808" s="2"/>
      <c r="D808" s="2">
        <f>COUNTIF(contact[[#This Row],[Bagossy]:[Szo
03:00 - 10:00]],"=~?")</f>
        <v>0</v>
      </c>
      <c r="E808" s="2">
        <f>COUNTIF(contact[[#This Row],[Bagossy]:[Szo
03:00 - 10:00]],"=x")</f>
        <v>0</v>
      </c>
      <c r="F808" s="2">
        <f>SUM(contact[[#This Row],[?]:[x]])</f>
        <v>0</v>
      </c>
      <c r="G8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8" s="3" t="s">
        <v>3262</v>
      </c>
      <c r="K808" s="1" t="s">
        <v>2</v>
      </c>
      <c r="L808" s="1" t="s">
        <v>2</v>
      </c>
      <c r="M808" s="1" t="s">
        <v>2</v>
      </c>
      <c r="O808" s="2"/>
      <c r="P808" s="2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spans="1:32" s="1" customFormat="1" ht="20.25" customHeight="1" x14ac:dyDescent="0.25">
      <c r="A809" s="2"/>
      <c r="B809" s="2"/>
      <c r="C809" s="2"/>
      <c r="D809" s="2">
        <f>COUNTIF(contact[[#This Row],[Bagossy]:[Szo
03:00 - 10:00]],"=~?")</f>
        <v>0</v>
      </c>
      <c r="E809" s="2">
        <f>COUNTIF(contact[[#This Row],[Bagossy]:[Szo
03:00 - 10:00]],"=x")</f>
        <v>0</v>
      </c>
      <c r="F809" s="2">
        <f>SUM(contact[[#This Row],[?]:[x]])</f>
        <v>0</v>
      </c>
      <c r="G8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09" s="3" t="s">
        <v>3273</v>
      </c>
      <c r="K809" s="1" t="s">
        <v>2</v>
      </c>
      <c r="L809" s="1" t="s">
        <v>2</v>
      </c>
      <c r="M809" s="1" t="s">
        <v>2</v>
      </c>
      <c r="O809" s="2"/>
      <c r="P809" s="2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spans="1:32" s="1" customFormat="1" ht="20.25" customHeight="1" x14ac:dyDescent="0.25">
      <c r="A810" s="2"/>
      <c r="B810" s="2"/>
      <c r="C810" s="2"/>
      <c r="D810" s="2">
        <f>COUNTIF(contact[[#This Row],[Bagossy]:[Szo
03:00 - 10:00]],"=~?")</f>
        <v>0</v>
      </c>
      <c r="E810" s="2">
        <f>COUNTIF(contact[[#This Row],[Bagossy]:[Szo
03:00 - 10:00]],"=x")</f>
        <v>0</v>
      </c>
      <c r="F810" s="2">
        <f>SUM(contact[[#This Row],[?]:[x]])</f>
        <v>0</v>
      </c>
      <c r="G8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0" s="3" t="s">
        <v>3451</v>
      </c>
      <c r="K810" s="1" t="s">
        <v>1327</v>
      </c>
      <c r="L810" s="1" t="s">
        <v>2</v>
      </c>
      <c r="M810" s="1" t="s">
        <v>2</v>
      </c>
      <c r="O810" s="2"/>
      <c r="P810" s="2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spans="1:32" s="1" customFormat="1" ht="20.25" customHeight="1" x14ac:dyDescent="0.25">
      <c r="A811" s="2"/>
      <c r="B811" s="2"/>
      <c r="C811" s="2"/>
      <c r="D811" s="2">
        <f>COUNTIF(contact[[#This Row],[Bagossy]:[Szo
03:00 - 10:00]],"=~?")</f>
        <v>0</v>
      </c>
      <c r="E811" s="2">
        <f>COUNTIF(contact[[#This Row],[Bagossy]:[Szo
03:00 - 10:00]],"=x")</f>
        <v>0</v>
      </c>
      <c r="F811" s="2">
        <f>SUM(contact[[#This Row],[?]:[x]])</f>
        <v>0</v>
      </c>
      <c r="G8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1" s="3" t="s">
        <v>3675</v>
      </c>
      <c r="K811" s="1" t="s">
        <v>2</v>
      </c>
      <c r="L811" s="1" t="s">
        <v>2</v>
      </c>
      <c r="M811" s="1" t="s">
        <v>2</v>
      </c>
      <c r="O811" s="2"/>
      <c r="P811" s="2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spans="1:32" s="1" customFormat="1" ht="20.25" customHeight="1" x14ac:dyDescent="0.25">
      <c r="A812" s="2"/>
      <c r="B812" s="2"/>
      <c r="C812" s="2"/>
      <c r="D812" s="2">
        <f>COUNTIF(contact[[#This Row],[Bagossy]:[Szo
03:00 - 10:00]],"=~?")</f>
        <v>0</v>
      </c>
      <c r="E812" s="2">
        <f>COUNTIF(contact[[#This Row],[Bagossy]:[Szo
03:00 - 10:00]],"=x")</f>
        <v>0</v>
      </c>
      <c r="F812" s="2">
        <f>SUM(contact[[#This Row],[?]:[x]])</f>
        <v>0</v>
      </c>
      <c r="G8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12" s="2"/>
      <c r="I812" s="2"/>
      <c r="J812" s="3" t="s">
        <v>2834</v>
      </c>
      <c r="K812" s="1" t="s">
        <v>991</v>
      </c>
      <c r="L812" s="1" t="s">
        <v>2</v>
      </c>
      <c r="M812" s="1" t="s">
        <v>2</v>
      </c>
      <c r="O812" s="2"/>
      <c r="P812" s="2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spans="1:32" s="1" customFormat="1" ht="20.25" customHeight="1" x14ac:dyDescent="0.25">
      <c r="A813" s="2"/>
      <c r="B813" s="2"/>
      <c r="C813" s="2"/>
      <c r="D813" s="2">
        <f>COUNTIF(contact[[#This Row],[Bagossy]:[Szo
03:00 - 10:00]],"=~?")</f>
        <v>0</v>
      </c>
      <c r="E813" s="2">
        <f>COUNTIF(contact[[#This Row],[Bagossy]:[Szo
03:00 - 10:00]],"=x")</f>
        <v>0</v>
      </c>
      <c r="F813" s="2">
        <f>SUM(contact[[#This Row],[?]:[x]])</f>
        <v>0</v>
      </c>
      <c r="G8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3" s="3" t="s">
        <v>3962</v>
      </c>
      <c r="K813" s="1" t="s">
        <v>1040</v>
      </c>
      <c r="L813" s="1" t="s">
        <v>2</v>
      </c>
      <c r="M813" s="1" t="s">
        <v>2</v>
      </c>
      <c r="O813" s="2"/>
      <c r="P813" s="2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spans="1:32" s="1" customFormat="1" ht="20.25" customHeight="1" x14ac:dyDescent="0.25">
      <c r="A814" s="2"/>
      <c r="B814" s="2"/>
      <c r="C814" s="2"/>
      <c r="D814" s="2">
        <f>COUNTIF(contact[[#This Row],[Bagossy]:[Szo
03:00 - 10:00]],"=~?")</f>
        <v>0</v>
      </c>
      <c r="E814" s="2">
        <f>COUNTIF(contact[[#This Row],[Bagossy]:[Szo
03:00 - 10:00]],"=x")</f>
        <v>0</v>
      </c>
      <c r="F814" s="2">
        <f>SUM(contact[[#This Row],[?]:[x]])</f>
        <v>0</v>
      </c>
      <c r="G8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4" s="3" t="s">
        <v>4076</v>
      </c>
      <c r="K814" s="1" t="s">
        <v>1088</v>
      </c>
      <c r="L814" s="1" t="s">
        <v>2</v>
      </c>
      <c r="M814" s="1" t="s">
        <v>2</v>
      </c>
      <c r="O814" s="2"/>
      <c r="P814" s="2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spans="1:32" s="1" customFormat="1" ht="20.25" customHeight="1" x14ac:dyDescent="0.25">
      <c r="A815" s="2"/>
      <c r="B815" s="2"/>
      <c r="C815" s="2"/>
      <c r="D815" s="2">
        <f>COUNTIF(contact[[#This Row],[Bagossy]:[Szo
03:00 - 10:00]],"=~?")</f>
        <v>0</v>
      </c>
      <c r="E815" s="2">
        <f>COUNTIF(contact[[#This Row],[Bagossy]:[Szo
03:00 - 10:00]],"=x")</f>
        <v>0</v>
      </c>
      <c r="F815" s="2">
        <f>SUM(contact[[#This Row],[?]:[x]])</f>
        <v>0</v>
      </c>
      <c r="G8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15" s="2"/>
      <c r="I815" s="2"/>
      <c r="J815" s="3" t="s">
        <v>2838</v>
      </c>
      <c r="K815" s="1" t="s">
        <v>899</v>
      </c>
      <c r="L815" s="1" t="s">
        <v>2</v>
      </c>
      <c r="M815" s="1" t="s">
        <v>2</v>
      </c>
      <c r="O815" s="2"/>
      <c r="P815" s="2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spans="1:32" s="1" customFormat="1" ht="20.25" customHeight="1" x14ac:dyDescent="0.25">
      <c r="A816" s="2"/>
      <c r="B816" s="2"/>
      <c r="C816" s="2"/>
      <c r="D816" s="2">
        <f>COUNTIF(contact[[#This Row],[Bagossy]:[Szo
03:00 - 10:00]],"=~?")</f>
        <v>0</v>
      </c>
      <c r="E816" s="2">
        <f>COUNTIF(contact[[#This Row],[Bagossy]:[Szo
03:00 - 10:00]],"=x")</f>
        <v>0</v>
      </c>
      <c r="F816" s="2">
        <f>SUM(contact[[#This Row],[?]:[x]])</f>
        <v>0</v>
      </c>
      <c r="G8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6" s="3" t="s">
        <v>4105</v>
      </c>
      <c r="K816" s="1" t="s">
        <v>2</v>
      </c>
      <c r="L816" s="1" t="s">
        <v>2</v>
      </c>
      <c r="M816" s="1" t="s">
        <v>2</v>
      </c>
      <c r="O816" s="2"/>
      <c r="P816" s="2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spans="1:32" s="1" customFormat="1" ht="20.25" customHeight="1" x14ac:dyDescent="0.25">
      <c r="A817" s="2"/>
      <c r="B817" s="2"/>
      <c r="C817" s="2"/>
      <c r="D817" s="2">
        <f>COUNTIF(contact[[#This Row],[Bagossy]:[Szo
03:00 - 10:00]],"=~?")</f>
        <v>0</v>
      </c>
      <c r="E817" s="2">
        <f>COUNTIF(contact[[#This Row],[Bagossy]:[Szo
03:00 - 10:00]],"=x")</f>
        <v>0</v>
      </c>
      <c r="F817" s="2">
        <f>SUM(contact[[#This Row],[?]:[x]])</f>
        <v>0</v>
      </c>
      <c r="G8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7" s="3" t="s">
        <v>4296</v>
      </c>
      <c r="K817" s="1" t="s">
        <v>1178</v>
      </c>
      <c r="L817" s="1" t="s">
        <v>2</v>
      </c>
      <c r="M817" s="1" t="s">
        <v>2</v>
      </c>
      <c r="O817" s="2"/>
      <c r="P817" s="2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spans="1:32" s="1" customFormat="1" ht="20.25" customHeight="1" x14ac:dyDescent="0.25">
      <c r="A818" s="2"/>
      <c r="B818" s="2"/>
      <c r="C818" s="2"/>
      <c r="D818" s="2">
        <f>COUNTIF(contact[[#This Row],[Bagossy]:[Szo
03:00 - 10:00]],"=~?")</f>
        <v>0</v>
      </c>
      <c r="E818" s="2">
        <f>COUNTIF(contact[[#This Row],[Bagossy]:[Szo
03:00 - 10:00]],"=x")</f>
        <v>0</v>
      </c>
      <c r="F818" s="2">
        <f>SUM(contact[[#This Row],[?]:[x]])</f>
        <v>0</v>
      </c>
      <c r="G8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8" s="3" t="s">
        <v>4346</v>
      </c>
      <c r="K818" s="1" t="s">
        <v>400</v>
      </c>
      <c r="L818" s="1" t="s">
        <v>2</v>
      </c>
      <c r="M818" s="1" t="s">
        <v>2</v>
      </c>
      <c r="O818" s="2"/>
      <c r="P818" s="2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spans="1:32" s="1" customFormat="1" ht="20.25" customHeight="1" x14ac:dyDescent="0.25">
      <c r="A819" s="2"/>
      <c r="B819" s="2"/>
      <c r="C819" s="2"/>
      <c r="D819" s="2">
        <f>COUNTIF(contact[[#This Row],[Bagossy]:[Szo
03:00 - 10:00]],"=~?")</f>
        <v>0</v>
      </c>
      <c r="E819" s="2">
        <f>COUNTIF(contact[[#This Row],[Bagossy]:[Szo
03:00 - 10:00]],"=x")</f>
        <v>0</v>
      </c>
      <c r="F819" s="2">
        <f>SUM(contact[[#This Row],[?]:[x]])</f>
        <v>0</v>
      </c>
      <c r="G8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19" s="3" t="s">
        <v>4431</v>
      </c>
      <c r="K819" s="1" t="s">
        <v>1237</v>
      </c>
      <c r="L819" s="1" t="s">
        <v>2</v>
      </c>
      <c r="M819" s="1" t="s">
        <v>2</v>
      </c>
      <c r="O819" s="2"/>
      <c r="P819" s="2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spans="1:32" s="1" customFormat="1" ht="20.25" customHeight="1" x14ac:dyDescent="0.25">
      <c r="A820" s="2"/>
      <c r="B820" s="2"/>
      <c r="C820" s="2"/>
      <c r="D820" s="2">
        <f>COUNTIF(contact[[#This Row],[Bagossy]:[Szo
03:00 - 10:00]],"=~?")</f>
        <v>0</v>
      </c>
      <c r="E820" s="2">
        <f>COUNTIF(contact[[#This Row],[Bagossy]:[Szo
03:00 - 10:00]],"=x")</f>
        <v>0</v>
      </c>
      <c r="F820" s="2">
        <f>SUM(contact[[#This Row],[?]:[x]])</f>
        <v>0</v>
      </c>
      <c r="G8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0" s="3" t="s">
        <v>4439</v>
      </c>
      <c r="K820" s="1" t="s">
        <v>1859</v>
      </c>
      <c r="L820" s="1" t="s">
        <v>2</v>
      </c>
      <c r="M820" s="1" t="s">
        <v>2</v>
      </c>
      <c r="O820" s="2"/>
      <c r="P820" s="2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spans="1:32" s="1" customFormat="1" ht="20.25" customHeight="1" x14ac:dyDescent="0.25">
      <c r="A821" s="2"/>
      <c r="B821" s="2"/>
      <c r="C821" s="2"/>
      <c r="D821" s="2">
        <f>COUNTIF(contact[[#This Row],[Bagossy]:[Szo
03:00 - 10:00]],"=~?")</f>
        <v>0</v>
      </c>
      <c r="E821" s="2">
        <f>COUNTIF(contact[[#This Row],[Bagossy]:[Szo
03:00 - 10:00]],"=x")</f>
        <v>0</v>
      </c>
      <c r="F821" s="2">
        <f>SUM(contact[[#This Row],[?]:[x]])</f>
        <v>0</v>
      </c>
      <c r="G8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1" s="3" t="s">
        <v>2740</v>
      </c>
      <c r="K821" s="1" t="s">
        <v>471</v>
      </c>
      <c r="L821" s="1" t="s">
        <v>2</v>
      </c>
      <c r="M821" s="1" t="s">
        <v>2</v>
      </c>
      <c r="O821" s="2"/>
      <c r="P821" s="2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spans="1:32" s="1" customFormat="1" ht="20.25" customHeight="1" x14ac:dyDescent="0.25">
      <c r="A822" s="2"/>
      <c r="B822" s="2"/>
      <c r="C822" s="2"/>
      <c r="D822" s="2">
        <f>COUNTIF(contact[[#This Row],[Bagossy]:[Szo
03:00 - 10:00]],"=~?")</f>
        <v>0</v>
      </c>
      <c r="E822" s="2">
        <f>COUNTIF(contact[[#This Row],[Bagossy]:[Szo
03:00 - 10:00]],"=x")</f>
        <v>0</v>
      </c>
      <c r="F822" s="2">
        <f>SUM(contact[[#This Row],[?]:[x]])</f>
        <v>0</v>
      </c>
      <c r="G8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2" s="3" t="s">
        <v>477</v>
      </c>
      <c r="K822" s="1" t="s">
        <v>2</v>
      </c>
      <c r="L822" s="1" t="s">
        <v>2</v>
      </c>
      <c r="M822" s="1" t="s">
        <v>2</v>
      </c>
      <c r="O822" s="2"/>
      <c r="P822" s="2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spans="1:32" s="1" customFormat="1" ht="20.25" customHeight="1" x14ac:dyDescent="0.25">
      <c r="A823" s="2"/>
      <c r="B823" s="2"/>
      <c r="C823" s="2"/>
      <c r="D823" s="2">
        <f>COUNTIF(contact[[#This Row],[Bagossy]:[Szo
03:00 - 10:00]],"=~?")</f>
        <v>0</v>
      </c>
      <c r="E823" s="2">
        <f>COUNTIF(contact[[#This Row],[Bagossy]:[Szo
03:00 - 10:00]],"=x")</f>
        <v>0</v>
      </c>
      <c r="F823" s="2">
        <f>SUM(contact[[#This Row],[?]:[x]])</f>
        <v>0</v>
      </c>
      <c r="G8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3" s="3" t="s">
        <v>2012</v>
      </c>
      <c r="K823" s="1" t="s">
        <v>1314</v>
      </c>
      <c r="L823" s="1" t="s">
        <v>2</v>
      </c>
      <c r="M823" s="1" t="s">
        <v>2</v>
      </c>
      <c r="O823" s="2"/>
      <c r="P823" s="2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spans="1:32" s="1" customFormat="1" ht="20.25" customHeight="1" x14ac:dyDescent="0.25">
      <c r="A824" s="2"/>
      <c r="B824" s="2"/>
      <c r="C824" s="2"/>
      <c r="D824" s="2">
        <f>COUNTIF(contact[[#This Row],[Bagossy]:[Szo
03:00 - 10:00]],"=~?")</f>
        <v>0</v>
      </c>
      <c r="E824" s="2">
        <f>COUNTIF(contact[[#This Row],[Bagossy]:[Szo
03:00 - 10:00]],"=x")</f>
        <v>0</v>
      </c>
      <c r="F824" s="2">
        <f>SUM(contact[[#This Row],[?]:[x]])</f>
        <v>0</v>
      </c>
      <c r="G8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4" s="3" t="s">
        <v>2179</v>
      </c>
      <c r="K824" s="1" t="s">
        <v>2</v>
      </c>
      <c r="L824" s="1" t="s">
        <v>2</v>
      </c>
      <c r="M824" s="1" t="s">
        <v>2</v>
      </c>
      <c r="O824" s="2"/>
      <c r="P824" s="2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spans="1:32" s="1" customFormat="1" ht="20.25" customHeight="1" x14ac:dyDescent="0.25">
      <c r="A825" s="2"/>
      <c r="B825" s="2"/>
      <c r="C825" s="2"/>
      <c r="D825" s="2">
        <f>COUNTIF(contact[[#This Row],[Bagossy]:[Szo
03:00 - 10:00]],"=~?")</f>
        <v>0</v>
      </c>
      <c r="E825" s="2">
        <f>COUNTIF(contact[[#This Row],[Bagossy]:[Szo
03:00 - 10:00]],"=x")</f>
        <v>0</v>
      </c>
      <c r="F825" s="2">
        <f>SUM(contact[[#This Row],[?]:[x]])</f>
        <v>0</v>
      </c>
      <c r="G8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25" s="2"/>
      <c r="I825" s="2"/>
      <c r="J825" s="3" t="s">
        <v>2839</v>
      </c>
      <c r="K825" s="1" t="s">
        <v>1497</v>
      </c>
      <c r="L825" s="1" t="s">
        <v>2</v>
      </c>
      <c r="M825" s="1" t="s">
        <v>2</v>
      </c>
      <c r="O825" s="2"/>
      <c r="P825" s="2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spans="1:32" s="1" customFormat="1" ht="20.25" customHeight="1" x14ac:dyDescent="0.25">
      <c r="A826" s="2"/>
      <c r="B826" s="2"/>
      <c r="C826" s="2"/>
      <c r="D826" s="2">
        <f>COUNTIF(contact[[#This Row],[Bagossy]:[Szo
03:00 - 10:00]],"=~?")</f>
        <v>0</v>
      </c>
      <c r="E826" s="2">
        <f>COUNTIF(contact[[#This Row],[Bagossy]:[Szo
03:00 - 10:00]],"=x")</f>
        <v>0</v>
      </c>
      <c r="F826" s="2">
        <f>SUM(contact[[#This Row],[?]:[x]])</f>
        <v>0</v>
      </c>
      <c r="G8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6" s="3" t="s">
        <v>3159</v>
      </c>
      <c r="K826" s="1" t="s">
        <v>1577</v>
      </c>
      <c r="L826" s="1" t="s">
        <v>2</v>
      </c>
      <c r="M826" s="1" t="s">
        <v>2</v>
      </c>
      <c r="O826" s="2"/>
      <c r="P826" s="2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spans="1:32" s="1" customFormat="1" ht="20.25" customHeight="1" x14ac:dyDescent="0.25">
      <c r="A827" s="2"/>
      <c r="B827" s="2"/>
      <c r="C827" s="2"/>
      <c r="D827" s="2">
        <f>COUNTIF(contact[[#This Row],[Bagossy]:[Szo
03:00 - 10:00]],"=~?")</f>
        <v>0</v>
      </c>
      <c r="E827" s="2">
        <f>COUNTIF(contact[[#This Row],[Bagossy]:[Szo
03:00 - 10:00]],"=x")</f>
        <v>0</v>
      </c>
      <c r="F827" s="2">
        <f>SUM(contact[[#This Row],[?]:[x]])</f>
        <v>0</v>
      </c>
      <c r="G8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7" s="3" t="s">
        <v>3197</v>
      </c>
      <c r="K827" s="1" t="s">
        <v>688</v>
      </c>
      <c r="L827" s="1" t="s">
        <v>2</v>
      </c>
      <c r="M827" s="1" t="s">
        <v>2</v>
      </c>
      <c r="O827" s="2"/>
      <c r="P827" s="2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spans="1:32" s="1" customFormat="1" ht="20.25" customHeight="1" x14ac:dyDescent="0.25">
      <c r="A828" s="2"/>
      <c r="B828" s="2"/>
      <c r="C828" s="2"/>
      <c r="D828" s="2">
        <f>COUNTIF(contact[[#This Row],[Bagossy]:[Szo
03:00 - 10:00]],"=~?")</f>
        <v>0</v>
      </c>
      <c r="E828" s="2">
        <f>COUNTIF(contact[[#This Row],[Bagossy]:[Szo
03:00 - 10:00]],"=x")</f>
        <v>0</v>
      </c>
      <c r="F828" s="2">
        <f>SUM(contact[[#This Row],[?]:[x]])</f>
        <v>0</v>
      </c>
      <c r="G8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28" s="3" t="s">
        <v>3356</v>
      </c>
      <c r="K828" s="1" t="s">
        <v>769</v>
      </c>
      <c r="L828" s="1" t="s">
        <v>2</v>
      </c>
      <c r="M828" s="1" t="s">
        <v>2</v>
      </c>
      <c r="O828" s="2"/>
      <c r="P828" s="2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spans="1:32" s="1" customFormat="1" ht="20.25" customHeight="1" x14ac:dyDescent="0.25">
      <c r="A829" s="2"/>
      <c r="B829" s="2"/>
      <c r="C829" s="2" t="s">
        <v>1285</v>
      </c>
      <c r="D829" s="2">
        <f>COUNTIF(contact[[#This Row],[Bagossy]:[Szo
03:00 - 10:00]],"=~?")</f>
        <v>0</v>
      </c>
      <c r="E829" s="2">
        <f>COUNTIF(contact[[#This Row],[Bagossy]:[Szo
03:00 - 10:00]],"=x")</f>
        <v>0</v>
      </c>
      <c r="F829" s="2">
        <f>SUM(contact[[#This Row],[?]:[x]])</f>
        <v>0</v>
      </c>
      <c r="G8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29" s="2"/>
      <c r="I829" s="2"/>
      <c r="J829" s="3" t="s">
        <v>2840</v>
      </c>
      <c r="K829" s="1" t="s">
        <v>800</v>
      </c>
      <c r="L829" s="1" t="s">
        <v>2</v>
      </c>
      <c r="M829" s="1" t="s">
        <v>2</v>
      </c>
      <c r="O829" s="2"/>
      <c r="P829" s="2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spans="1:32" s="1" customFormat="1" ht="20.25" customHeight="1" x14ac:dyDescent="0.25">
      <c r="A830" s="2"/>
      <c r="B830" s="2"/>
      <c r="C830" s="2"/>
      <c r="D830" s="2">
        <f>COUNTIF(contact[[#This Row],[Bagossy]:[Szo
03:00 - 10:00]],"=~?")</f>
        <v>0</v>
      </c>
      <c r="E830" s="2">
        <f>COUNTIF(contact[[#This Row],[Bagossy]:[Szo
03:00 - 10:00]],"=x")</f>
        <v>0</v>
      </c>
      <c r="F830" s="2">
        <f>SUM(contact[[#This Row],[?]:[x]])</f>
        <v>0</v>
      </c>
      <c r="G8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0" s="3" t="s">
        <v>3593</v>
      </c>
      <c r="K830" s="1" t="s">
        <v>1327</v>
      </c>
      <c r="L830" s="1" t="s">
        <v>2</v>
      </c>
      <c r="M830" s="1" t="s">
        <v>2</v>
      </c>
      <c r="O830" s="2"/>
      <c r="P830" s="2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spans="1:32" s="1" customFormat="1" ht="20.25" customHeight="1" x14ac:dyDescent="0.25">
      <c r="A831" s="2"/>
      <c r="B831" s="2"/>
      <c r="C831" s="2"/>
      <c r="D831" s="2">
        <f>COUNTIF(contact[[#This Row],[Bagossy]:[Szo
03:00 - 10:00]],"=~?")</f>
        <v>0</v>
      </c>
      <c r="E831" s="2">
        <f>COUNTIF(contact[[#This Row],[Bagossy]:[Szo
03:00 - 10:00]],"=x")</f>
        <v>0</v>
      </c>
      <c r="F831" s="2">
        <f>SUM(contact[[#This Row],[?]:[x]])</f>
        <v>0</v>
      </c>
      <c r="G8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31" s="2"/>
      <c r="I831" s="2"/>
      <c r="J831" s="3" t="s">
        <v>2841</v>
      </c>
      <c r="K831" s="1" t="s">
        <v>515</v>
      </c>
      <c r="L831" s="1" t="s">
        <v>2</v>
      </c>
      <c r="M831" s="1" t="s">
        <v>2</v>
      </c>
      <c r="O831" s="2"/>
      <c r="P831" s="2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spans="1:32" s="1" customFormat="1" ht="20.25" customHeight="1" x14ac:dyDescent="0.25">
      <c r="A832" s="2"/>
      <c r="B832" s="2"/>
      <c r="C832" s="2"/>
      <c r="D832" s="2">
        <f>COUNTIF(contact[[#This Row],[Bagossy]:[Szo
03:00 - 10:00]],"=~?")</f>
        <v>0</v>
      </c>
      <c r="E832" s="2">
        <f>COUNTIF(contact[[#This Row],[Bagossy]:[Szo
03:00 - 10:00]],"=x")</f>
        <v>0</v>
      </c>
      <c r="F832" s="2">
        <f>SUM(contact[[#This Row],[?]:[x]])</f>
        <v>0</v>
      </c>
      <c r="G8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2" s="3" t="s">
        <v>3012</v>
      </c>
      <c r="K832" s="1" t="s">
        <v>1537</v>
      </c>
      <c r="L832" s="1" t="s">
        <v>2</v>
      </c>
      <c r="M832" s="1" t="s">
        <v>2</v>
      </c>
      <c r="O832" s="2"/>
      <c r="P832" s="2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spans="1:32" s="1" customFormat="1" ht="20.25" customHeight="1" x14ac:dyDescent="0.25">
      <c r="A833" s="2"/>
      <c r="B833" s="2"/>
      <c r="C833" s="2"/>
      <c r="D833" s="2">
        <f>COUNTIF(contact[[#This Row],[Bagossy]:[Szo
03:00 - 10:00]],"=~?")</f>
        <v>0</v>
      </c>
      <c r="E833" s="2">
        <f>COUNTIF(contact[[#This Row],[Bagossy]:[Szo
03:00 - 10:00]],"=x")</f>
        <v>0</v>
      </c>
      <c r="F833" s="2">
        <f>SUM(contact[[#This Row],[?]:[x]])</f>
        <v>0</v>
      </c>
      <c r="G8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3" s="3" t="s">
        <v>3302</v>
      </c>
      <c r="K833" s="1" t="s">
        <v>1614</v>
      </c>
      <c r="L833" s="1" t="s">
        <v>2</v>
      </c>
      <c r="M833" s="1" t="s">
        <v>2</v>
      </c>
      <c r="O833" s="2"/>
      <c r="P833" s="2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spans="1:32" s="1" customFormat="1" ht="20.25" customHeight="1" x14ac:dyDescent="0.25">
      <c r="A834" s="2"/>
      <c r="B834" s="2"/>
      <c r="C834" s="2"/>
      <c r="D834" s="2">
        <f>COUNTIF(contact[[#This Row],[Bagossy]:[Szo
03:00 - 10:00]],"=~?")</f>
        <v>0</v>
      </c>
      <c r="E834" s="2">
        <f>COUNTIF(contact[[#This Row],[Bagossy]:[Szo
03:00 - 10:00]],"=x")</f>
        <v>0</v>
      </c>
      <c r="F834" s="2">
        <f>SUM(contact[[#This Row],[?]:[x]])</f>
        <v>0</v>
      </c>
      <c r="G8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4" s="3" t="s">
        <v>2930</v>
      </c>
      <c r="K834" s="1" t="s">
        <v>1520</v>
      </c>
      <c r="L834" s="1" t="s">
        <v>2</v>
      </c>
      <c r="M834" s="1" t="s">
        <v>2</v>
      </c>
      <c r="O834" s="2"/>
      <c r="P834" s="2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spans="1:32" s="1" customFormat="1" ht="20.25" customHeight="1" x14ac:dyDescent="0.25">
      <c r="A835" s="2"/>
      <c r="B835" s="2"/>
      <c r="C835" s="2"/>
      <c r="D835" s="2">
        <f>COUNTIF(contact[[#This Row],[Bagossy]:[Szo
03:00 - 10:00]],"=~?")</f>
        <v>0</v>
      </c>
      <c r="E835" s="2">
        <f>COUNTIF(contact[[#This Row],[Bagossy]:[Szo
03:00 - 10:00]],"=x")</f>
        <v>0</v>
      </c>
      <c r="F835" s="2">
        <f>SUM(contact[[#This Row],[?]:[x]])</f>
        <v>0</v>
      </c>
      <c r="G8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5" s="3" t="s">
        <v>2829</v>
      </c>
      <c r="K835" s="1" t="s">
        <v>516</v>
      </c>
      <c r="L835" s="1" t="s">
        <v>2</v>
      </c>
      <c r="M835" s="1" t="s">
        <v>2</v>
      </c>
      <c r="O835" s="2"/>
      <c r="P835" s="2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spans="1:32" s="1" customFormat="1" ht="20.25" customHeight="1" x14ac:dyDescent="0.25">
      <c r="A836" s="2"/>
      <c r="B836" s="2"/>
      <c r="C836" s="2"/>
      <c r="D836" s="2">
        <f>COUNTIF(contact[[#This Row],[Bagossy]:[Szo
03:00 - 10:00]],"=~?")</f>
        <v>0</v>
      </c>
      <c r="E836" s="2">
        <f>COUNTIF(contact[[#This Row],[Bagossy]:[Szo
03:00 - 10:00]],"=x")</f>
        <v>0</v>
      </c>
      <c r="F836" s="2">
        <f>SUM(contact[[#This Row],[?]:[x]])</f>
        <v>0</v>
      </c>
      <c r="G8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6" s="3" t="s">
        <v>4129</v>
      </c>
      <c r="K836" s="1" t="s">
        <v>101</v>
      </c>
      <c r="L836" s="1" t="s">
        <v>2</v>
      </c>
      <c r="M836" s="1" t="s">
        <v>2</v>
      </c>
      <c r="O836" s="2"/>
      <c r="P836" s="2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spans="1:32" s="1" customFormat="1" ht="20.25" customHeight="1" x14ac:dyDescent="0.25">
      <c r="A837" s="2"/>
      <c r="B837" s="2"/>
      <c r="C837" s="2"/>
      <c r="D837" s="2">
        <f>COUNTIF(contact[[#This Row],[Bagossy]:[Szo
03:00 - 10:00]],"=~?")</f>
        <v>0</v>
      </c>
      <c r="E837" s="2">
        <f>COUNTIF(contact[[#This Row],[Bagossy]:[Szo
03:00 - 10:00]],"=x")</f>
        <v>0</v>
      </c>
      <c r="F837" s="2">
        <f>SUM(contact[[#This Row],[?]:[x]])</f>
        <v>0</v>
      </c>
      <c r="G8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7" s="3" t="s">
        <v>2226</v>
      </c>
      <c r="K837" s="1" t="s">
        <v>2</v>
      </c>
      <c r="L837" s="1" t="s">
        <v>2</v>
      </c>
      <c r="M837" s="1" t="s">
        <v>2</v>
      </c>
      <c r="O837" s="2"/>
      <c r="P837" s="2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spans="1:32" s="1" customFormat="1" ht="20.25" customHeight="1" x14ac:dyDescent="0.25">
      <c r="A838" s="2"/>
      <c r="B838" s="2"/>
      <c r="C838" s="2"/>
      <c r="D838" s="2">
        <f>COUNTIF(contact[[#This Row],[Bagossy]:[Szo
03:00 - 10:00]],"=~?")</f>
        <v>0</v>
      </c>
      <c r="E838" s="2">
        <f>COUNTIF(contact[[#This Row],[Bagossy]:[Szo
03:00 - 10:00]],"=x")</f>
        <v>0</v>
      </c>
      <c r="F838" s="2">
        <f>SUM(contact[[#This Row],[?]:[x]])</f>
        <v>0</v>
      </c>
      <c r="G8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38" s="3" t="s">
        <v>2723</v>
      </c>
      <c r="K838" s="1" t="s">
        <v>3</v>
      </c>
      <c r="L838" s="1" t="s">
        <v>2</v>
      </c>
      <c r="M838" s="1" t="s">
        <v>2</v>
      </c>
      <c r="O838" s="2"/>
      <c r="P838" s="2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spans="1:32" s="1" customFormat="1" ht="20.25" customHeight="1" x14ac:dyDescent="0.25">
      <c r="A839" s="2"/>
      <c r="B839" s="2"/>
      <c r="C839" s="2"/>
      <c r="D839" s="2">
        <f>COUNTIF(contact[[#This Row],[Bagossy]:[Szo
03:00 - 10:00]],"=~?")</f>
        <v>0</v>
      </c>
      <c r="E839" s="2">
        <f>COUNTIF(contact[[#This Row],[Bagossy]:[Szo
03:00 - 10:00]],"=x")</f>
        <v>0</v>
      </c>
      <c r="F839" s="2">
        <f>SUM(contact[[#This Row],[?]:[x]])</f>
        <v>0</v>
      </c>
      <c r="G8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39" s="2"/>
      <c r="I839" s="2"/>
      <c r="J839" s="3" t="s">
        <v>2842</v>
      </c>
      <c r="K839" s="1" t="s">
        <v>371</v>
      </c>
      <c r="L839" s="1" t="s">
        <v>2</v>
      </c>
      <c r="M839" s="1" t="s">
        <v>2</v>
      </c>
      <c r="O839" s="2"/>
      <c r="P839" s="2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spans="1:32" s="1" customFormat="1" ht="20.25" customHeight="1" x14ac:dyDescent="0.25">
      <c r="A840" s="2"/>
      <c r="B840" s="2"/>
      <c r="C840" s="2"/>
      <c r="D840" s="2">
        <f>COUNTIF(contact[[#This Row],[Bagossy]:[Szo
03:00 - 10:00]],"=~?")</f>
        <v>0</v>
      </c>
      <c r="E840" s="2">
        <f>COUNTIF(contact[[#This Row],[Bagossy]:[Szo
03:00 - 10:00]],"=x")</f>
        <v>0</v>
      </c>
      <c r="F840" s="2">
        <f>SUM(contact[[#This Row],[?]:[x]])</f>
        <v>0</v>
      </c>
      <c r="G8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0" s="3" t="s">
        <v>3138</v>
      </c>
      <c r="K840" s="1" t="s">
        <v>1573</v>
      </c>
      <c r="L840" s="1" t="s">
        <v>2</v>
      </c>
      <c r="M840" s="1" t="s">
        <v>2</v>
      </c>
      <c r="O840" s="2"/>
      <c r="P840" s="2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spans="1:32" s="1" customFormat="1" ht="20.25" customHeight="1" x14ac:dyDescent="0.25">
      <c r="A841" s="2"/>
      <c r="B841" s="2"/>
      <c r="C841" s="2"/>
      <c r="D841" s="2">
        <f>COUNTIF(contact[[#This Row],[Bagossy]:[Szo
03:00 - 10:00]],"=~?")</f>
        <v>0</v>
      </c>
      <c r="E841" s="2">
        <f>COUNTIF(contact[[#This Row],[Bagossy]:[Szo
03:00 - 10:00]],"=x")</f>
        <v>0</v>
      </c>
      <c r="F841" s="2">
        <f>SUM(contact[[#This Row],[?]:[x]])</f>
        <v>0</v>
      </c>
      <c r="G8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1" s="3" t="s">
        <v>3181</v>
      </c>
      <c r="K841" s="1" t="s">
        <v>2</v>
      </c>
      <c r="L841" s="1" t="s">
        <v>2</v>
      </c>
      <c r="M841" s="1" t="s">
        <v>2</v>
      </c>
      <c r="O841" s="2"/>
      <c r="P841" s="2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spans="1:32" s="1" customFormat="1" ht="20.25" customHeight="1" x14ac:dyDescent="0.25">
      <c r="A842" s="2"/>
      <c r="B842" s="2"/>
      <c r="C842" s="2"/>
      <c r="D842" s="2">
        <f>COUNTIF(contact[[#This Row],[Bagossy]:[Szo
03:00 - 10:00]],"=~?")</f>
        <v>0</v>
      </c>
      <c r="E842" s="2">
        <f>COUNTIF(contact[[#This Row],[Bagossy]:[Szo
03:00 - 10:00]],"=x")</f>
        <v>0</v>
      </c>
      <c r="F842" s="2">
        <f>SUM(contact[[#This Row],[?]:[x]])</f>
        <v>0</v>
      </c>
      <c r="G8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2" s="3" t="s">
        <v>4323</v>
      </c>
      <c r="K842" s="1" t="s">
        <v>2</v>
      </c>
      <c r="L842" s="1" t="s">
        <v>2</v>
      </c>
      <c r="M842" s="1" t="s">
        <v>2</v>
      </c>
      <c r="O842" s="2"/>
      <c r="P842" s="2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spans="1:32" s="1" customFormat="1" ht="20.25" customHeight="1" x14ac:dyDescent="0.25">
      <c r="A843" s="2"/>
      <c r="B843" s="2"/>
      <c r="C843" s="2"/>
      <c r="D843" s="2">
        <f>COUNTIF(contact[[#This Row],[Bagossy]:[Szo
03:00 - 10:00]],"=~?")</f>
        <v>0</v>
      </c>
      <c r="E843" s="2">
        <f>COUNTIF(contact[[#This Row],[Bagossy]:[Szo
03:00 - 10:00]],"=x")</f>
        <v>0</v>
      </c>
      <c r="F843" s="2">
        <f>SUM(contact[[#This Row],[?]:[x]])</f>
        <v>0</v>
      </c>
      <c r="G8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3" s="3" t="s">
        <v>3094</v>
      </c>
      <c r="K843" s="1" t="s">
        <v>1563</v>
      </c>
      <c r="L843" s="1" t="s">
        <v>2</v>
      </c>
      <c r="M843" s="1" t="s">
        <v>2</v>
      </c>
      <c r="O843" s="2"/>
      <c r="P843" s="2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spans="1:32" s="1" customFormat="1" ht="20.25" customHeight="1" x14ac:dyDescent="0.25">
      <c r="A844" s="2"/>
      <c r="B844" s="2"/>
      <c r="C844" s="2"/>
      <c r="D844" s="2">
        <f>COUNTIF(contact[[#This Row],[Bagossy]:[Szo
03:00 - 10:00]],"=~?")</f>
        <v>0</v>
      </c>
      <c r="E844" s="2">
        <f>COUNTIF(contact[[#This Row],[Bagossy]:[Szo
03:00 - 10:00]],"=x")</f>
        <v>0</v>
      </c>
      <c r="F844" s="2">
        <f>SUM(contact[[#This Row],[?]:[x]])</f>
        <v>0</v>
      </c>
      <c r="G8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4" s="3" t="s">
        <v>3661</v>
      </c>
      <c r="K844" s="1" t="s">
        <v>2</v>
      </c>
      <c r="L844" s="1" t="s">
        <v>2</v>
      </c>
      <c r="M844" s="1" t="s">
        <v>2</v>
      </c>
      <c r="O844" s="2"/>
      <c r="P844" s="2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spans="1:32" s="1" customFormat="1" ht="20.25" customHeight="1" x14ac:dyDescent="0.25">
      <c r="A845" s="2"/>
      <c r="B845" s="2"/>
      <c r="C845" s="2"/>
      <c r="D845" s="2">
        <f>COUNTIF(contact[[#This Row],[Bagossy]:[Szo
03:00 - 10:00]],"=~?")</f>
        <v>0</v>
      </c>
      <c r="E845" s="2">
        <f>COUNTIF(contact[[#This Row],[Bagossy]:[Szo
03:00 - 10:00]],"=x")</f>
        <v>0</v>
      </c>
      <c r="F845" s="2">
        <f>SUM(contact[[#This Row],[?]:[x]])</f>
        <v>0</v>
      </c>
      <c r="G8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5" s="3" t="s">
        <v>2604</v>
      </c>
      <c r="K845" s="1" t="s">
        <v>1452</v>
      </c>
      <c r="L845" s="1" t="s">
        <v>2</v>
      </c>
      <c r="M845" s="1" t="s">
        <v>2</v>
      </c>
      <c r="O845" s="2"/>
      <c r="P845" s="2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spans="1:32" s="1" customFormat="1" ht="20.25" customHeight="1" x14ac:dyDescent="0.25">
      <c r="A846" s="2"/>
      <c r="B846" s="2"/>
      <c r="C846" s="2"/>
      <c r="D846" s="2">
        <f>COUNTIF(contact[[#This Row],[Bagossy]:[Szo
03:00 - 10:00]],"=~?")</f>
        <v>0</v>
      </c>
      <c r="E846" s="2">
        <f>COUNTIF(contact[[#This Row],[Bagossy]:[Szo
03:00 - 10:00]],"=x")</f>
        <v>0</v>
      </c>
      <c r="F846" s="2">
        <f>SUM(contact[[#This Row],[?]:[x]])</f>
        <v>0</v>
      </c>
      <c r="G8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6" s="3" t="s">
        <v>2477</v>
      </c>
      <c r="K846" s="1" t="s">
        <v>331</v>
      </c>
      <c r="L846" s="1" t="s">
        <v>2</v>
      </c>
      <c r="M846" s="1" t="s">
        <v>2</v>
      </c>
      <c r="O846" s="2"/>
      <c r="P846" s="2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spans="1:32" s="1" customFormat="1" ht="20.25" customHeight="1" x14ac:dyDescent="0.25">
      <c r="A847" s="2"/>
      <c r="B847" s="2"/>
      <c r="C847" s="2"/>
      <c r="D847" s="2">
        <f>COUNTIF(contact[[#This Row],[Bagossy]:[Szo
03:00 - 10:00]],"=~?")</f>
        <v>0</v>
      </c>
      <c r="E847" s="2">
        <f>COUNTIF(contact[[#This Row],[Bagossy]:[Szo
03:00 - 10:00]],"=x")</f>
        <v>0</v>
      </c>
      <c r="F847" s="2">
        <f>SUM(contact[[#This Row],[?]:[x]])</f>
        <v>0</v>
      </c>
      <c r="G8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7" s="3" t="s">
        <v>3303</v>
      </c>
      <c r="K847" s="1" t="s">
        <v>1374</v>
      </c>
      <c r="L847" s="1" t="s">
        <v>2</v>
      </c>
      <c r="M847" s="1" t="s">
        <v>2</v>
      </c>
      <c r="O847" s="2"/>
      <c r="P847" s="2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spans="1:32" s="1" customFormat="1" ht="20.25" customHeight="1" x14ac:dyDescent="0.25">
      <c r="A848" s="2"/>
      <c r="B848" s="2"/>
      <c r="C848" s="2"/>
      <c r="D848" s="2">
        <f>COUNTIF(contact[[#This Row],[Bagossy]:[Szo
03:00 - 10:00]],"=~?")</f>
        <v>0</v>
      </c>
      <c r="E848" s="2">
        <f>COUNTIF(contact[[#This Row],[Bagossy]:[Szo
03:00 - 10:00]],"=x")</f>
        <v>0</v>
      </c>
      <c r="F848" s="2">
        <f>SUM(contact[[#This Row],[?]:[x]])</f>
        <v>0</v>
      </c>
      <c r="G8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8" s="3" t="s">
        <v>495</v>
      </c>
      <c r="K848" s="1" t="s">
        <v>1487</v>
      </c>
      <c r="L848" s="1" t="s">
        <v>2</v>
      </c>
      <c r="M848" s="1" t="s">
        <v>2</v>
      </c>
      <c r="O848" s="2"/>
      <c r="P848" s="2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spans="1:32" s="1" customFormat="1" ht="20.25" customHeight="1" x14ac:dyDescent="0.25">
      <c r="A849" s="2"/>
      <c r="B849" s="2"/>
      <c r="C849" s="2"/>
      <c r="D849" s="2">
        <f>COUNTIF(contact[[#This Row],[Bagossy]:[Szo
03:00 - 10:00]],"=~?")</f>
        <v>0</v>
      </c>
      <c r="E849" s="2">
        <f>COUNTIF(contact[[#This Row],[Bagossy]:[Szo
03:00 - 10:00]],"=x")</f>
        <v>0</v>
      </c>
      <c r="F849" s="2">
        <f>SUM(contact[[#This Row],[?]:[x]])</f>
        <v>0</v>
      </c>
      <c r="G8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49" s="3" t="s">
        <v>2051</v>
      </c>
      <c r="K849" s="1" t="s">
        <v>1318</v>
      </c>
      <c r="L849" s="1" t="s">
        <v>2</v>
      </c>
      <c r="M849" s="1" t="s">
        <v>2</v>
      </c>
      <c r="O849" s="2"/>
      <c r="P849" s="2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spans="1:32" s="1" customFormat="1" ht="20.25" customHeight="1" x14ac:dyDescent="0.25">
      <c r="A850" s="2"/>
      <c r="B850" s="2"/>
      <c r="C850" s="2"/>
      <c r="D850" s="2">
        <f>COUNTIF(contact[[#This Row],[Bagossy]:[Szo
03:00 - 10:00]],"=~?")</f>
        <v>0</v>
      </c>
      <c r="E850" s="2">
        <f>COUNTIF(contact[[#This Row],[Bagossy]:[Szo
03:00 - 10:00]],"=x")</f>
        <v>0</v>
      </c>
      <c r="F850" s="2">
        <f>SUM(contact[[#This Row],[?]:[x]])</f>
        <v>0</v>
      </c>
      <c r="G8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0" s="3" t="s">
        <v>2021</v>
      </c>
      <c r="K850" s="1" t="s">
        <v>2</v>
      </c>
      <c r="L850" s="1" t="s">
        <v>2</v>
      </c>
      <c r="M850" s="1" t="s">
        <v>2</v>
      </c>
      <c r="O850" s="2"/>
      <c r="P850" s="2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spans="1:32" s="1" customFormat="1" ht="20.25" customHeight="1" x14ac:dyDescent="0.25">
      <c r="A851" s="2"/>
      <c r="B851" s="2"/>
      <c r="C851" s="2"/>
      <c r="D851" s="2">
        <f>COUNTIF(contact[[#This Row],[Bagossy]:[Szo
03:00 - 10:00]],"=~?")</f>
        <v>0</v>
      </c>
      <c r="E851" s="2">
        <f>COUNTIF(contact[[#This Row],[Bagossy]:[Szo
03:00 - 10:00]],"=x")</f>
        <v>0</v>
      </c>
      <c r="F851" s="2">
        <f>SUM(contact[[#This Row],[?]:[x]])</f>
        <v>0</v>
      </c>
      <c r="G8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1" s="3" t="s">
        <v>2749</v>
      </c>
      <c r="K851" s="1" t="s">
        <v>2</v>
      </c>
      <c r="L851" s="1" t="s">
        <v>2</v>
      </c>
      <c r="M851" s="1" t="s">
        <v>2</v>
      </c>
      <c r="O851" s="2"/>
      <c r="P851" s="2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spans="1:32" s="1" customFormat="1" ht="20.25" customHeight="1" x14ac:dyDescent="0.25">
      <c r="A852" s="2"/>
      <c r="B852" s="2"/>
      <c r="C852" s="2"/>
      <c r="D852" s="2">
        <f>COUNTIF(contact[[#This Row],[Bagossy]:[Szo
03:00 - 10:00]],"=~?")</f>
        <v>0</v>
      </c>
      <c r="E852" s="2">
        <f>COUNTIF(contact[[#This Row],[Bagossy]:[Szo
03:00 - 10:00]],"=x")</f>
        <v>0</v>
      </c>
      <c r="F852" s="2">
        <f>SUM(contact[[#This Row],[?]:[x]])</f>
        <v>0</v>
      </c>
      <c r="G8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2" s="3" t="s">
        <v>2749</v>
      </c>
      <c r="K852" s="1" t="s">
        <v>1480</v>
      </c>
      <c r="L852" s="1" t="s">
        <v>2</v>
      </c>
      <c r="M852" s="1" t="s">
        <v>2</v>
      </c>
      <c r="O852" s="2"/>
      <c r="P852" s="2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spans="1:32" s="1" customFormat="1" ht="20.25" customHeight="1" x14ac:dyDescent="0.25">
      <c r="A853" s="2"/>
      <c r="B853" s="2"/>
      <c r="C853" s="2"/>
      <c r="D853" s="2">
        <f>COUNTIF(contact[[#This Row],[Bagossy]:[Szo
03:00 - 10:00]],"=~?")</f>
        <v>0</v>
      </c>
      <c r="E853" s="2">
        <f>COUNTIF(contact[[#This Row],[Bagossy]:[Szo
03:00 - 10:00]],"=x")</f>
        <v>0</v>
      </c>
      <c r="F853" s="2">
        <f>SUM(contact[[#This Row],[?]:[x]])</f>
        <v>0</v>
      </c>
      <c r="G8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53" s="2"/>
      <c r="I853" s="2"/>
      <c r="J853" s="3" t="s">
        <v>2851</v>
      </c>
      <c r="K853" s="1" t="s">
        <v>511</v>
      </c>
      <c r="L853" s="1" t="s">
        <v>2</v>
      </c>
      <c r="M853" s="1" t="s">
        <v>2</v>
      </c>
      <c r="O853" s="2"/>
      <c r="P853" s="2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spans="1:32" s="1" customFormat="1" ht="20.25" customHeight="1" x14ac:dyDescent="0.25">
      <c r="A854" s="2"/>
      <c r="B854" s="2"/>
      <c r="C854" s="2"/>
      <c r="D854" s="2">
        <f>COUNTIF(contact[[#This Row],[Bagossy]:[Szo
03:00 - 10:00]],"=~?")</f>
        <v>0</v>
      </c>
      <c r="E854" s="2">
        <f>COUNTIF(contact[[#This Row],[Bagossy]:[Szo
03:00 - 10:00]],"=x")</f>
        <v>0</v>
      </c>
      <c r="F854" s="2">
        <f>SUM(contact[[#This Row],[?]:[x]])</f>
        <v>0</v>
      </c>
      <c r="G8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4" s="3" t="s">
        <v>4201</v>
      </c>
      <c r="K854" s="1" t="s">
        <v>677</v>
      </c>
      <c r="L854" s="1" t="s">
        <v>2</v>
      </c>
      <c r="M854" s="1" t="s">
        <v>2</v>
      </c>
      <c r="O854" s="2"/>
      <c r="P854" s="2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spans="1:32" s="1" customFormat="1" ht="20.25" customHeight="1" x14ac:dyDescent="0.25">
      <c r="A855" s="2"/>
      <c r="B855" s="2"/>
      <c r="C855" s="2"/>
      <c r="D855" s="2">
        <f>COUNTIF(contact[[#This Row],[Bagossy]:[Szo
03:00 - 10:00]],"=~?")</f>
        <v>0</v>
      </c>
      <c r="E855" s="2">
        <f>COUNTIF(contact[[#This Row],[Bagossy]:[Szo
03:00 - 10:00]],"=x")</f>
        <v>0</v>
      </c>
      <c r="F855" s="2">
        <f>SUM(contact[[#This Row],[?]:[x]])</f>
        <v>0</v>
      </c>
      <c r="G8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5" s="3" t="s">
        <v>4406</v>
      </c>
      <c r="K855" s="1" t="s">
        <v>2</v>
      </c>
      <c r="L855" s="1" t="s">
        <v>2</v>
      </c>
      <c r="M855" s="1" t="s">
        <v>2</v>
      </c>
      <c r="O855" s="2"/>
      <c r="P855" s="2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spans="1:32" s="1" customFormat="1" ht="20.25" customHeight="1" x14ac:dyDescent="0.25">
      <c r="A856" s="2"/>
      <c r="B856" s="2"/>
      <c r="C856" s="2"/>
      <c r="D856" s="2">
        <f>COUNTIF(contact[[#This Row],[Bagossy]:[Szo
03:00 - 10:00]],"=~?")</f>
        <v>0</v>
      </c>
      <c r="E856" s="2">
        <f>COUNTIF(contact[[#This Row],[Bagossy]:[Szo
03:00 - 10:00]],"=x")</f>
        <v>0</v>
      </c>
      <c r="F856" s="2">
        <f>SUM(contact[[#This Row],[?]:[x]])</f>
        <v>0</v>
      </c>
      <c r="G8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6" s="3" t="s">
        <v>3876</v>
      </c>
      <c r="K856" s="1" t="s">
        <v>992</v>
      </c>
      <c r="L856" s="1" t="s">
        <v>2</v>
      </c>
      <c r="M856" s="1" t="s">
        <v>2</v>
      </c>
      <c r="O856" s="2"/>
      <c r="P856" s="2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spans="1:32" s="1" customFormat="1" ht="20.25" customHeight="1" x14ac:dyDescent="0.25">
      <c r="A857" s="2"/>
      <c r="B857" s="2"/>
      <c r="C857" s="2"/>
      <c r="D857" s="2">
        <f>COUNTIF(contact[[#This Row],[Bagossy]:[Szo
03:00 - 10:00]],"=~?")</f>
        <v>0</v>
      </c>
      <c r="E857" s="2">
        <f>COUNTIF(contact[[#This Row],[Bagossy]:[Szo
03:00 - 10:00]],"=x")</f>
        <v>0</v>
      </c>
      <c r="F857" s="2">
        <f>SUM(contact[[#This Row],[?]:[x]])</f>
        <v>0</v>
      </c>
      <c r="G8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7" s="3" t="s">
        <v>4077</v>
      </c>
      <c r="K857" s="1" t="s">
        <v>1327</v>
      </c>
      <c r="L857" s="1" t="s">
        <v>2</v>
      </c>
      <c r="M857" s="1" t="s">
        <v>2</v>
      </c>
      <c r="O857" s="2"/>
      <c r="P857" s="2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spans="1:32" s="1" customFormat="1" ht="20.25" customHeight="1" x14ac:dyDescent="0.25">
      <c r="A858" s="2"/>
      <c r="B858" s="2"/>
      <c r="C858" s="2"/>
      <c r="D858" s="2">
        <f>COUNTIF(contact[[#This Row],[Bagossy]:[Szo
03:00 - 10:00]],"=~?")</f>
        <v>0</v>
      </c>
      <c r="E858" s="2">
        <f>COUNTIF(contact[[#This Row],[Bagossy]:[Szo
03:00 - 10:00]],"=x")</f>
        <v>0</v>
      </c>
      <c r="F858" s="2">
        <f>SUM(contact[[#This Row],[?]:[x]])</f>
        <v>0</v>
      </c>
      <c r="G8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58" s="2"/>
      <c r="I858" s="2"/>
      <c r="J858" s="3" t="s">
        <v>2858</v>
      </c>
      <c r="K858" s="1" t="s">
        <v>6</v>
      </c>
      <c r="L858" s="1" t="s">
        <v>2</v>
      </c>
      <c r="M858" s="1" t="s">
        <v>2</v>
      </c>
      <c r="O858" s="2"/>
      <c r="P858" s="2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spans="1:32" s="1" customFormat="1" ht="20.25" customHeight="1" x14ac:dyDescent="0.25">
      <c r="A859" s="2"/>
      <c r="B859" s="2"/>
      <c r="C859" s="2"/>
      <c r="D859" s="2">
        <f>COUNTIF(contact[[#This Row],[Bagossy]:[Szo
03:00 - 10:00]],"=~?")</f>
        <v>0</v>
      </c>
      <c r="E859" s="2">
        <f>COUNTIF(contact[[#This Row],[Bagossy]:[Szo
03:00 - 10:00]],"=x")</f>
        <v>0</v>
      </c>
      <c r="F859" s="2">
        <f>SUM(contact[[#This Row],[?]:[x]])</f>
        <v>0</v>
      </c>
      <c r="G8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59" s="3" t="s">
        <v>2620</v>
      </c>
      <c r="K859" s="1" t="s">
        <v>2</v>
      </c>
      <c r="L859" s="1" t="s">
        <v>2</v>
      </c>
      <c r="M859" s="1" t="s">
        <v>2</v>
      </c>
      <c r="O859" s="2"/>
      <c r="P859" s="2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spans="1:32" s="1" customFormat="1" ht="20.25" customHeight="1" x14ac:dyDescent="0.25">
      <c r="A860" s="2"/>
      <c r="B860" s="2"/>
      <c r="C860" s="2"/>
      <c r="D860" s="2">
        <f>COUNTIF(contact[[#This Row],[Bagossy]:[Szo
03:00 - 10:00]],"=~?")</f>
        <v>0</v>
      </c>
      <c r="E860" s="2">
        <f>COUNTIF(contact[[#This Row],[Bagossy]:[Szo
03:00 - 10:00]],"=x")</f>
        <v>0</v>
      </c>
      <c r="F860" s="2">
        <f>SUM(contact[[#This Row],[?]:[x]])</f>
        <v>0</v>
      </c>
      <c r="G8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0" s="3" t="s">
        <v>3663</v>
      </c>
      <c r="K860" s="1" t="s">
        <v>892</v>
      </c>
      <c r="L860" s="1" t="s">
        <v>2</v>
      </c>
      <c r="M860" s="1" t="s">
        <v>2</v>
      </c>
      <c r="O860" s="2"/>
      <c r="P860" s="2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spans="1:32" s="1" customFormat="1" ht="20.25" customHeight="1" x14ac:dyDescent="0.25">
      <c r="A861" s="2"/>
      <c r="B861" s="2"/>
      <c r="C861" s="2"/>
      <c r="D861" s="2">
        <f>COUNTIF(contact[[#This Row],[Bagossy]:[Szo
03:00 - 10:00]],"=~?")</f>
        <v>0</v>
      </c>
      <c r="E861" s="2">
        <f>COUNTIF(contact[[#This Row],[Bagossy]:[Szo
03:00 - 10:00]],"=x")</f>
        <v>0</v>
      </c>
      <c r="F861" s="2">
        <f>SUM(contact[[#This Row],[?]:[x]])</f>
        <v>0</v>
      </c>
      <c r="G8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1" s="3" t="s">
        <v>498</v>
      </c>
      <c r="K861" s="1" t="s">
        <v>2</v>
      </c>
      <c r="L861" s="1" t="s">
        <v>2</v>
      </c>
      <c r="M861" s="1" t="s">
        <v>2</v>
      </c>
      <c r="O861" s="2"/>
      <c r="P861" s="2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spans="1:32" s="1" customFormat="1" ht="20.25" customHeight="1" x14ac:dyDescent="0.25">
      <c r="A862" s="2"/>
      <c r="B862" s="2"/>
      <c r="C862" s="2"/>
      <c r="D862" s="2">
        <f>COUNTIF(contact[[#This Row],[Bagossy]:[Szo
03:00 - 10:00]],"=~?")</f>
        <v>0</v>
      </c>
      <c r="E862" s="2">
        <f>COUNTIF(contact[[#This Row],[Bagossy]:[Szo
03:00 - 10:00]],"=x")</f>
        <v>0</v>
      </c>
      <c r="F862" s="2">
        <f>SUM(contact[[#This Row],[?]:[x]])</f>
        <v>0</v>
      </c>
      <c r="G8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2" s="3" t="s">
        <v>499</v>
      </c>
      <c r="K862" s="1" t="s">
        <v>2</v>
      </c>
      <c r="L862" s="1" t="s">
        <v>2</v>
      </c>
      <c r="M862" s="1" t="s">
        <v>2</v>
      </c>
      <c r="O862" s="2"/>
      <c r="P862" s="2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spans="1:32" s="1" customFormat="1" ht="20.25" customHeight="1" x14ac:dyDescent="0.25">
      <c r="A863" s="2"/>
      <c r="B863" s="2"/>
      <c r="C863" s="2"/>
      <c r="D863" s="2">
        <f>COUNTIF(contact[[#This Row],[Bagossy]:[Szo
03:00 - 10:00]],"=~?")</f>
        <v>0</v>
      </c>
      <c r="E863" s="2">
        <f>COUNTIF(contact[[#This Row],[Bagossy]:[Szo
03:00 - 10:00]],"=x")</f>
        <v>0</v>
      </c>
      <c r="F863" s="2">
        <f>SUM(contact[[#This Row],[?]:[x]])</f>
        <v>0</v>
      </c>
      <c r="G8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3" s="3" t="s">
        <v>500</v>
      </c>
      <c r="K863" s="1" t="s">
        <v>2</v>
      </c>
      <c r="L863" s="1" t="s">
        <v>2</v>
      </c>
      <c r="M863" s="1" t="s">
        <v>2</v>
      </c>
      <c r="O863" s="2"/>
      <c r="P863" s="2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spans="1:32" s="1" customFormat="1" ht="20.25" customHeight="1" x14ac:dyDescent="0.25">
      <c r="A864" s="2"/>
      <c r="B864" s="2"/>
      <c r="C864" s="2"/>
      <c r="D864" s="2">
        <f>COUNTIF(contact[[#This Row],[Bagossy]:[Szo
03:00 - 10:00]],"=~?")</f>
        <v>0</v>
      </c>
      <c r="E864" s="2">
        <f>COUNTIF(contact[[#This Row],[Bagossy]:[Szo
03:00 - 10:00]],"=x")</f>
        <v>0</v>
      </c>
      <c r="F864" s="2">
        <f>SUM(contact[[#This Row],[?]:[x]])</f>
        <v>0</v>
      </c>
      <c r="G8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4" s="3" t="s">
        <v>3797</v>
      </c>
      <c r="K864" s="1" t="s">
        <v>2</v>
      </c>
      <c r="L864" s="1" t="s">
        <v>2</v>
      </c>
      <c r="M864" s="1" t="s">
        <v>2</v>
      </c>
      <c r="O864" s="2"/>
      <c r="P864" s="2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spans="1:32" s="1" customFormat="1" ht="20.25" customHeight="1" x14ac:dyDescent="0.25">
      <c r="A865" s="2"/>
      <c r="B865" s="2"/>
      <c r="C865" s="2"/>
      <c r="D865" s="2">
        <f>COUNTIF(contact[[#This Row],[Bagossy]:[Szo
03:00 - 10:00]],"=~?")</f>
        <v>0</v>
      </c>
      <c r="E865" s="2">
        <f>COUNTIF(contact[[#This Row],[Bagossy]:[Szo
03:00 - 10:00]],"=x")</f>
        <v>0</v>
      </c>
      <c r="F865" s="2">
        <f>SUM(contact[[#This Row],[?]:[x]])</f>
        <v>0</v>
      </c>
      <c r="G8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5" s="3" t="s">
        <v>2111</v>
      </c>
      <c r="K865" s="1" t="s">
        <v>1339</v>
      </c>
      <c r="L865" s="1" t="s">
        <v>2</v>
      </c>
      <c r="M865" s="1" t="s">
        <v>2</v>
      </c>
      <c r="O865" s="2"/>
      <c r="P865" s="2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spans="1:32" s="1" customFormat="1" ht="20.25" customHeight="1" x14ac:dyDescent="0.25">
      <c r="A866" s="2"/>
      <c r="B866" s="2"/>
      <c r="C866" s="2" t="s">
        <v>1285</v>
      </c>
      <c r="D866" s="2">
        <f>COUNTIF(contact[[#This Row],[Bagossy]:[Szo
03:00 - 10:00]],"=~?")</f>
        <v>0</v>
      </c>
      <c r="E866" s="2">
        <f>COUNTIF(contact[[#This Row],[Bagossy]:[Szo
03:00 - 10:00]],"=x")</f>
        <v>0</v>
      </c>
      <c r="F866" s="2">
        <f>SUM(contact[[#This Row],[?]:[x]])</f>
        <v>0</v>
      </c>
      <c r="G8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66" s="2"/>
      <c r="I866" s="2"/>
      <c r="J866" s="3" t="s">
        <v>523</v>
      </c>
      <c r="K866" s="1" t="s">
        <v>719</v>
      </c>
      <c r="L866" s="1" t="s">
        <v>2</v>
      </c>
      <c r="M866" s="1" t="s">
        <v>2</v>
      </c>
      <c r="O866" s="2"/>
      <c r="P866" s="2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spans="1:32" s="1" customFormat="1" ht="20.25" customHeight="1" x14ac:dyDescent="0.25">
      <c r="A867" s="2"/>
      <c r="B867" s="2"/>
      <c r="C867" s="2"/>
      <c r="D867" s="2">
        <f>COUNTIF(contact[[#This Row],[Bagossy]:[Szo
03:00 - 10:00]],"=~?")</f>
        <v>0</v>
      </c>
      <c r="E867" s="2">
        <f>COUNTIF(contact[[#This Row],[Bagossy]:[Szo
03:00 - 10:00]],"=x")</f>
        <v>0</v>
      </c>
      <c r="F867" s="2">
        <f>SUM(contact[[#This Row],[?]:[x]])</f>
        <v>0</v>
      </c>
      <c r="G8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7" s="3" t="s">
        <v>3368</v>
      </c>
      <c r="K867" s="1" t="s">
        <v>1624</v>
      </c>
      <c r="L867" s="1" t="s">
        <v>2</v>
      </c>
      <c r="M867" s="1" t="s">
        <v>2</v>
      </c>
      <c r="O867" s="2"/>
      <c r="P867" s="2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spans="1:32" s="1" customFormat="1" ht="20.25" customHeight="1" x14ac:dyDescent="0.25">
      <c r="A868" s="2"/>
      <c r="B868" s="2"/>
      <c r="C868" s="2"/>
      <c r="D868" s="2">
        <f>COUNTIF(contact[[#This Row],[Bagossy]:[Szo
03:00 - 10:00]],"=~?")</f>
        <v>0</v>
      </c>
      <c r="E868" s="2">
        <f>COUNTIF(contact[[#This Row],[Bagossy]:[Szo
03:00 - 10:00]],"=x")</f>
        <v>0</v>
      </c>
      <c r="F868" s="2">
        <f>SUM(contact[[#This Row],[?]:[x]])</f>
        <v>0</v>
      </c>
      <c r="G8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68" s="2"/>
      <c r="I868" s="2"/>
      <c r="J868" s="3" t="s">
        <v>2864</v>
      </c>
      <c r="K868" s="1" t="s">
        <v>1504</v>
      </c>
      <c r="L868" s="1" t="s">
        <v>2</v>
      </c>
      <c r="M868" s="1" t="s">
        <v>2</v>
      </c>
      <c r="O868" s="2"/>
      <c r="P868" s="2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spans="1:32" s="1" customFormat="1" ht="20.25" customHeight="1" x14ac:dyDescent="0.25">
      <c r="A869" s="2"/>
      <c r="B869" s="2"/>
      <c r="C869" s="2"/>
      <c r="D869" s="2">
        <f>COUNTIF(contact[[#This Row],[Bagossy]:[Szo
03:00 - 10:00]],"=~?")</f>
        <v>0</v>
      </c>
      <c r="E869" s="2">
        <f>COUNTIF(contact[[#This Row],[Bagossy]:[Szo
03:00 - 10:00]],"=x")</f>
        <v>0</v>
      </c>
      <c r="F869" s="2">
        <f>SUM(contact[[#This Row],[?]:[x]])</f>
        <v>0</v>
      </c>
      <c r="G8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69" s="3" t="s">
        <v>3565</v>
      </c>
      <c r="K869" s="1" t="s">
        <v>851</v>
      </c>
      <c r="L869" s="1" t="s">
        <v>2</v>
      </c>
      <c r="M869" s="1" t="s">
        <v>2</v>
      </c>
      <c r="O869" s="2"/>
      <c r="P869" s="2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spans="1:32" s="1" customFormat="1" ht="20.25" customHeight="1" x14ac:dyDescent="0.25">
      <c r="A870" s="2"/>
      <c r="B870" s="2"/>
      <c r="C870" s="2"/>
      <c r="D870" s="2">
        <f>COUNTIF(contact[[#This Row],[Bagossy]:[Szo
03:00 - 10:00]],"=~?")</f>
        <v>0</v>
      </c>
      <c r="E870" s="2">
        <f>COUNTIF(contact[[#This Row],[Bagossy]:[Szo
03:00 - 10:00]],"=x")</f>
        <v>0</v>
      </c>
      <c r="F870" s="2">
        <f>SUM(contact[[#This Row],[?]:[x]])</f>
        <v>0</v>
      </c>
      <c r="G8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70" s="2"/>
      <c r="I870" s="2"/>
      <c r="J870" s="3" t="s">
        <v>2865</v>
      </c>
      <c r="K870" s="1" t="s">
        <v>993</v>
      </c>
      <c r="L870" s="1" t="s">
        <v>2</v>
      </c>
      <c r="M870" s="1" t="s">
        <v>2</v>
      </c>
      <c r="O870" s="2"/>
      <c r="P870" s="2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spans="1:32" s="1" customFormat="1" ht="20.25" customHeight="1" x14ac:dyDescent="0.25">
      <c r="A871" s="2"/>
      <c r="B871" s="2"/>
      <c r="C871" s="2"/>
      <c r="D871" s="2">
        <f>COUNTIF(contact[[#This Row],[Bagossy]:[Szo
03:00 - 10:00]],"=~?")</f>
        <v>0</v>
      </c>
      <c r="E871" s="2">
        <f>COUNTIF(contact[[#This Row],[Bagossy]:[Szo
03:00 - 10:00]],"=x")</f>
        <v>0</v>
      </c>
      <c r="F871" s="2">
        <f>SUM(contact[[#This Row],[?]:[x]])</f>
        <v>0</v>
      </c>
      <c r="G8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71" s="3" t="s">
        <v>3963</v>
      </c>
      <c r="K871" s="1" t="s">
        <v>1041</v>
      </c>
      <c r="L871" s="1" t="s">
        <v>2</v>
      </c>
      <c r="M871" s="1" t="s">
        <v>2</v>
      </c>
      <c r="O871" s="2"/>
      <c r="P871" s="2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spans="1:32" s="1" customFormat="1" ht="20.25" customHeight="1" x14ac:dyDescent="0.25">
      <c r="A872" s="2"/>
      <c r="B872" s="2"/>
      <c r="C872" s="2"/>
      <c r="D872" s="2">
        <f>COUNTIF(contact[[#This Row],[Bagossy]:[Szo
03:00 - 10:00]],"=~?")</f>
        <v>0</v>
      </c>
      <c r="E872" s="2">
        <f>COUNTIF(contact[[#This Row],[Bagossy]:[Szo
03:00 - 10:00]],"=x")</f>
        <v>0</v>
      </c>
      <c r="F872" s="2">
        <f>SUM(contact[[#This Row],[?]:[x]])</f>
        <v>0</v>
      </c>
      <c r="G8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72" s="3" t="s">
        <v>4202</v>
      </c>
      <c r="K872" s="1" t="s">
        <v>2</v>
      </c>
      <c r="L872" s="1" t="s">
        <v>2</v>
      </c>
      <c r="M872" s="1" t="s">
        <v>2</v>
      </c>
      <c r="O872" s="2"/>
      <c r="P872" s="2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spans="1:32" s="1" customFormat="1" ht="20.25" customHeight="1" x14ac:dyDescent="0.25">
      <c r="A873" s="2"/>
      <c r="B873" s="2"/>
      <c r="C873" s="2"/>
      <c r="D873" s="2">
        <f>COUNTIF(contact[[#This Row],[Bagossy]:[Szo
03:00 - 10:00]],"=~?")</f>
        <v>0</v>
      </c>
      <c r="E873" s="2">
        <f>COUNTIF(contact[[#This Row],[Bagossy]:[Szo
03:00 - 10:00]],"=x")</f>
        <v>0</v>
      </c>
      <c r="F873" s="2">
        <f>SUM(contact[[#This Row],[?]:[x]])</f>
        <v>0</v>
      </c>
      <c r="G8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73" s="3" t="s">
        <v>4202</v>
      </c>
      <c r="K873" s="1" t="s">
        <v>2</v>
      </c>
      <c r="L873" s="1" t="s">
        <v>2</v>
      </c>
      <c r="M873" s="1" t="s">
        <v>2</v>
      </c>
      <c r="O873" s="2"/>
      <c r="P873" s="2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spans="1:32" s="1" customFormat="1" ht="20.25" customHeight="1" x14ac:dyDescent="0.25">
      <c r="A874" s="2"/>
      <c r="B874" s="2"/>
      <c r="C874" s="2"/>
      <c r="D874" s="2">
        <f>COUNTIF(contact[[#This Row],[Bagossy]:[Szo
03:00 - 10:00]],"=~?")</f>
        <v>0</v>
      </c>
      <c r="E874" s="2">
        <f>COUNTIF(contact[[#This Row],[Bagossy]:[Szo
03:00 - 10:00]],"=x")</f>
        <v>0</v>
      </c>
      <c r="F874" s="2">
        <f>SUM(contact[[#This Row],[?]:[x]])</f>
        <v>0</v>
      </c>
      <c r="G8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74" s="3" t="s">
        <v>4454</v>
      </c>
      <c r="K874" s="1" t="s">
        <v>2</v>
      </c>
      <c r="L874" s="1" t="s">
        <v>2</v>
      </c>
      <c r="M874" s="1" t="s">
        <v>2</v>
      </c>
      <c r="O874" s="2"/>
      <c r="P874" s="2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spans="1:32" s="1" customFormat="1" ht="20.25" customHeight="1" x14ac:dyDescent="0.25">
      <c r="A875" s="2"/>
      <c r="B875" s="2"/>
      <c r="C875" s="2"/>
      <c r="D875" s="2">
        <f>COUNTIF(contact[[#This Row],[Bagossy]:[Szo
03:00 - 10:00]],"=~?")</f>
        <v>0</v>
      </c>
      <c r="E875" s="2">
        <f>COUNTIF(contact[[#This Row],[Bagossy]:[Szo
03:00 - 10:00]],"=x")</f>
        <v>0</v>
      </c>
      <c r="F875" s="2">
        <f>SUM(contact[[#This Row],[?]:[x]])</f>
        <v>0</v>
      </c>
      <c r="G8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75" s="2"/>
      <c r="I875" s="2"/>
      <c r="J875" s="3" t="s">
        <v>2871</v>
      </c>
      <c r="K875" s="1" t="s">
        <v>6</v>
      </c>
      <c r="L875" s="1" t="s">
        <v>2</v>
      </c>
      <c r="M875" s="1" t="s">
        <v>2</v>
      </c>
      <c r="O875" s="2"/>
      <c r="P875" s="2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spans="1:32" s="1" customFormat="1" ht="20.25" customHeight="1" x14ac:dyDescent="0.25">
      <c r="A876" s="2" t="s">
        <v>1285</v>
      </c>
      <c r="B876" s="2" t="s">
        <v>1285</v>
      </c>
      <c r="C876" s="2" t="s">
        <v>1285</v>
      </c>
      <c r="D876" s="2">
        <f>COUNTIF(contact[[#This Row],[Bagossy]:[Szo
03:00 - 10:00]],"=~?")</f>
        <v>0</v>
      </c>
      <c r="E876" s="2">
        <f>COUNTIF(contact[[#This Row],[Bagossy]:[Szo
03:00 - 10:00]],"=x")</f>
        <v>3</v>
      </c>
      <c r="F876" s="2">
        <f>SUM(contact[[#This Row],[?]:[x]])</f>
        <v>3</v>
      </c>
      <c r="G876" s="2">
        <f>COUNTIF(contact[[#This Row],[Sze
10:00 - 22:00]:[Cs
03:00 - 08:00]],"=x")+COUNTIF(contact[[#This Row],[P
08:00 - 12:00]:[P
03:00 - 08:00]],"=x")+COUNTIF(contact[[#This Row],[Szo
08:00 - 12:00]:[Szo
03:00 - 10:00]],"=x")</f>
        <v>2</v>
      </c>
      <c r="H876" s="2" t="s">
        <v>4623</v>
      </c>
      <c r="J876" s="3" t="s">
        <v>4638</v>
      </c>
      <c r="K876" s="1" t="s">
        <v>172</v>
      </c>
      <c r="L876" s="1" t="s">
        <v>2</v>
      </c>
      <c r="M876" s="1" t="s">
        <v>2</v>
      </c>
      <c r="N876" s="2" t="s">
        <v>4612</v>
      </c>
      <c r="O876" s="2" t="s">
        <v>1285</v>
      </c>
      <c r="P876" s="2"/>
      <c r="Q876" s="6"/>
      <c r="R876" s="6"/>
      <c r="S876" s="6"/>
      <c r="T876" s="6"/>
      <c r="U876" s="6" t="s">
        <v>1285</v>
      </c>
      <c r="V876" s="6"/>
      <c r="W876" s="6"/>
      <c r="X876" s="6"/>
      <c r="Y876" s="6"/>
      <c r="Z876" s="6" t="s">
        <v>1285</v>
      </c>
      <c r="AA876" s="6"/>
      <c r="AB876" s="6"/>
      <c r="AC876" s="6"/>
      <c r="AD876" s="6"/>
      <c r="AE876" s="6"/>
      <c r="AF876" s="6"/>
    </row>
    <row r="877" spans="1:32" s="1" customFormat="1" ht="20.25" customHeight="1" x14ac:dyDescent="0.25">
      <c r="A877" s="2" t="s">
        <v>1285</v>
      </c>
      <c r="B877" s="2" t="s">
        <v>1285</v>
      </c>
      <c r="C877" s="2" t="s">
        <v>1285</v>
      </c>
      <c r="D877" s="2">
        <f>COUNTIF(contact[[#This Row],[Bagossy]:[Szo
03:00 - 10:00]],"=~?")</f>
        <v>1</v>
      </c>
      <c r="E877" s="2">
        <f>COUNTIF(contact[[#This Row],[Bagossy]:[Szo
03:00 - 10:00]],"=x")</f>
        <v>2</v>
      </c>
      <c r="F877" s="2">
        <f>SUM(contact[[#This Row],[?]:[x]])</f>
        <v>3</v>
      </c>
      <c r="G877" s="2">
        <f>COUNTIF(contact[[#This Row],[Sze
10:00 - 22:00]:[Cs
03:00 - 08:00]],"=x")+COUNTIF(contact[[#This Row],[P
08:00 - 12:00]:[P
03:00 - 08:00]],"=x")+COUNTIF(contact[[#This Row],[Szo
08:00 - 12:00]:[Szo
03:00 - 10:00]],"=x")</f>
        <v>1</v>
      </c>
      <c r="H877" s="2" t="s">
        <v>4620</v>
      </c>
      <c r="I877" s="2"/>
      <c r="J877" s="3" t="s">
        <v>2872</v>
      </c>
      <c r="K877" s="1" t="s">
        <v>305</v>
      </c>
      <c r="L877" s="1" t="s">
        <v>2</v>
      </c>
      <c r="M877" s="1" t="s">
        <v>2</v>
      </c>
      <c r="N877" s="2" t="s">
        <v>4612</v>
      </c>
      <c r="O877" s="2" t="s">
        <v>1285</v>
      </c>
      <c r="P877" s="2"/>
      <c r="Q877" s="6"/>
      <c r="R877" s="6"/>
      <c r="S877" s="6"/>
      <c r="T877" s="6"/>
      <c r="U877" s="6" t="s">
        <v>1285</v>
      </c>
      <c r="V877" s="6"/>
      <c r="W877" s="6" t="s">
        <v>4616</v>
      </c>
      <c r="X877" s="6"/>
      <c r="Y877" s="6"/>
      <c r="Z877" s="6"/>
      <c r="AA877" s="6"/>
      <c r="AB877" s="6"/>
      <c r="AC877" s="6"/>
      <c r="AD877" s="6"/>
      <c r="AE877" s="6"/>
      <c r="AF877" s="6"/>
    </row>
    <row r="878" spans="1:32" s="1" customFormat="1" ht="20.25" customHeight="1" x14ac:dyDescent="0.25">
      <c r="A878" s="2"/>
      <c r="B878" s="2"/>
      <c r="C878" s="2"/>
      <c r="D878" s="2">
        <f>COUNTIF(contact[[#This Row],[Bagossy]:[Szo
03:00 - 10:00]],"=~?")</f>
        <v>0</v>
      </c>
      <c r="E878" s="2">
        <f>COUNTIF(contact[[#This Row],[Bagossy]:[Szo
03:00 - 10:00]],"=x")</f>
        <v>0</v>
      </c>
      <c r="F878" s="2">
        <f>SUM(contact[[#This Row],[?]:[x]])</f>
        <v>0</v>
      </c>
      <c r="G8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78" s="3" t="s">
        <v>3878</v>
      </c>
      <c r="K878" s="1" t="s">
        <v>994</v>
      </c>
      <c r="L878" s="1" t="s">
        <v>2</v>
      </c>
      <c r="M878" s="1" t="s">
        <v>2</v>
      </c>
      <c r="O878" s="2"/>
      <c r="P878" s="2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spans="1:32" s="1" customFormat="1" ht="20.25" customHeight="1" x14ac:dyDescent="0.25">
      <c r="A879" s="2"/>
      <c r="B879" s="2"/>
      <c r="C879" s="2"/>
      <c r="D879" s="2">
        <f>COUNTIF(contact[[#This Row],[Bagossy]:[Szo
03:00 - 10:00]],"=~?")</f>
        <v>0</v>
      </c>
      <c r="E879" s="2">
        <f>COUNTIF(contact[[#This Row],[Bagossy]:[Szo
03:00 - 10:00]],"=x")</f>
        <v>0</v>
      </c>
      <c r="F879" s="2">
        <f>SUM(contact[[#This Row],[?]:[x]])</f>
        <v>0</v>
      </c>
      <c r="G8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79" s="3" t="s">
        <v>4203</v>
      </c>
      <c r="K879" s="1" t="s">
        <v>1811</v>
      </c>
      <c r="L879" s="1" t="s">
        <v>2</v>
      </c>
      <c r="M879" s="1" t="s">
        <v>2</v>
      </c>
      <c r="O879" s="2"/>
      <c r="P879" s="2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spans="1:32" s="1" customFormat="1" ht="20.25" customHeight="1" x14ac:dyDescent="0.25">
      <c r="A880" s="2"/>
      <c r="B880" s="2"/>
      <c r="C880" s="2"/>
      <c r="D880" s="2">
        <f>COUNTIF(contact[[#This Row],[Bagossy]:[Szo
03:00 - 10:00]],"=~?")</f>
        <v>0</v>
      </c>
      <c r="E880" s="2">
        <f>COUNTIF(contact[[#This Row],[Bagossy]:[Szo
03:00 - 10:00]],"=x")</f>
        <v>0</v>
      </c>
      <c r="F880" s="2">
        <f>SUM(contact[[#This Row],[?]:[x]])</f>
        <v>0</v>
      </c>
      <c r="G8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0" s="3" t="s">
        <v>3838</v>
      </c>
      <c r="K880" s="1" t="s">
        <v>2</v>
      </c>
      <c r="L880" s="1" t="s">
        <v>2</v>
      </c>
      <c r="M880" s="1" t="s">
        <v>2</v>
      </c>
      <c r="O880" s="2"/>
      <c r="P880" s="2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spans="1:32" s="1" customFormat="1" ht="20.25" customHeight="1" x14ac:dyDescent="0.25">
      <c r="A881" s="2"/>
      <c r="B881" s="2"/>
      <c r="C881" s="2"/>
      <c r="D881" s="2">
        <f>COUNTIF(contact[[#This Row],[Bagossy]:[Szo
03:00 - 10:00]],"=~?")</f>
        <v>0</v>
      </c>
      <c r="E881" s="2">
        <f>COUNTIF(contact[[#This Row],[Bagossy]:[Szo
03:00 - 10:00]],"=x")</f>
        <v>0</v>
      </c>
      <c r="F881" s="2">
        <f>SUM(contact[[#This Row],[?]:[x]])</f>
        <v>0</v>
      </c>
      <c r="G8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1" s="3" t="s">
        <v>3770</v>
      </c>
      <c r="K881" s="1" t="s">
        <v>2</v>
      </c>
      <c r="L881" s="1" t="s">
        <v>2</v>
      </c>
      <c r="M881" s="1" t="s">
        <v>2</v>
      </c>
      <c r="O881" s="2"/>
      <c r="P881" s="2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spans="1:32" s="1" customFormat="1" ht="20.25" customHeight="1" x14ac:dyDescent="0.25">
      <c r="A882" s="2"/>
      <c r="B882" s="2"/>
      <c r="C882" s="2"/>
      <c r="D882" s="2">
        <f>COUNTIF(contact[[#This Row],[Bagossy]:[Szo
03:00 - 10:00]],"=~?")</f>
        <v>0</v>
      </c>
      <c r="E882" s="2">
        <f>COUNTIF(contact[[#This Row],[Bagossy]:[Szo
03:00 - 10:00]],"=x")</f>
        <v>0</v>
      </c>
      <c r="F882" s="2">
        <f>SUM(contact[[#This Row],[?]:[x]])</f>
        <v>0</v>
      </c>
      <c r="G8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2" s="3" t="s">
        <v>3987</v>
      </c>
      <c r="K882" s="1" t="s">
        <v>391</v>
      </c>
      <c r="L882" s="1" t="s">
        <v>2</v>
      </c>
      <c r="M882" s="1" t="s">
        <v>2</v>
      </c>
      <c r="O882" s="2"/>
      <c r="P882" s="2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spans="1:32" s="1" customFormat="1" ht="20.25" customHeight="1" x14ac:dyDescent="0.25">
      <c r="A883" s="2"/>
      <c r="B883" s="2"/>
      <c r="C883" s="2"/>
      <c r="D883" s="2">
        <f>COUNTIF(contact[[#This Row],[Bagossy]:[Szo
03:00 - 10:00]],"=~?")</f>
        <v>0</v>
      </c>
      <c r="E883" s="2">
        <f>COUNTIF(contact[[#This Row],[Bagossy]:[Szo
03:00 - 10:00]],"=x")</f>
        <v>0</v>
      </c>
      <c r="F883" s="2">
        <f>SUM(contact[[#This Row],[?]:[x]])</f>
        <v>0</v>
      </c>
      <c r="G8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3" s="3" t="s">
        <v>2180</v>
      </c>
      <c r="K883" s="1" t="s">
        <v>1327</v>
      </c>
      <c r="L883" s="1" t="s">
        <v>2</v>
      </c>
      <c r="M883" s="1" t="s">
        <v>2</v>
      </c>
      <c r="O883" s="2"/>
      <c r="P883" s="2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spans="1:32" s="1" customFormat="1" ht="20.25" customHeight="1" x14ac:dyDescent="0.25">
      <c r="A884" s="2"/>
      <c r="B884" s="2"/>
      <c r="C884" s="2"/>
      <c r="D884" s="2">
        <f>COUNTIF(contact[[#This Row],[Bagossy]:[Szo
03:00 - 10:00]],"=~?")</f>
        <v>0</v>
      </c>
      <c r="E884" s="2">
        <f>COUNTIF(contact[[#This Row],[Bagossy]:[Szo
03:00 - 10:00]],"=x")</f>
        <v>0</v>
      </c>
      <c r="F884" s="2">
        <f>SUM(contact[[#This Row],[?]:[x]])</f>
        <v>0</v>
      </c>
      <c r="G8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4" s="3" t="s">
        <v>2440</v>
      </c>
      <c r="K884" s="1" t="s">
        <v>309</v>
      </c>
      <c r="L884" s="1" t="s">
        <v>2</v>
      </c>
      <c r="M884" s="1" t="s">
        <v>2</v>
      </c>
      <c r="O884" s="2"/>
      <c r="P884" s="2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spans="1:32" s="1" customFormat="1" ht="20.25" customHeight="1" x14ac:dyDescent="0.25">
      <c r="A885" s="2"/>
      <c r="B885" s="2"/>
      <c r="C885" s="2"/>
      <c r="D885" s="2">
        <f>COUNTIF(contact[[#This Row],[Bagossy]:[Szo
03:00 - 10:00]],"=~?")</f>
        <v>0</v>
      </c>
      <c r="E885" s="2">
        <f>COUNTIF(contact[[#This Row],[Bagossy]:[Szo
03:00 - 10:00]],"=x")</f>
        <v>0</v>
      </c>
      <c r="F885" s="2">
        <f>SUM(contact[[#This Row],[?]:[x]])</f>
        <v>0</v>
      </c>
      <c r="G8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5" s="3" t="s">
        <v>3844</v>
      </c>
      <c r="K885" s="1" t="s">
        <v>978</v>
      </c>
      <c r="L885" s="1" t="s">
        <v>2</v>
      </c>
      <c r="M885" s="1" t="s">
        <v>2</v>
      </c>
      <c r="O885" s="2"/>
      <c r="P885" s="2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spans="1:32" s="1" customFormat="1" ht="20.25" customHeight="1" x14ac:dyDescent="0.25">
      <c r="A886" s="2"/>
      <c r="B886" s="2" t="s">
        <v>1285</v>
      </c>
      <c r="C886" s="2" t="s">
        <v>1285</v>
      </c>
      <c r="D886" s="2">
        <f>COUNTIF(contact[[#This Row],[Bagossy]:[Szo
03:00 - 10:00]],"=~?")</f>
        <v>0</v>
      </c>
      <c r="E886" s="2">
        <f>COUNTIF(contact[[#This Row],[Bagossy]:[Szo
03:00 - 10:00]],"=x")</f>
        <v>0</v>
      </c>
      <c r="F886" s="2">
        <f>SUM(contact[[#This Row],[?]:[x]])</f>
        <v>0</v>
      </c>
      <c r="G8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86" s="2" t="s">
        <v>4616</v>
      </c>
      <c r="I886" s="2"/>
      <c r="J886" s="3" t="s">
        <v>2879</v>
      </c>
      <c r="K886" s="1" t="s">
        <v>151</v>
      </c>
      <c r="L886" s="1" t="s">
        <v>2</v>
      </c>
      <c r="M886" s="1" t="s">
        <v>2</v>
      </c>
      <c r="O886" s="2"/>
      <c r="P886" s="2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spans="1:32" s="1" customFormat="1" ht="20.25" customHeight="1" x14ac:dyDescent="0.25">
      <c r="A887" s="2"/>
      <c r="B887" s="2"/>
      <c r="C887" s="2"/>
      <c r="D887" s="2">
        <f>COUNTIF(contact[[#This Row],[Bagossy]:[Szo
03:00 - 10:00]],"=~?")</f>
        <v>0</v>
      </c>
      <c r="E887" s="2">
        <f>COUNTIF(contact[[#This Row],[Bagossy]:[Szo
03:00 - 10:00]],"=x")</f>
        <v>0</v>
      </c>
      <c r="F887" s="2">
        <f>SUM(contact[[#This Row],[?]:[x]])</f>
        <v>0</v>
      </c>
      <c r="G8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7" s="3" t="s">
        <v>3594</v>
      </c>
      <c r="K887" s="1" t="s">
        <v>864</v>
      </c>
      <c r="L887" s="1" t="s">
        <v>2</v>
      </c>
      <c r="M887" s="1" t="s">
        <v>2</v>
      </c>
      <c r="O887" s="2"/>
      <c r="P887" s="2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spans="1:32" s="1" customFormat="1" ht="20.25" customHeight="1" x14ac:dyDescent="0.25">
      <c r="A888" s="2"/>
      <c r="B888" s="2"/>
      <c r="C888" s="2"/>
      <c r="D888" s="2">
        <f>COUNTIF(contact[[#This Row],[Bagossy]:[Szo
03:00 - 10:00]],"=~?")</f>
        <v>0</v>
      </c>
      <c r="E888" s="2">
        <f>COUNTIF(contact[[#This Row],[Bagossy]:[Szo
03:00 - 10:00]],"=x")</f>
        <v>0</v>
      </c>
      <c r="F888" s="2">
        <f>SUM(contact[[#This Row],[?]:[x]])</f>
        <v>0</v>
      </c>
      <c r="G8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8" s="3" t="s">
        <v>4020</v>
      </c>
      <c r="K888" s="1" t="s">
        <v>30</v>
      </c>
      <c r="L888" s="1" t="s">
        <v>2</v>
      </c>
      <c r="M888" s="1" t="s">
        <v>2</v>
      </c>
      <c r="O888" s="2"/>
      <c r="P888" s="2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spans="1:32" s="1" customFormat="1" ht="20.25" customHeight="1" x14ac:dyDescent="0.25">
      <c r="A889" s="2"/>
      <c r="B889" s="2"/>
      <c r="C889" s="2"/>
      <c r="D889" s="2">
        <f>COUNTIF(contact[[#This Row],[Bagossy]:[Szo
03:00 - 10:00]],"=~?")</f>
        <v>0</v>
      </c>
      <c r="E889" s="2">
        <f>COUNTIF(contact[[#This Row],[Bagossy]:[Szo
03:00 - 10:00]],"=x")</f>
        <v>0</v>
      </c>
      <c r="F889" s="2">
        <f>SUM(contact[[#This Row],[?]:[x]])</f>
        <v>0</v>
      </c>
      <c r="G8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89" s="3" t="s">
        <v>2830</v>
      </c>
      <c r="K889" s="1" t="s">
        <v>1327</v>
      </c>
      <c r="L889" s="1" t="s">
        <v>2</v>
      </c>
      <c r="M889" s="1" t="s">
        <v>2</v>
      </c>
      <c r="O889" s="2"/>
      <c r="P889" s="2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spans="1:32" s="1" customFormat="1" ht="20.25" customHeight="1" x14ac:dyDescent="0.25">
      <c r="A890" s="2"/>
      <c r="B890" s="2"/>
      <c r="C890" s="2"/>
      <c r="D890" s="2">
        <f>COUNTIF(contact[[#This Row],[Bagossy]:[Szo
03:00 - 10:00]],"=~?")</f>
        <v>0</v>
      </c>
      <c r="E890" s="2">
        <f>COUNTIF(contact[[#This Row],[Bagossy]:[Szo
03:00 - 10:00]],"=x")</f>
        <v>0</v>
      </c>
      <c r="F890" s="2">
        <f>SUM(contact[[#This Row],[?]:[x]])</f>
        <v>0</v>
      </c>
      <c r="G8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0" s="3" t="s">
        <v>2801</v>
      </c>
      <c r="K890" s="1" t="s">
        <v>1489</v>
      </c>
      <c r="L890" s="1" t="s">
        <v>2</v>
      </c>
      <c r="M890" s="1" t="s">
        <v>2</v>
      </c>
      <c r="O890" s="2"/>
      <c r="P890" s="2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spans="1:32" s="1" customFormat="1" ht="20.25" customHeight="1" x14ac:dyDescent="0.25">
      <c r="A891" s="2"/>
      <c r="B891" s="2"/>
      <c r="C891" s="2"/>
      <c r="D891" s="2">
        <f>COUNTIF(contact[[#This Row],[Bagossy]:[Szo
03:00 - 10:00]],"=~?")</f>
        <v>0</v>
      </c>
      <c r="E891" s="2">
        <f>COUNTIF(contact[[#This Row],[Bagossy]:[Szo
03:00 - 10:00]],"=x")</f>
        <v>0</v>
      </c>
      <c r="F891" s="2">
        <f>SUM(contact[[#This Row],[?]:[x]])</f>
        <v>0</v>
      </c>
      <c r="G8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1" s="3" t="s">
        <v>503</v>
      </c>
      <c r="K891" s="1" t="s">
        <v>2</v>
      </c>
      <c r="L891" s="1" t="s">
        <v>2</v>
      </c>
      <c r="M891" s="1" t="s">
        <v>2</v>
      </c>
      <c r="O891" s="2"/>
      <c r="P891" s="2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spans="1:32" s="1" customFormat="1" ht="20.25" customHeight="1" x14ac:dyDescent="0.25">
      <c r="A892" s="2"/>
      <c r="B892" s="2"/>
      <c r="C892" s="2"/>
      <c r="D892" s="2">
        <f>COUNTIF(contact[[#This Row],[Bagossy]:[Szo
03:00 - 10:00]],"=~?")</f>
        <v>0</v>
      </c>
      <c r="E892" s="2">
        <f>COUNTIF(contact[[#This Row],[Bagossy]:[Szo
03:00 - 10:00]],"=x")</f>
        <v>0</v>
      </c>
      <c r="F892" s="2">
        <f>SUM(contact[[#This Row],[?]:[x]])</f>
        <v>0</v>
      </c>
      <c r="G8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2" s="3" t="s">
        <v>1969</v>
      </c>
      <c r="K892" s="1" t="s">
        <v>44</v>
      </c>
      <c r="L892" s="1" t="s">
        <v>45</v>
      </c>
      <c r="M892" s="1" t="s">
        <v>46</v>
      </c>
      <c r="O892" s="2"/>
      <c r="P892" s="2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spans="1:32" s="1" customFormat="1" ht="20.25" customHeight="1" x14ac:dyDescent="0.25">
      <c r="A893" s="2"/>
      <c r="B893" s="2"/>
      <c r="C893" s="2"/>
      <c r="D893" s="2">
        <f>COUNTIF(contact[[#This Row],[Bagossy]:[Szo
03:00 - 10:00]],"=~?")</f>
        <v>0</v>
      </c>
      <c r="E893" s="2">
        <f>COUNTIF(contact[[#This Row],[Bagossy]:[Szo
03:00 - 10:00]],"=x")</f>
        <v>0</v>
      </c>
      <c r="F893" s="2">
        <f>SUM(contact[[#This Row],[?]:[x]])</f>
        <v>0</v>
      </c>
      <c r="G8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893" s="2"/>
      <c r="I893" s="2"/>
      <c r="J893" s="3" t="s">
        <v>2886</v>
      </c>
      <c r="K893" s="1" t="s">
        <v>1508</v>
      </c>
      <c r="L893" s="1" t="s">
        <v>2</v>
      </c>
      <c r="M893" s="1" t="s">
        <v>2</v>
      </c>
      <c r="O893" s="2"/>
      <c r="P893" s="2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spans="1:32" s="1" customFormat="1" ht="20.25" customHeight="1" x14ac:dyDescent="0.25">
      <c r="A894" s="2"/>
      <c r="B894" s="2"/>
      <c r="C894" s="2"/>
      <c r="D894" s="2">
        <f>COUNTIF(contact[[#This Row],[Bagossy]:[Szo
03:00 - 10:00]],"=~?")</f>
        <v>0</v>
      </c>
      <c r="E894" s="2">
        <f>COUNTIF(contact[[#This Row],[Bagossy]:[Szo
03:00 - 10:00]],"=x")</f>
        <v>0</v>
      </c>
      <c r="F894" s="2">
        <f>SUM(contact[[#This Row],[?]:[x]])</f>
        <v>0</v>
      </c>
      <c r="G8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4" s="3" t="s">
        <v>2227</v>
      </c>
      <c r="K894" s="1" t="s">
        <v>189</v>
      </c>
      <c r="L894" s="1" t="s">
        <v>2</v>
      </c>
      <c r="M894" s="1" t="s">
        <v>2</v>
      </c>
      <c r="O894" s="2"/>
      <c r="P894" s="2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spans="1:32" s="1" customFormat="1" ht="20.25" customHeight="1" x14ac:dyDescent="0.25">
      <c r="A895" s="2"/>
      <c r="B895" s="2"/>
      <c r="C895" s="2"/>
      <c r="D895" s="2">
        <f>COUNTIF(contact[[#This Row],[Bagossy]:[Szo
03:00 - 10:00]],"=~?")</f>
        <v>0</v>
      </c>
      <c r="E895" s="2">
        <f>COUNTIF(contact[[#This Row],[Bagossy]:[Szo
03:00 - 10:00]],"=x")</f>
        <v>0</v>
      </c>
      <c r="F895" s="2">
        <f>SUM(contact[[#This Row],[?]:[x]])</f>
        <v>0</v>
      </c>
      <c r="G8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5" s="3" t="s">
        <v>3081</v>
      </c>
      <c r="K895" s="1" t="s">
        <v>1558</v>
      </c>
      <c r="L895" s="1" t="s">
        <v>2</v>
      </c>
      <c r="M895" s="1" t="s">
        <v>2</v>
      </c>
      <c r="O895" s="2"/>
      <c r="P895" s="2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spans="1:32" s="1" customFormat="1" ht="20.25" customHeight="1" x14ac:dyDescent="0.25">
      <c r="A896" s="2"/>
      <c r="B896" s="2"/>
      <c r="C896" s="2"/>
      <c r="D896" s="2">
        <f>COUNTIF(contact[[#This Row],[Bagossy]:[Szo
03:00 - 10:00]],"=~?")</f>
        <v>0</v>
      </c>
      <c r="E896" s="2">
        <f>COUNTIF(contact[[#This Row],[Bagossy]:[Szo
03:00 - 10:00]],"=x")</f>
        <v>0</v>
      </c>
      <c r="F896" s="2">
        <f>SUM(contact[[#This Row],[?]:[x]])</f>
        <v>0</v>
      </c>
      <c r="G8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6" s="3" t="s">
        <v>2639</v>
      </c>
      <c r="K896" s="1" t="s">
        <v>2</v>
      </c>
      <c r="L896" s="1" t="s">
        <v>2</v>
      </c>
      <c r="M896" s="1" t="s">
        <v>2</v>
      </c>
      <c r="O896" s="2"/>
      <c r="P896" s="2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spans="1:32" s="1" customFormat="1" ht="20.25" customHeight="1" x14ac:dyDescent="0.25">
      <c r="A897" s="2"/>
      <c r="B897" s="2"/>
      <c r="C897" s="2"/>
      <c r="D897" s="2">
        <f>COUNTIF(contact[[#This Row],[Bagossy]:[Szo
03:00 - 10:00]],"=~?")</f>
        <v>0</v>
      </c>
      <c r="E897" s="2">
        <f>COUNTIF(contact[[#This Row],[Bagossy]:[Szo
03:00 - 10:00]],"=x")</f>
        <v>0</v>
      </c>
      <c r="F897" s="2">
        <f>SUM(contact[[#This Row],[?]:[x]])</f>
        <v>0</v>
      </c>
      <c r="G8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7" s="3" t="s">
        <v>2983</v>
      </c>
      <c r="K897" s="1" t="s">
        <v>2</v>
      </c>
      <c r="L897" s="1" t="s">
        <v>2</v>
      </c>
      <c r="M897" s="1" t="s">
        <v>2</v>
      </c>
      <c r="O897" s="2"/>
      <c r="P897" s="2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spans="1:32" s="1" customFormat="1" ht="20.25" customHeight="1" x14ac:dyDescent="0.25">
      <c r="A898" s="2"/>
      <c r="B898" s="2"/>
      <c r="C898" s="2"/>
      <c r="D898" s="2">
        <f>COUNTIF(contact[[#This Row],[Bagossy]:[Szo
03:00 - 10:00]],"=~?")</f>
        <v>0</v>
      </c>
      <c r="E898" s="2">
        <f>COUNTIF(contact[[#This Row],[Bagossy]:[Szo
03:00 - 10:00]],"=x")</f>
        <v>0</v>
      </c>
      <c r="F898" s="2">
        <f>SUM(contact[[#This Row],[?]:[x]])</f>
        <v>0</v>
      </c>
      <c r="G8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8" s="3" t="s">
        <v>4378</v>
      </c>
      <c r="K898" s="1" t="s">
        <v>2</v>
      </c>
      <c r="L898" s="1" t="s">
        <v>2</v>
      </c>
      <c r="M898" s="1" t="s">
        <v>2</v>
      </c>
      <c r="O898" s="2"/>
      <c r="P898" s="2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spans="1:32" s="1" customFormat="1" ht="20.25" customHeight="1" x14ac:dyDescent="0.25">
      <c r="A899" s="2"/>
      <c r="B899" s="2"/>
      <c r="C899" s="2"/>
      <c r="D899" s="2">
        <f>COUNTIF(contact[[#This Row],[Bagossy]:[Szo
03:00 - 10:00]],"=~?")</f>
        <v>0</v>
      </c>
      <c r="E899" s="2">
        <f>COUNTIF(contact[[#This Row],[Bagossy]:[Szo
03:00 - 10:00]],"=x")</f>
        <v>0</v>
      </c>
      <c r="F899" s="2">
        <f>SUM(contact[[#This Row],[?]:[x]])</f>
        <v>0</v>
      </c>
      <c r="G8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899" s="3" t="s">
        <v>2608</v>
      </c>
      <c r="K899" s="1" t="s">
        <v>1455</v>
      </c>
      <c r="L899" s="1" t="s">
        <v>2</v>
      </c>
      <c r="M899" s="1" t="s">
        <v>2</v>
      </c>
      <c r="O899" s="2"/>
      <c r="P899" s="2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spans="1:32" s="1" customFormat="1" ht="20.25" customHeight="1" x14ac:dyDescent="0.25">
      <c r="A900" s="2"/>
      <c r="B900" s="2"/>
      <c r="C900" s="2"/>
      <c r="D900" s="2">
        <f>COUNTIF(contact[[#This Row],[Bagossy]:[Szo
03:00 - 10:00]],"=~?")</f>
        <v>0</v>
      </c>
      <c r="E900" s="2">
        <f>COUNTIF(contact[[#This Row],[Bagossy]:[Szo
03:00 - 10:00]],"=x")</f>
        <v>0</v>
      </c>
      <c r="F900" s="2">
        <f>SUM(contact[[#This Row],[?]:[x]])</f>
        <v>0</v>
      </c>
      <c r="G9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0" s="3" t="s">
        <v>2803</v>
      </c>
      <c r="K900" s="1" t="s">
        <v>2</v>
      </c>
      <c r="L900" s="1" t="s">
        <v>2</v>
      </c>
      <c r="M900" s="1" t="s">
        <v>2</v>
      </c>
      <c r="O900" s="2"/>
      <c r="P900" s="2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spans="1:32" s="1" customFormat="1" ht="20.25" customHeight="1" x14ac:dyDescent="0.25">
      <c r="A901" s="2"/>
      <c r="B901" s="2"/>
      <c r="C901" s="2"/>
      <c r="D901" s="2">
        <f>COUNTIF(contact[[#This Row],[Bagossy]:[Szo
03:00 - 10:00]],"=~?")</f>
        <v>0</v>
      </c>
      <c r="E901" s="2">
        <f>COUNTIF(contact[[#This Row],[Bagossy]:[Szo
03:00 - 10:00]],"=x")</f>
        <v>0</v>
      </c>
      <c r="F901" s="2">
        <f>SUM(contact[[#This Row],[?]:[x]])</f>
        <v>0</v>
      </c>
      <c r="G9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01" s="2"/>
      <c r="I901" s="2"/>
      <c r="J901" s="3" t="s">
        <v>2887</v>
      </c>
      <c r="K901" s="1" t="s">
        <v>637</v>
      </c>
      <c r="L901" s="1" t="s">
        <v>2</v>
      </c>
      <c r="M901" s="1" t="s">
        <v>2</v>
      </c>
      <c r="O901" s="2"/>
      <c r="P901" s="2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spans="1:32" s="1" customFormat="1" ht="20.25" customHeight="1" x14ac:dyDescent="0.25">
      <c r="A902" s="2"/>
      <c r="B902" s="2"/>
      <c r="C902" s="2"/>
      <c r="D902" s="2">
        <f>COUNTIF(contact[[#This Row],[Bagossy]:[Szo
03:00 - 10:00]],"=~?")</f>
        <v>0</v>
      </c>
      <c r="E902" s="2">
        <f>COUNTIF(contact[[#This Row],[Bagossy]:[Szo
03:00 - 10:00]],"=x")</f>
        <v>0</v>
      </c>
      <c r="F902" s="2">
        <f>SUM(contact[[#This Row],[?]:[x]])</f>
        <v>0</v>
      </c>
      <c r="G9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2" s="3" t="s">
        <v>3686</v>
      </c>
      <c r="K902" s="1" t="s">
        <v>898</v>
      </c>
      <c r="L902" s="1" t="s">
        <v>2</v>
      </c>
      <c r="M902" s="1" t="s">
        <v>2</v>
      </c>
      <c r="O902" s="2"/>
      <c r="P902" s="2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spans="1:32" s="1" customFormat="1" ht="20.25" customHeight="1" x14ac:dyDescent="0.25">
      <c r="A903" s="2"/>
      <c r="B903" s="2"/>
      <c r="C903" s="2"/>
      <c r="D903" s="2">
        <f>COUNTIF(contact[[#This Row],[Bagossy]:[Szo
03:00 - 10:00]],"=~?")</f>
        <v>0</v>
      </c>
      <c r="E903" s="2">
        <f>COUNTIF(contact[[#This Row],[Bagossy]:[Szo
03:00 - 10:00]],"=x")</f>
        <v>0</v>
      </c>
      <c r="F903" s="2">
        <f>SUM(contact[[#This Row],[?]:[x]])</f>
        <v>0</v>
      </c>
      <c r="G9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3" s="3" t="s">
        <v>4503</v>
      </c>
      <c r="K903" s="1" t="s">
        <v>568</v>
      </c>
      <c r="L903" s="1" t="s">
        <v>2</v>
      </c>
      <c r="M903" s="1" t="s">
        <v>2</v>
      </c>
      <c r="O903" s="2"/>
      <c r="P903" s="2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spans="1:32" s="1" customFormat="1" ht="20.25" customHeight="1" x14ac:dyDescent="0.25">
      <c r="A904" s="2"/>
      <c r="B904" s="2"/>
      <c r="C904" s="2"/>
      <c r="D904" s="2">
        <f>COUNTIF(contact[[#This Row],[Bagossy]:[Szo
03:00 - 10:00]],"=~?")</f>
        <v>0</v>
      </c>
      <c r="E904" s="2">
        <f>COUNTIF(contact[[#This Row],[Bagossy]:[Szo
03:00 - 10:00]],"=x")</f>
        <v>0</v>
      </c>
      <c r="F904" s="2">
        <f>SUM(contact[[#This Row],[?]:[x]])</f>
        <v>0</v>
      </c>
      <c r="G9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4" s="3" t="s">
        <v>2321</v>
      </c>
      <c r="K904" s="1" t="s">
        <v>2</v>
      </c>
      <c r="L904" s="1" t="s">
        <v>2</v>
      </c>
      <c r="M904" s="1" t="s">
        <v>2</v>
      </c>
      <c r="O904" s="2"/>
      <c r="P904" s="2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spans="1:32" s="1" customFormat="1" ht="20.25" customHeight="1" x14ac:dyDescent="0.25">
      <c r="A905" s="2"/>
      <c r="B905" s="2"/>
      <c r="C905" s="2"/>
      <c r="D905" s="2">
        <f>COUNTIF(contact[[#This Row],[Bagossy]:[Szo
03:00 - 10:00]],"=~?")</f>
        <v>0</v>
      </c>
      <c r="E905" s="2">
        <f>COUNTIF(contact[[#This Row],[Bagossy]:[Szo
03:00 - 10:00]],"=x")</f>
        <v>0</v>
      </c>
      <c r="F905" s="2">
        <f>SUM(contact[[#This Row],[?]:[x]])</f>
        <v>0</v>
      </c>
      <c r="G9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5" s="3" t="s">
        <v>3798</v>
      </c>
      <c r="K905" s="1" t="s">
        <v>2</v>
      </c>
      <c r="L905" s="1" t="s">
        <v>2</v>
      </c>
      <c r="M905" s="1" t="s">
        <v>2</v>
      </c>
      <c r="O905" s="2"/>
      <c r="P905" s="2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spans="1:32" s="1" customFormat="1" ht="20.25" customHeight="1" x14ac:dyDescent="0.25">
      <c r="A906" s="2"/>
      <c r="B906" s="2"/>
      <c r="C906" s="2"/>
      <c r="D906" s="2">
        <f>COUNTIF(contact[[#This Row],[Bagossy]:[Szo
03:00 - 10:00]],"=~?")</f>
        <v>0</v>
      </c>
      <c r="E906" s="2">
        <f>COUNTIF(contact[[#This Row],[Bagossy]:[Szo
03:00 - 10:00]],"=x")</f>
        <v>0</v>
      </c>
      <c r="F906" s="2">
        <f>SUM(contact[[#This Row],[?]:[x]])</f>
        <v>0</v>
      </c>
      <c r="G9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6" s="3" t="s">
        <v>2053</v>
      </c>
      <c r="K906" s="1" t="s">
        <v>1325</v>
      </c>
      <c r="L906" s="1" t="s">
        <v>2</v>
      </c>
      <c r="M906" s="1" t="s">
        <v>2</v>
      </c>
      <c r="O906" s="2"/>
      <c r="P906" s="2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spans="1:32" s="1" customFormat="1" ht="20.25" customHeight="1" x14ac:dyDescent="0.25">
      <c r="A907" s="2"/>
      <c r="B907" s="2"/>
      <c r="C907" s="2"/>
      <c r="D907" s="2">
        <f>COUNTIF(contact[[#This Row],[Bagossy]:[Szo
03:00 - 10:00]],"=~?")</f>
        <v>0</v>
      </c>
      <c r="E907" s="2">
        <f>COUNTIF(contact[[#This Row],[Bagossy]:[Szo
03:00 - 10:00]],"=x")</f>
        <v>0</v>
      </c>
      <c r="F907" s="2">
        <f>SUM(contact[[#This Row],[?]:[x]])</f>
        <v>0</v>
      </c>
      <c r="G9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7" s="3" t="s">
        <v>4021</v>
      </c>
      <c r="K907" s="1" t="s">
        <v>818</v>
      </c>
      <c r="L907" s="1" t="s">
        <v>2</v>
      </c>
      <c r="M907" s="1" t="s">
        <v>2</v>
      </c>
      <c r="O907" s="2"/>
      <c r="P907" s="2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spans="1:32" s="1" customFormat="1" ht="20.25" customHeight="1" x14ac:dyDescent="0.25">
      <c r="A908" s="2"/>
      <c r="B908" s="2"/>
      <c r="C908" s="2"/>
      <c r="D908" s="2">
        <f>COUNTIF(contact[[#This Row],[Bagossy]:[Szo
03:00 - 10:00]],"=~?")</f>
        <v>0</v>
      </c>
      <c r="E908" s="2">
        <f>COUNTIF(contact[[#This Row],[Bagossy]:[Szo
03:00 - 10:00]],"=x")</f>
        <v>0</v>
      </c>
      <c r="F908" s="2">
        <f>SUM(contact[[#This Row],[?]:[x]])</f>
        <v>0</v>
      </c>
      <c r="G9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8" s="3" t="s">
        <v>509</v>
      </c>
      <c r="K908" s="1" t="s">
        <v>2</v>
      </c>
      <c r="L908" s="1" t="s">
        <v>2</v>
      </c>
      <c r="M908" s="1" t="s">
        <v>2</v>
      </c>
      <c r="O908" s="2"/>
      <c r="P908" s="2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spans="1:32" s="1" customFormat="1" ht="20.25" customHeight="1" x14ac:dyDescent="0.25">
      <c r="A909" s="2"/>
      <c r="B909" s="2"/>
      <c r="C909" s="2"/>
      <c r="D909" s="2">
        <f>COUNTIF(contact[[#This Row],[Bagossy]:[Szo
03:00 - 10:00]],"=~?")</f>
        <v>0</v>
      </c>
      <c r="E909" s="2">
        <f>COUNTIF(contact[[#This Row],[Bagossy]:[Szo
03:00 - 10:00]],"=x")</f>
        <v>0</v>
      </c>
      <c r="F909" s="2">
        <f>SUM(contact[[#This Row],[?]:[x]])</f>
        <v>0</v>
      </c>
      <c r="G9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09" s="3" t="s">
        <v>4170</v>
      </c>
      <c r="K909" s="1" t="s">
        <v>2</v>
      </c>
      <c r="L909" s="1" t="s">
        <v>2</v>
      </c>
      <c r="M909" s="1" t="s">
        <v>2</v>
      </c>
      <c r="O909" s="2"/>
      <c r="P909" s="2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spans="1:32" s="1" customFormat="1" ht="20.25" customHeight="1" x14ac:dyDescent="0.25">
      <c r="A910" s="2"/>
      <c r="B910" s="2"/>
      <c r="C910" s="2" t="s">
        <v>1285</v>
      </c>
      <c r="D910" s="2">
        <f>COUNTIF(contact[[#This Row],[Bagossy]:[Szo
03:00 - 10:00]],"=~?")</f>
        <v>0</v>
      </c>
      <c r="E910" s="2">
        <f>COUNTIF(contact[[#This Row],[Bagossy]:[Szo
03:00 - 10:00]],"=x")</f>
        <v>0</v>
      </c>
      <c r="F910" s="2">
        <f>SUM(contact[[#This Row],[?]:[x]])</f>
        <v>0</v>
      </c>
      <c r="G9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10" s="2"/>
      <c r="I910" s="2"/>
      <c r="J910" s="3" t="s">
        <v>520</v>
      </c>
      <c r="K910" s="1" t="s">
        <v>1511</v>
      </c>
      <c r="L910" s="1" t="s">
        <v>2</v>
      </c>
      <c r="M910" s="1" t="s">
        <v>2</v>
      </c>
      <c r="O910" s="2"/>
      <c r="P910" s="2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spans="1:32" s="1" customFormat="1" ht="20.25" customHeight="1" x14ac:dyDescent="0.25">
      <c r="A911" s="2"/>
      <c r="B911" s="2"/>
      <c r="C911" s="2"/>
      <c r="D911" s="2">
        <f>COUNTIF(contact[[#This Row],[Bagossy]:[Szo
03:00 - 10:00]],"=~?")</f>
        <v>0</v>
      </c>
      <c r="E911" s="2">
        <f>COUNTIF(contact[[#This Row],[Bagossy]:[Szo
03:00 - 10:00]],"=x")</f>
        <v>0</v>
      </c>
      <c r="F911" s="2">
        <f>SUM(contact[[#This Row],[?]:[x]])</f>
        <v>0</v>
      </c>
      <c r="G9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11" s="3" t="s">
        <v>3331</v>
      </c>
      <c r="K911" s="1" t="s">
        <v>2</v>
      </c>
      <c r="L911" s="1" t="s">
        <v>2</v>
      </c>
      <c r="M911" s="1" t="s">
        <v>2</v>
      </c>
      <c r="O911" s="2"/>
      <c r="P911" s="2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spans="1:32" s="1" customFormat="1" ht="20.25" customHeight="1" x14ac:dyDescent="0.25">
      <c r="A912" s="2"/>
      <c r="B912" s="2"/>
      <c r="C912" s="2"/>
      <c r="D912" s="2">
        <f>COUNTIF(contact[[#This Row],[Bagossy]:[Szo
03:00 - 10:00]],"=~?")</f>
        <v>0</v>
      </c>
      <c r="E912" s="2">
        <f>COUNTIF(contact[[#This Row],[Bagossy]:[Szo
03:00 - 10:00]],"=x")</f>
        <v>0</v>
      </c>
      <c r="F912" s="2">
        <f>SUM(contact[[#This Row],[?]:[x]])</f>
        <v>0</v>
      </c>
      <c r="G9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12" s="2"/>
      <c r="I912" s="2"/>
      <c r="J912" s="3" t="s">
        <v>2900</v>
      </c>
      <c r="K912" s="1" t="s">
        <v>92</v>
      </c>
      <c r="L912" s="1" t="s">
        <v>2</v>
      </c>
      <c r="M912" s="1" t="s">
        <v>2</v>
      </c>
      <c r="O912" s="2"/>
      <c r="P912" s="2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spans="1:32" s="1" customFormat="1" ht="20.25" customHeight="1" x14ac:dyDescent="0.25">
      <c r="A913" s="2"/>
      <c r="B913" s="2"/>
      <c r="C913" s="2"/>
      <c r="D913" s="2">
        <f>COUNTIF(contact[[#This Row],[Bagossy]:[Szo
03:00 - 10:00]],"=~?")</f>
        <v>0</v>
      </c>
      <c r="E913" s="2">
        <f>COUNTIF(contact[[#This Row],[Bagossy]:[Szo
03:00 - 10:00]],"=x")</f>
        <v>0</v>
      </c>
      <c r="F913" s="2">
        <f>SUM(contact[[#This Row],[?]:[x]])</f>
        <v>0</v>
      </c>
      <c r="G9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13" s="2"/>
      <c r="I913" s="2"/>
      <c r="J913" s="3" t="s">
        <v>2905</v>
      </c>
      <c r="K913" s="1" t="s">
        <v>92</v>
      </c>
      <c r="L913" s="1" t="s">
        <v>2</v>
      </c>
      <c r="M913" s="1" t="s">
        <v>2</v>
      </c>
      <c r="O913" s="2"/>
      <c r="P913" s="2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spans="1:32" s="1" customFormat="1" ht="20.25" customHeight="1" x14ac:dyDescent="0.25">
      <c r="A914" s="2"/>
      <c r="B914" s="2"/>
      <c r="C914" s="2"/>
      <c r="D914" s="2">
        <f>COUNTIF(contact[[#This Row],[Bagossy]:[Szo
03:00 - 10:00]],"=~?")</f>
        <v>0</v>
      </c>
      <c r="E914" s="2">
        <f>COUNTIF(contact[[#This Row],[Bagossy]:[Szo
03:00 - 10:00]],"=x")</f>
        <v>0</v>
      </c>
      <c r="F914" s="2">
        <f>SUM(contact[[#This Row],[?]:[x]])</f>
        <v>0</v>
      </c>
      <c r="G9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14" s="3" t="s">
        <v>4436</v>
      </c>
      <c r="K914" s="1" t="s">
        <v>2</v>
      </c>
      <c r="L914" s="1" t="s">
        <v>2</v>
      </c>
      <c r="M914" s="1" t="s">
        <v>2</v>
      </c>
      <c r="O914" s="2"/>
      <c r="P914" s="2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spans="1:32" s="1" customFormat="1" ht="20.25" customHeight="1" x14ac:dyDescent="0.25">
      <c r="A915" s="2"/>
      <c r="B915" s="2"/>
      <c r="C915" s="2"/>
      <c r="D915" s="2">
        <f>COUNTIF(contact[[#This Row],[Bagossy]:[Szo
03:00 - 10:00]],"=~?")</f>
        <v>0</v>
      </c>
      <c r="E915" s="2">
        <f>COUNTIF(contact[[#This Row],[Bagossy]:[Szo
03:00 - 10:00]],"=x")</f>
        <v>0</v>
      </c>
      <c r="F915" s="2">
        <f>SUM(contact[[#This Row],[?]:[x]])</f>
        <v>0</v>
      </c>
      <c r="G9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15" s="3" t="s">
        <v>2646</v>
      </c>
      <c r="K915" s="1" t="s">
        <v>2</v>
      </c>
      <c r="L915" s="1" t="s">
        <v>2</v>
      </c>
      <c r="M915" s="1" t="s">
        <v>2</v>
      </c>
      <c r="O915" s="2"/>
      <c r="P915" s="2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spans="1:32" s="1" customFormat="1" ht="20.25" customHeight="1" x14ac:dyDescent="0.25">
      <c r="A916" s="2"/>
      <c r="B916" s="2"/>
      <c r="C916" s="2"/>
      <c r="D916" s="2">
        <f>COUNTIF(contact[[#This Row],[Bagossy]:[Szo
03:00 - 10:00]],"=~?")</f>
        <v>0</v>
      </c>
      <c r="E916" s="2">
        <f>COUNTIF(contact[[#This Row],[Bagossy]:[Szo
03:00 - 10:00]],"=x")</f>
        <v>0</v>
      </c>
      <c r="F916" s="2">
        <f>SUM(contact[[#This Row],[?]:[x]])</f>
        <v>0</v>
      </c>
      <c r="G9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16" s="3" t="s">
        <v>3409</v>
      </c>
      <c r="K916" s="1" t="s">
        <v>2</v>
      </c>
      <c r="L916" s="1" t="s">
        <v>2</v>
      </c>
      <c r="M916" s="1" t="s">
        <v>2</v>
      </c>
      <c r="O916" s="2"/>
      <c r="P916" s="2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spans="1:32" s="1" customFormat="1" ht="20.25" customHeight="1" x14ac:dyDescent="0.25">
      <c r="A917" s="2"/>
      <c r="B917" s="2"/>
      <c r="C917" s="2"/>
      <c r="D917" s="2">
        <f>COUNTIF(contact[[#This Row],[Bagossy]:[Szo
03:00 - 10:00]],"=~?")</f>
        <v>0</v>
      </c>
      <c r="E917" s="2">
        <f>COUNTIF(contact[[#This Row],[Bagossy]:[Szo
03:00 - 10:00]],"=x")</f>
        <v>0</v>
      </c>
      <c r="F917" s="2">
        <f>SUM(contact[[#This Row],[?]:[x]])</f>
        <v>0</v>
      </c>
      <c r="G9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17" s="3" t="s">
        <v>2492</v>
      </c>
      <c r="K917" s="1" t="s">
        <v>2</v>
      </c>
      <c r="L917" s="1" t="s">
        <v>2</v>
      </c>
      <c r="M917" s="1" t="s">
        <v>2</v>
      </c>
      <c r="O917" s="2"/>
      <c r="P917" s="2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spans="1:32" s="1" customFormat="1" ht="20.25" customHeight="1" x14ac:dyDescent="0.25">
      <c r="A918" s="2"/>
      <c r="B918" s="2"/>
      <c r="C918" s="2"/>
      <c r="D918" s="2">
        <f>COUNTIF(contact[[#This Row],[Bagossy]:[Szo
03:00 - 10:00]],"=~?")</f>
        <v>0</v>
      </c>
      <c r="E918" s="2">
        <f>COUNTIF(contact[[#This Row],[Bagossy]:[Szo
03:00 - 10:00]],"=x")</f>
        <v>0</v>
      </c>
      <c r="F918" s="2">
        <f>SUM(contact[[#This Row],[?]:[x]])</f>
        <v>0</v>
      </c>
      <c r="G9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18" s="3" t="s">
        <v>2492</v>
      </c>
      <c r="K918" s="1" t="s">
        <v>2</v>
      </c>
      <c r="L918" s="1" t="s">
        <v>2</v>
      </c>
      <c r="M918" s="1" t="s">
        <v>2</v>
      </c>
      <c r="O918" s="2"/>
      <c r="P918" s="2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spans="1:32" s="1" customFormat="1" ht="20.25" customHeight="1" x14ac:dyDescent="0.25">
      <c r="A919" s="2"/>
      <c r="B919" s="2"/>
      <c r="C919" s="2"/>
      <c r="D919" s="2">
        <f>COUNTIF(contact[[#This Row],[Bagossy]:[Szo
03:00 - 10:00]],"=~?")</f>
        <v>0</v>
      </c>
      <c r="E919" s="2">
        <f>COUNTIF(contact[[#This Row],[Bagossy]:[Szo
03:00 - 10:00]],"=x")</f>
        <v>0</v>
      </c>
      <c r="F919" s="2">
        <f>SUM(contact[[#This Row],[?]:[x]])</f>
        <v>0</v>
      </c>
      <c r="G9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19" s="3" t="s">
        <v>547</v>
      </c>
      <c r="K919" s="1" t="s">
        <v>2</v>
      </c>
      <c r="L919" s="1" t="s">
        <v>2</v>
      </c>
      <c r="M919" s="1" t="s">
        <v>2</v>
      </c>
      <c r="O919" s="2"/>
      <c r="P919" s="2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spans="1:32" s="1" customFormat="1" ht="20.25" customHeight="1" x14ac:dyDescent="0.25">
      <c r="A920" s="2"/>
      <c r="B920" s="2" t="s">
        <v>1285</v>
      </c>
      <c r="C920" s="2" t="s">
        <v>1285</v>
      </c>
      <c r="D920" s="2">
        <f>COUNTIF(contact[[#This Row],[Bagossy]:[Szo
03:00 - 10:00]],"=~?")</f>
        <v>0</v>
      </c>
      <c r="E920" s="2">
        <f>COUNTIF(contact[[#This Row],[Bagossy]:[Szo
03:00 - 10:00]],"=x")</f>
        <v>0</v>
      </c>
      <c r="F920" s="2">
        <f>SUM(contact[[#This Row],[?]:[x]])</f>
        <v>0</v>
      </c>
      <c r="G9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20" s="2"/>
      <c r="I920" s="2"/>
      <c r="J920" s="3" t="s">
        <v>2907</v>
      </c>
      <c r="K920" s="1" t="s">
        <v>592</v>
      </c>
      <c r="L920" s="1" t="s">
        <v>2</v>
      </c>
      <c r="M920" s="1" t="s">
        <v>2</v>
      </c>
      <c r="O920" s="2"/>
      <c r="P920" s="2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spans="1:32" s="1" customFormat="1" ht="20.25" customHeight="1" x14ac:dyDescent="0.25">
      <c r="A921" s="2"/>
      <c r="B921" s="2"/>
      <c r="C921" s="2"/>
      <c r="D921" s="2">
        <f>COUNTIF(contact[[#This Row],[Bagossy]:[Szo
03:00 - 10:00]],"=~?")</f>
        <v>0</v>
      </c>
      <c r="E921" s="2">
        <f>COUNTIF(contact[[#This Row],[Bagossy]:[Szo
03:00 - 10:00]],"=x")</f>
        <v>0</v>
      </c>
      <c r="F921" s="2">
        <f>SUM(contact[[#This Row],[?]:[x]])</f>
        <v>0</v>
      </c>
      <c r="G9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1" s="3" t="s">
        <v>3160</v>
      </c>
      <c r="K921" s="1" t="s">
        <v>2</v>
      </c>
      <c r="L921" s="1" t="s">
        <v>2</v>
      </c>
      <c r="M921" s="1" t="s">
        <v>2</v>
      </c>
      <c r="O921" s="2"/>
      <c r="P921" s="2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spans="1:32" s="1" customFormat="1" ht="20.25" customHeight="1" x14ac:dyDescent="0.25">
      <c r="A922" s="2"/>
      <c r="B922" s="2"/>
      <c r="C922" s="2"/>
      <c r="D922" s="2">
        <f>COUNTIF(contact[[#This Row],[Bagossy]:[Szo
03:00 - 10:00]],"=~?")</f>
        <v>0</v>
      </c>
      <c r="E922" s="2">
        <f>COUNTIF(contact[[#This Row],[Bagossy]:[Szo
03:00 - 10:00]],"=x")</f>
        <v>0</v>
      </c>
      <c r="F922" s="2">
        <f>SUM(contact[[#This Row],[?]:[x]])</f>
        <v>0</v>
      </c>
      <c r="G9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2" s="3" t="s">
        <v>3612</v>
      </c>
      <c r="K922" s="1" t="s">
        <v>1684</v>
      </c>
      <c r="L922" s="1" t="s">
        <v>2</v>
      </c>
      <c r="M922" s="1" t="s">
        <v>2</v>
      </c>
      <c r="O922" s="2"/>
      <c r="P922" s="2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spans="1:32" s="1" customFormat="1" ht="20.25" customHeight="1" x14ac:dyDescent="0.25">
      <c r="A923" s="2"/>
      <c r="B923" s="2"/>
      <c r="C923" s="2"/>
      <c r="D923" s="2">
        <f>COUNTIF(contact[[#This Row],[Bagossy]:[Szo
03:00 - 10:00]],"=~?")</f>
        <v>0</v>
      </c>
      <c r="E923" s="2">
        <f>COUNTIF(contact[[#This Row],[Bagossy]:[Szo
03:00 - 10:00]],"=x")</f>
        <v>0</v>
      </c>
      <c r="F923" s="2">
        <f>SUM(contact[[#This Row],[?]:[x]])</f>
        <v>0</v>
      </c>
      <c r="G9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3" s="3" t="s">
        <v>3642</v>
      </c>
      <c r="K923" s="1" t="s">
        <v>877</v>
      </c>
      <c r="L923" s="1" t="s">
        <v>2</v>
      </c>
      <c r="M923" s="1" t="s">
        <v>2</v>
      </c>
      <c r="O923" s="2"/>
      <c r="P923" s="2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spans="1:32" s="1" customFormat="1" ht="20.25" customHeight="1" x14ac:dyDescent="0.25">
      <c r="A924" s="2"/>
      <c r="B924" s="2" t="s">
        <v>1285</v>
      </c>
      <c r="C924" s="2" t="s">
        <v>1285</v>
      </c>
      <c r="D924" s="2">
        <f>COUNTIF(contact[[#This Row],[Bagossy]:[Szo
03:00 - 10:00]],"=~?")</f>
        <v>0</v>
      </c>
      <c r="E924" s="2">
        <f>COUNTIF(contact[[#This Row],[Bagossy]:[Szo
03:00 - 10:00]],"=x")</f>
        <v>0</v>
      </c>
      <c r="F924" s="2">
        <f>SUM(contact[[#This Row],[?]:[x]])</f>
        <v>0</v>
      </c>
      <c r="G9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24" s="2"/>
      <c r="I924" s="2"/>
      <c r="J924" s="3" t="s">
        <v>2913</v>
      </c>
      <c r="K924" s="1" t="s">
        <v>979</v>
      </c>
      <c r="L924" s="1" t="s">
        <v>2</v>
      </c>
      <c r="M924" s="1" t="s">
        <v>2</v>
      </c>
      <c r="O924" s="2"/>
      <c r="P924" s="2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spans="1:32" s="1" customFormat="1" ht="20.25" customHeight="1" x14ac:dyDescent="0.25">
      <c r="A925" s="2"/>
      <c r="B925" s="2"/>
      <c r="C925" s="2"/>
      <c r="D925" s="2">
        <f>COUNTIF(contact[[#This Row],[Bagossy]:[Szo
03:00 - 10:00]],"=~?")</f>
        <v>0</v>
      </c>
      <c r="E925" s="2">
        <f>COUNTIF(contact[[#This Row],[Bagossy]:[Szo
03:00 - 10:00]],"=x")</f>
        <v>0</v>
      </c>
      <c r="F925" s="2">
        <f>SUM(contact[[#This Row],[?]:[x]])</f>
        <v>0</v>
      </c>
      <c r="G9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5" s="3" t="s">
        <v>4273</v>
      </c>
      <c r="K925" s="1" t="s">
        <v>2</v>
      </c>
      <c r="L925" s="1" t="s">
        <v>2</v>
      </c>
      <c r="M925" s="1" t="s">
        <v>2</v>
      </c>
      <c r="O925" s="2"/>
      <c r="P925" s="2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spans="1:32" s="1" customFormat="1" ht="20.25" customHeight="1" x14ac:dyDescent="0.25">
      <c r="A926" s="2"/>
      <c r="B926" s="2"/>
      <c r="C926" s="2"/>
      <c r="D926" s="2">
        <f>COUNTIF(contact[[#This Row],[Bagossy]:[Szo
03:00 - 10:00]],"=~?")</f>
        <v>0</v>
      </c>
      <c r="E926" s="2">
        <f>COUNTIF(contact[[#This Row],[Bagossy]:[Szo
03:00 - 10:00]],"=x")</f>
        <v>0</v>
      </c>
      <c r="F926" s="2">
        <f>SUM(contact[[#This Row],[?]:[x]])</f>
        <v>0</v>
      </c>
      <c r="G9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26" s="2"/>
      <c r="I926" s="2"/>
      <c r="J926" s="3" t="s">
        <v>2915</v>
      </c>
      <c r="K926" s="1" t="s">
        <v>1515</v>
      </c>
      <c r="L926" s="1" t="s">
        <v>2</v>
      </c>
      <c r="M926" s="1" t="s">
        <v>2</v>
      </c>
      <c r="O926" s="2"/>
      <c r="P926" s="2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spans="1:32" s="1" customFormat="1" ht="20.25" customHeight="1" x14ac:dyDescent="0.25">
      <c r="A927" s="2"/>
      <c r="B927" s="2"/>
      <c r="C927" s="2"/>
      <c r="D927" s="2">
        <f>COUNTIF(contact[[#This Row],[Bagossy]:[Szo
03:00 - 10:00]],"=~?")</f>
        <v>0</v>
      </c>
      <c r="E927" s="2">
        <f>COUNTIF(contact[[#This Row],[Bagossy]:[Szo
03:00 - 10:00]],"=x")</f>
        <v>0</v>
      </c>
      <c r="F927" s="2">
        <f>SUM(contact[[#This Row],[?]:[x]])</f>
        <v>0</v>
      </c>
      <c r="G9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7" s="3" t="s">
        <v>3709</v>
      </c>
      <c r="K927" s="1" t="s">
        <v>1703</v>
      </c>
      <c r="L927" s="1" t="s">
        <v>2</v>
      </c>
      <c r="M927" s="1" t="s">
        <v>2</v>
      </c>
      <c r="O927" s="2"/>
      <c r="P927" s="2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spans="1:32" s="1" customFormat="1" ht="20.25" customHeight="1" x14ac:dyDescent="0.25">
      <c r="A928" s="2"/>
      <c r="B928" s="2"/>
      <c r="C928" s="2"/>
      <c r="D928" s="2">
        <f>COUNTIF(contact[[#This Row],[Bagossy]:[Szo
03:00 - 10:00]],"=~?")</f>
        <v>0</v>
      </c>
      <c r="E928" s="2">
        <f>COUNTIF(contact[[#This Row],[Bagossy]:[Szo
03:00 - 10:00]],"=x")</f>
        <v>0</v>
      </c>
      <c r="F928" s="2">
        <f>SUM(contact[[#This Row],[?]:[x]])</f>
        <v>0</v>
      </c>
      <c r="G9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8" s="3" t="s">
        <v>3947</v>
      </c>
      <c r="K928" s="1" t="s">
        <v>1313</v>
      </c>
      <c r="L928" s="1" t="s">
        <v>2</v>
      </c>
      <c r="M928" s="1" t="s">
        <v>2</v>
      </c>
      <c r="O928" s="2"/>
      <c r="P928" s="2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spans="1:32" s="1" customFormat="1" ht="20.25" customHeight="1" x14ac:dyDescent="0.25">
      <c r="A929" s="2"/>
      <c r="B929" s="2"/>
      <c r="C929" s="2"/>
      <c r="D929" s="2">
        <f>COUNTIF(contact[[#This Row],[Bagossy]:[Szo
03:00 - 10:00]],"=~?")</f>
        <v>0</v>
      </c>
      <c r="E929" s="2">
        <f>COUNTIF(contact[[#This Row],[Bagossy]:[Szo
03:00 - 10:00]],"=x")</f>
        <v>0</v>
      </c>
      <c r="F929" s="2">
        <f>SUM(contact[[#This Row],[?]:[x]])</f>
        <v>0</v>
      </c>
      <c r="G9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29" s="3" t="s">
        <v>2181</v>
      </c>
      <c r="K929" s="1" t="s">
        <v>1361</v>
      </c>
      <c r="L929" s="1" t="s">
        <v>2</v>
      </c>
      <c r="M929" s="1" t="s">
        <v>2</v>
      </c>
      <c r="O929" s="2"/>
      <c r="P929" s="2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spans="1:32" s="1" customFormat="1" ht="20.25" customHeight="1" x14ac:dyDescent="0.25">
      <c r="A930" s="2"/>
      <c r="B930" s="2"/>
      <c r="C930" s="2"/>
      <c r="D930" s="2">
        <f>COUNTIF(contact[[#This Row],[Bagossy]:[Szo
03:00 - 10:00]],"=~?")</f>
        <v>0</v>
      </c>
      <c r="E930" s="2">
        <f>COUNTIF(contact[[#This Row],[Bagossy]:[Szo
03:00 - 10:00]],"=x")</f>
        <v>0</v>
      </c>
      <c r="F930" s="2">
        <f>SUM(contact[[#This Row],[?]:[x]])</f>
        <v>0</v>
      </c>
      <c r="G9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30" s="2"/>
      <c r="I930" s="2"/>
      <c r="J930" s="3" t="s">
        <v>2916</v>
      </c>
      <c r="K930" s="1" t="s">
        <v>630</v>
      </c>
      <c r="L930" s="1" t="s">
        <v>2</v>
      </c>
      <c r="M930" s="1" t="s">
        <v>2</v>
      </c>
      <c r="O930" s="2"/>
      <c r="P930" s="2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spans="1:32" s="1" customFormat="1" ht="20.25" customHeight="1" x14ac:dyDescent="0.25">
      <c r="A931" s="2"/>
      <c r="B931" s="2"/>
      <c r="C931" s="2"/>
      <c r="D931" s="2">
        <f>COUNTIF(contact[[#This Row],[Bagossy]:[Szo
03:00 - 10:00]],"=~?")</f>
        <v>0</v>
      </c>
      <c r="E931" s="2">
        <f>COUNTIF(contact[[#This Row],[Bagossy]:[Szo
03:00 - 10:00]],"=x")</f>
        <v>0</v>
      </c>
      <c r="F931" s="2">
        <f>SUM(contact[[#This Row],[?]:[x]])</f>
        <v>0</v>
      </c>
      <c r="G9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1" s="3" t="s">
        <v>3587</v>
      </c>
      <c r="K931" s="1" t="s">
        <v>860</v>
      </c>
      <c r="L931" s="1" t="s">
        <v>2</v>
      </c>
      <c r="M931" s="1" t="s">
        <v>2</v>
      </c>
      <c r="O931" s="2"/>
      <c r="P931" s="2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spans="1:32" s="1" customFormat="1" ht="20.25" customHeight="1" x14ac:dyDescent="0.25">
      <c r="A932" s="2" t="s">
        <v>1285</v>
      </c>
      <c r="B932" s="2" t="s">
        <v>1285</v>
      </c>
      <c r="C932" s="2" t="s">
        <v>1285</v>
      </c>
      <c r="D932" s="2">
        <f>COUNTIF(contact[[#This Row],[Bagossy]:[Szo
03:00 - 10:00]],"=~?")</f>
        <v>0</v>
      </c>
      <c r="E932" s="2">
        <f>COUNTIF(contact[[#This Row],[Bagossy]:[Szo
03:00 - 10:00]],"=x")</f>
        <v>1</v>
      </c>
      <c r="F932" s="2">
        <f>SUM(contact[[#This Row],[?]:[x]])</f>
        <v>1</v>
      </c>
      <c r="G9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32" s="2" t="s">
        <v>4623</v>
      </c>
      <c r="I932" s="2"/>
      <c r="J932" s="3" t="s">
        <v>2917</v>
      </c>
      <c r="K932" s="1" t="s">
        <v>6</v>
      </c>
      <c r="L932" s="1" t="s">
        <v>2</v>
      </c>
      <c r="M932" s="1" t="s">
        <v>2</v>
      </c>
      <c r="N932" s="2" t="s">
        <v>4612</v>
      </c>
      <c r="O932" s="2"/>
      <c r="P932" s="2"/>
      <c r="Q932" s="6"/>
      <c r="R932" s="6"/>
      <c r="S932" s="6"/>
      <c r="T932" s="6"/>
      <c r="U932" s="6"/>
      <c r="V932" s="6"/>
      <c r="W932" s="6" t="s">
        <v>1285</v>
      </c>
      <c r="X932" s="6"/>
      <c r="Y932" s="6"/>
      <c r="Z932" s="6"/>
      <c r="AA932" s="6"/>
      <c r="AB932" s="6"/>
      <c r="AC932" s="6"/>
      <c r="AD932" s="6"/>
      <c r="AE932" s="6"/>
      <c r="AF932" s="6"/>
    </row>
    <row r="933" spans="1:32" s="1" customFormat="1" ht="20.25" customHeight="1" x14ac:dyDescent="0.25">
      <c r="A933" s="2"/>
      <c r="B933" s="2"/>
      <c r="C933" s="2"/>
      <c r="D933" s="2">
        <f>COUNTIF(contact[[#This Row],[Bagossy]:[Szo
03:00 - 10:00]],"=~?")</f>
        <v>0</v>
      </c>
      <c r="E933" s="2">
        <f>COUNTIF(contact[[#This Row],[Bagossy]:[Szo
03:00 - 10:00]],"=x")</f>
        <v>0</v>
      </c>
      <c r="F933" s="2">
        <f>SUM(contact[[#This Row],[?]:[x]])</f>
        <v>0</v>
      </c>
      <c r="G9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3" s="3" t="s">
        <v>2831</v>
      </c>
      <c r="K933" s="1" t="s">
        <v>517</v>
      </c>
      <c r="L933" s="1" t="s">
        <v>2</v>
      </c>
      <c r="M933" s="1" t="s">
        <v>2</v>
      </c>
      <c r="O933" s="2"/>
      <c r="P933" s="2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spans="1:32" s="1" customFormat="1" ht="20.25" customHeight="1" x14ac:dyDescent="0.25">
      <c r="A934" s="2"/>
      <c r="B934" s="2"/>
      <c r="C934" s="2"/>
      <c r="D934" s="2">
        <f>COUNTIF(contact[[#This Row],[Bagossy]:[Szo
03:00 - 10:00]],"=~?")</f>
        <v>0</v>
      </c>
      <c r="E934" s="2">
        <f>COUNTIF(contact[[#This Row],[Bagossy]:[Szo
03:00 - 10:00]],"=x")</f>
        <v>0</v>
      </c>
      <c r="F934" s="2">
        <f>SUM(contact[[#This Row],[?]:[x]])</f>
        <v>0</v>
      </c>
      <c r="G9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4" s="3" t="s">
        <v>2525</v>
      </c>
      <c r="K934" s="1" t="s">
        <v>2</v>
      </c>
      <c r="L934" s="1" t="s">
        <v>2</v>
      </c>
      <c r="M934" s="1" t="s">
        <v>2</v>
      </c>
      <c r="O934" s="2"/>
      <c r="P934" s="2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spans="1:32" s="1" customFormat="1" ht="20.25" customHeight="1" x14ac:dyDescent="0.25">
      <c r="A935" s="2"/>
      <c r="B935" s="2"/>
      <c r="C935" s="2"/>
      <c r="D935" s="2">
        <f>COUNTIF(contact[[#This Row],[Bagossy]:[Szo
03:00 - 10:00]],"=~?")</f>
        <v>0</v>
      </c>
      <c r="E935" s="2">
        <f>COUNTIF(contact[[#This Row],[Bagossy]:[Szo
03:00 - 10:00]],"=x")</f>
        <v>0</v>
      </c>
      <c r="F935" s="2">
        <f>SUM(contact[[#This Row],[?]:[x]])</f>
        <v>0</v>
      </c>
      <c r="G9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5" s="3" t="s">
        <v>2054</v>
      </c>
      <c r="K935" s="1" t="s">
        <v>2</v>
      </c>
      <c r="L935" s="1" t="s">
        <v>2</v>
      </c>
      <c r="M935" s="1" t="s">
        <v>2</v>
      </c>
      <c r="O935" s="2"/>
      <c r="P935" s="2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spans="1:32" s="1" customFormat="1" ht="20.25" customHeight="1" x14ac:dyDescent="0.25">
      <c r="A936" s="2"/>
      <c r="B936" s="2"/>
      <c r="C936" s="2"/>
      <c r="D936" s="2">
        <f>COUNTIF(contact[[#This Row],[Bagossy]:[Szo
03:00 - 10:00]],"=~?")</f>
        <v>0</v>
      </c>
      <c r="E936" s="2">
        <f>COUNTIF(contact[[#This Row],[Bagossy]:[Szo
03:00 - 10:00]],"=x")</f>
        <v>0</v>
      </c>
      <c r="F936" s="2">
        <f>SUM(contact[[#This Row],[?]:[x]])</f>
        <v>0</v>
      </c>
      <c r="G9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6" s="3" t="s">
        <v>2652</v>
      </c>
      <c r="K936" s="1" t="s">
        <v>430</v>
      </c>
      <c r="L936" s="1" t="s">
        <v>2</v>
      </c>
      <c r="M936" s="1" t="s">
        <v>2</v>
      </c>
      <c r="O936" s="2"/>
      <c r="P936" s="2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spans="1:32" s="1" customFormat="1" ht="20.25" customHeight="1" x14ac:dyDescent="0.25">
      <c r="A937" s="2"/>
      <c r="B937" s="2"/>
      <c r="C937" s="2"/>
      <c r="D937" s="2">
        <f>COUNTIF(contact[[#This Row],[Bagossy]:[Szo
03:00 - 10:00]],"=~?")</f>
        <v>0</v>
      </c>
      <c r="E937" s="2">
        <f>COUNTIF(contact[[#This Row],[Bagossy]:[Szo
03:00 - 10:00]],"=x")</f>
        <v>0</v>
      </c>
      <c r="F937" s="2">
        <f>SUM(contact[[#This Row],[?]:[x]])</f>
        <v>0</v>
      </c>
      <c r="G9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7" s="3" t="s">
        <v>2652</v>
      </c>
      <c r="K937" s="1" t="s">
        <v>2</v>
      </c>
      <c r="L937" s="1" t="s">
        <v>2</v>
      </c>
      <c r="M937" s="1" t="s">
        <v>2</v>
      </c>
      <c r="O937" s="2"/>
      <c r="P937" s="2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spans="1:32" s="1" customFormat="1" ht="20.25" customHeight="1" x14ac:dyDescent="0.25">
      <c r="A938" s="2"/>
      <c r="B938" s="2"/>
      <c r="C938" s="2"/>
      <c r="D938" s="2">
        <f>COUNTIF(contact[[#This Row],[Bagossy]:[Szo
03:00 - 10:00]],"=~?")</f>
        <v>0</v>
      </c>
      <c r="E938" s="2">
        <f>COUNTIF(contact[[#This Row],[Bagossy]:[Szo
03:00 - 10:00]],"=x")</f>
        <v>0</v>
      </c>
      <c r="F938" s="2">
        <f>SUM(contact[[#This Row],[?]:[x]])</f>
        <v>0</v>
      </c>
      <c r="G9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8" s="3" t="s">
        <v>4455</v>
      </c>
      <c r="K938" s="1" t="s">
        <v>465</v>
      </c>
      <c r="L938" s="1" t="s">
        <v>2</v>
      </c>
      <c r="M938" s="1" t="s">
        <v>2</v>
      </c>
      <c r="O938" s="2"/>
      <c r="P938" s="2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spans="1:32" s="1" customFormat="1" ht="20.25" customHeight="1" x14ac:dyDescent="0.25">
      <c r="A939" s="2"/>
      <c r="B939" s="2"/>
      <c r="C939" s="2"/>
      <c r="D939" s="2">
        <f>COUNTIF(contact[[#This Row],[Bagossy]:[Szo
03:00 - 10:00]],"=~?")</f>
        <v>0</v>
      </c>
      <c r="E939" s="2">
        <f>COUNTIF(contact[[#This Row],[Bagossy]:[Szo
03:00 - 10:00]],"=x")</f>
        <v>0</v>
      </c>
      <c r="F939" s="2">
        <f>SUM(contact[[#This Row],[?]:[x]])</f>
        <v>0</v>
      </c>
      <c r="G9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39" s="3" t="s">
        <v>2635</v>
      </c>
      <c r="K939" s="1" t="s">
        <v>2</v>
      </c>
      <c r="L939" s="1" t="s">
        <v>2</v>
      </c>
      <c r="M939" s="1" t="s">
        <v>2</v>
      </c>
      <c r="O939" s="2"/>
      <c r="P939" s="2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spans="1:32" s="1" customFormat="1" ht="20.25" customHeight="1" x14ac:dyDescent="0.25">
      <c r="A940" s="2"/>
      <c r="B940" s="2"/>
      <c r="C940" s="2"/>
      <c r="D940" s="2">
        <f>COUNTIF(contact[[#This Row],[Bagossy]:[Szo
03:00 - 10:00]],"=~?")</f>
        <v>0</v>
      </c>
      <c r="E940" s="2">
        <f>COUNTIF(contact[[#This Row],[Bagossy]:[Szo
03:00 - 10:00]],"=x")</f>
        <v>0</v>
      </c>
      <c r="F940" s="2">
        <f>SUM(contact[[#This Row],[?]:[x]])</f>
        <v>0</v>
      </c>
      <c r="G9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0" s="3" t="s">
        <v>548</v>
      </c>
      <c r="K940" s="1" t="s">
        <v>2</v>
      </c>
      <c r="L940" s="1" t="s">
        <v>2</v>
      </c>
      <c r="M940" s="1" t="s">
        <v>2</v>
      </c>
      <c r="O940" s="2"/>
      <c r="P940" s="2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spans="1:32" s="1" customFormat="1" ht="20.25" customHeight="1" x14ac:dyDescent="0.25">
      <c r="A941" s="2"/>
      <c r="B941" s="2"/>
      <c r="C941" s="2"/>
      <c r="D941" s="2">
        <f>COUNTIF(contact[[#This Row],[Bagossy]:[Szo
03:00 - 10:00]],"=~?")</f>
        <v>0</v>
      </c>
      <c r="E941" s="2">
        <f>COUNTIF(contact[[#This Row],[Bagossy]:[Szo
03:00 - 10:00]],"=x")</f>
        <v>0</v>
      </c>
      <c r="F941" s="2">
        <f>SUM(contact[[#This Row],[?]:[x]])</f>
        <v>0</v>
      </c>
      <c r="G9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1" s="3" t="s">
        <v>2292</v>
      </c>
      <c r="K941" s="1" t="s">
        <v>2</v>
      </c>
      <c r="L941" s="1" t="s">
        <v>2</v>
      </c>
      <c r="M941" s="1" t="s">
        <v>2</v>
      </c>
      <c r="O941" s="2"/>
      <c r="P941" s="2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spans="1:32" s="1" customFormat="1" ht="20.25" customHeight="1" x14ac:dyDescent="0.25">
      <c r="A942" s="2"/>
      <c r="B942" s="2"/>
      <c r="C942" s="2"/>
      <c r="D942" s="2">
        <f>COUNTIF(contact[[#This Row],[Bagossy]:[Szo
03:00 - 10:00]],"=~?")</f>
        <v>0</v>
      </c>
      <c r="E942" s="2">
        <f>COUNTIF(contact[[#This Row],[Bagossy]:[Szo
03:00 - 10:00]],"=x")</f>
        <v>0</v>
      </c>
      <c r="F942" s="2">
        <f>SUM(contact[[#This Row],[?]:[x]])</f>
        <v>0</v>
      </c>
      <c r="G9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42" s="2"/>
      <c r="I942" s="2"/>
      <c r="J942" s="3" t="s">
        <v>2918</v>
      </c>
      <c r="K942" s="1" t="s">
        <v>1516</v>
      </c>
      <c r="L942" s="1" t="s">
        <v>2</v>
      </c>
      <c r="M942" s="1" t="s">
        <v>2</v>
      </c>
      <c r="O942" s="2"/>
      <c r="P942" s="2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spans="1:32" s="1" customFormat="1" ht="20.25" customHeight="1" x14ac:dyDescent="0.25">
      <c r="A943" s="2"/>
      <c r="B943" s="2"/>
      <c r="C943" s="2"/>
      <c r="D943" s="2">
        <f>COUNTIF(contact[[#This Row],[Bagossy]:[Szo
03:00 - 10:00]],"=~?")</f>
        <v>0</v>
      </c>
      <c r="E943" s="2">
        <f>COUNTIF(contact[[#This Row],[Bagossy]:[Szo
03:00 - 10:00]],"=x")</f>
        <v>0</v>
      </c>
      <c r="F943" s="2">
        <f>SUM(contact[[#This Row],[?]:[x]])</f>
        <v>0</v>
      </c>
      <c r="G9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3" s="3" t="s">
        <v>3394</v>
      </c>
      <c r="K943" s="1" t="s">
        <v>1293</v>
      </c>
      <c r="L943" s="1" t="s">
        <v>2</v>
      </c>
      <c r="M943" s="1" t="s">
        <v>2</v>
      </c>
      <c r="O943" s="2"/>
      <c r="P943" s="2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spans="1:32" s="1" customFormat="1" ht="20.25" customHeight="1" x14ac:dyDescent="0.25">
      <c r="A944" s="2"/>
      <c r="B944" s="2"/>
      <c r="C944" s="2"/>
      <c r="D944" s="2">
        <f>COUNTIF(contact[[#This Row],[Bagossy]:[Szo
03:00 - 10:00]],"=~?")</f>
        <v>0</v>
      </c>
      <c r="E944" s="2">
        <f>COUNTIF(contact[[#This Row],[Bagossy]:[Szo
03:00 - 10:00]],"=x")</f>
        <v>0</v>
      </c>
      <c r="F944" s="2">
        <f>SUM(contact[[#This Row],[?]:[x]])</f>
        <v>0</v>
      </c>
      <c r="G9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44" s="2"/>
      <c r="I944" s="2"/>
      <c r="J944" s="3" t="s">
        <v>2922</v>
      </c>
      <c r="K944" s="1" t="s">
        <v>995</v>
      </c>
      <c r="L944" s="1" t="s">
        <v>2</v>
      </c>
      <c r="M944" s="1" t="s">
        <v>2</v>
      </c>
      <c r="O944" s="2"/>
      <c r="P944" s="2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spans="1:32" s="1" customFormat="1" ht="20.25" customHeight="1" x14ac:dyDescent="0.25">
      <c r="A945" s="2"/>
      <c r="B945" s="2"/>
      <c r="C945" s="2"/>
      <c r="D945" s="2">
        <f>COUNTIF(contact[[#This Row],[Bagossy]:[Szo
03:00 - 10:00]],"=~?")</f>
        <v>0</v>
      </c>
      <c r="E945" s="2">
        <f>COUNTIF(contact[[#This Row],[Bagossy]:[Szo
03:00 - 10:00]],"=x")</f>
        <v>0</v>
      </c>
      <c r="F945" s="2">
        <f>SUM(contact[[#This Row],[?]:[x]])</f>
        <v>0</v>
      </c>
      <c r="G9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45" s="2"/>
      <c r="I945" s="2"/>
      <c r="J945" s="3" t="s">
        <v>2923</v>
      </c>
      <c r="K945" s="1" t="s">
        <v>638</v>
      </c>
      <c r="L945" s="1" t="s">
        <v>2</v>
      </c>
      <c r="M945" s="1" t="s">
        <v>2</v>
      </c>
      <c r="O945" s="2"/>
      <c r="P945" s="2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spans="1:32" s="1" customFormat="1" ht="20.25" customHeight="1" x14ac:dyDescent="0.25">
      <c r="A946" s="2"/>
      <c r="B946" s="2"/>
      <c r="C946" s="2"/>
      <c r="D946" s="2">
        <f>COUNTIF(contact[[#This Row],[Bagossy]:[Szo
03:00 - 10:00]],"=~?")</f>
        <v>0</v>
      </c>
      <c r="E946" s="2">
        <f>COUNTIF(contact[[#This Row],[Bagossy]:[Szo
03:00 - 10:00]],"=x")</f>
        <v>0</v>
      </c>
      <c r="F946" s="2">
        <f>SUM(contact[[#This Row],[?]:[x]])</f>
        <v>0</v>
      </c>
      <c r="G9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6" s="3" t="s">
        <v>4347</v>
      </c>
      <c r="K946" s="1" t="s">
        <v>2</v>
      </c>
      <c r="L946" s="1" t="s">
        <v>2</v>
      </c>
      <c r="M946" s="1" t="s">
        <v>2</v>
      </c>
      <c r="O946" s="2"/>
      <c r="P946" s="2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spans="1:32" s="1" customFormat="1" ht="20.25" customHeight="1" x14ac:dyDescent="0.25">
      <c r="A947" s="2"/>
      <c r="B947" s="2"/>
      <c r="C947" s="2"/>
      <c r="D947" s="2">
        <f>COUNTIF(contact[[#This Row],[Bagossy]:[Szo
03:00 - 10:00]],"=~?")</f>
        <v>0</v>
      </c>
      <c r="E947" s="2">
        <f>COUNTIF(contact[[#This Row],[Bagossy]:[Szo
03:00 - 10:00]],"=x")</f>
        <v>0</v>
      </c>
      <c r="F947" s="2">
        <f>SUM(contact[[#This Row],[?]:[x]])</f>
        <v>0</v>
      </c>
      <c r="G9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7" s="3" t="s">
        <v>3881</v>
      </c>
      <c r="K947" s="1" t="s">
        <v>996</v>
      </c>
      <c r="L947" s="1" t="s">
        <v>2</v>
      </c>
      <c r="M947" s="1" t="s">
        <v>2</v>
      </c>
      <c r="O947" s="2"/>
      <c r="P947" s="2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spans="1:32" s="1" customFormat="1" ht="20.25" customHeight="1" x14ac:dyDescent="0.25">
      <c r="A948" s="2"/>
      <c r="B948" s="2"/>
      <c r="C948" s="2"/>
      <c r="D948" s="2">
        <f>COUNTIF(contact[[#This Row],[Bagossy]:[Szo
03:00 - 10:00]],"=~?")</f>
        <v>0</v>
      </c>
      <c r="E948" s="2">
        <f>COUNTIF(contact[[#This Row],[Bagossy]:[Szo
03:00 - 10:00]],"=x")</f>
        <v>0</v>
      </c>
      <c r="F948" s="2">
        <f>SUM(contact[[#This Row],[?]:[x]])</f>
        <v>0</v>
      </c>
      <c r="G9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8" s="3" t="s">
        <v>3369</v>
      </c>
      <c r="K948" s="1" t="s">
        <v>1327</v>
      </c>
      <c r="L948" s="1" t="s">
        <v>2</v>
      </c>
      <c r="M948" s="1" t="s">
        <v>2</v>
      </c>
      <c r="O948" s="2"/>
      <c r="P948" s="2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spans="1:32" s="1" customFormat="1" ht="20.25" customHeight="1" x14ac:dyDescent="0.25">
      <c r="A949" s="2"/>
      <c r="B949" s="2"/>
      <c r="C949" s="2"/>
      <c r="D949" s="2">
        <f>COUNTIF(contact[[#This Row],[Bagossy]:[Szo
03:00 - 10:00]],"=~?")</f>
        <v>0</v>
      </c>
      <c r="E949" s="2">
        <f>COUNTIF(contact[[#This Row],[Bagossy]:[Szo
03:00 - 10:00]],"=x")</f>
        <v>0</v>
      </c>
      <c r="F949" s="2">
        <f>SUM(contact[[#This Row],[?]:[x]])</f>
        <v>0</v>
      </c>
      <c r="G9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49" s="3" t="s">
        <v>3882</v>
      </c>
      <c r="K949" s="1" t="s">
        <v>55</v>
      </c>
      <c r="L949" s="1" t="s">
        <v>2</v>
      </c>
      <c r="M949" s="1" t="s">
        <v>2</v>
      </c>
      <c r="O949" s="2"/>
      <c r="P949" s="2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spans="1:32" s="1" customFormat="1" ht="20.25" customHeight="1" x14ac:dyDescent="0.25">
      <c r="A950" s="2"/>
      <c r="B950" s="2"/>
      <c r="C950" s="2"/>
      <c r="D950" s="2">
        <f>COUNTIF(contact[[#This Row],[Bagossy]:[Szo
03:00 - 10:00]],"=~?")</f>
        <v>0</v>
      </c>
      <c r="E950" s="2">
        <f>COUNTIF(contact[[#This Row],[Bagossy]:[Szo
03:00 - 10:00]],"=x")</f>
        <v>0</v>
      </c>
      <c r="F950" s="2">
        <f>SUM(contact[[#This Row],[?]:[x]])</f>
        <v>0</v>
      </c>
      <c r="G9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0" s="3" t="s">
        <v>3840</v>
      </c>
      <c r="K950" s="1" t="s">
        <v>974</v>
      </c>
      <c r="L950" s="1" t="s">
        <v>2</v>
      </c>
      <c r="M950" s="1" t="s">
        <v>2</v>
      </c>
      <c r="O950" s="2"/>
      <c r="P950" s="2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spans="1:32" s="1" customFormat="1" ht="20.25" customHeight="1" x14ac:dyDescent="0.25">
      <c r="A951" s="2"/>
      <c r="B951" s="2"/>
      <c r="C951" s="2"/>
      <c r="D951" s="2">
        <f>COUNTIF(contact[[#This Row],[Bagossy]:[Szo
03:00 - 10:00]],"=~?")</f>
        <v>0</v>
      </c>
      <c r="E951" s="2">
        <f>COUNTIF(contact[[#This Row],[Bagossy]:[Szo
03:00 - 10:00]],"=x")</f>
        <v>0</v>
      </c>
      <c r="F951" s="2">
        <f>SUM(contact[[#This Row],[?]:[x]])</f>
        <v>0</v>
      </c>
      <c r="G9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1" s="3" t="s">
        <v>2526</v>
      </c>
      <c r="K951" s="1" t="s">
        <v>2</v>
      </c>
      <c r="L951" s="1" t="s">
        <v>2</v>
      </c>
      <c r="M951" s="1" t="s">
        <v>2</v>
      </c>
      <c r="O951" s="2"/>
      <c r="P951" s="2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spans="1:32" s="1" customFormat="1" ht="20.25" customHeight="1" x14ac:dyDescent="0.25">
      <c r="A952" s="2"/>
      <c r="B952" s="2"/>
      <c r="C952" s="2"/>
      <c r="D952" s="2">
        <f>COUNTIF(contact[[#This Row],[Bagossy]:[Szo
03:00 - 10:00]],"=~?")</f>
        <v>0</v>
      </c>
      <c r="E952" s="2">
        <f>COUNTIF(contact[[#This Row],[Bagossy]:[Szo
03:00 - 10:00]],"=x")</f>
        <v>0</v>
      </c>
      <c r="F952" s="2">
        <f>SUM(contact[[#This Row],[?]:[x]])</f>
        <v>0</v>
      </c>
      <c r="G9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52" s="2"/>
      <c r="I952" s="2"/>
      <c r="J952" s="3" t="s">
        <v>2925</v>
      </c>
      <c r="K952" s="1" t="s">
        <v>24</v>
      </c>
      <c r="L952" s="1" t="s">
        <v>2</v>
      </c>
      <c r="M952" s="1" t="s">
        <v>2</v>
      </c>
      <c r="O952" s="2"/>
      <c r="P952" s="2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spans="1:32" s="1" customFormat="1" ht="20.25" customHeight="1" x14ac:dyDescent="0.25">
      <c r="A953" s="2"/>
      <c r="B953" s="2"/>
      <c r="C953" s="2"/>
      <c r="D953" s="2">
        <f>COUNTIF(contact[[#This Row],[Bagossy]:[Szo
03:00 - 10:00]],"=~?")</f>
        <v>0</v>
      </c>
      <c r="E953" s="2">
        <f>COUNTIF(contact[[#This Row],[Bagossy]:[Szo
03:00 - 10:00]],"=x")</f>
        <v>0</v>
      </c>
      <c r="F953" s="2">
        <f>SUM(contact[[#This Row],[?]:[x]])</f>
        <v>0</v>
      </c>
      <c r="G9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3" s="3" t="s">
        <v>3799</v>
      </c>
      <c r="K953" s="1" t="s">
        <v>126</v>
      </c>
      <c r="L953" s="1" t="s">
        <v>2</v>
      </c>
      <c r="M953" s="1" t="s">
        <v>2</v>
      </c>
      <c r="O953" s="2"/>
      <c r="P953" s="2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spans="1:32" s="1" customFormat="1" ht="20.25" customHeight="1" x14ac:dyDescent="0.25">
      <c r="A954" s="2"/>
      <c r="B954" s="2"/>
      <c r="C954" s="2"/>
      <c r="D954" s="2">
        <f>COUNTIF(contact[[#This Row],[Bagossy]:[Szo
03:00 - 10:00]],"=~?")</f>
        <v>0</v>
      </c>
      <c r="E954" s="2">
        <f>COUNTIF(contact[[#This Row],[Bagossy]:[Szo
03:00 - 10:00]],"=x")</f>
        <v>0</v>
      </c>
      <c r="F954" s="2">
        <f>SUM(contact[[#This Row],[?]:[x]])</f>
        <v>0</v>
      </c>
      <c r="G9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4" s="3" t="s">
        <v>2228</v>
      </c>
      <c r="K954" s="1" t="s">
        <v>190</v>
      </c>
      <c r="L954" s="1" t="s">
        <v>2</v>
      </c>
      <c r="M954" s="1" t="s">
        <v>2</v>
      </c>
      <c r="O954" s="2"/>
      <c r="P954" s="2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spans="1:32" s="1" customFormat="1" ht="20.25" customHeight="1" x14ac:dyDescent="0.25">
      <c r="A955" s="2"/>
      <c r="B955" s="2"/>
      <c r="C955" s="2"/>
      <c r="D955" s="2">
        <f>COUNTIF(contact[[#This Row],[Bagossy]:[Szo
03:00 - 10:00]],"=~?")</f>
        <v>0</v>
      </c>
      <c r="E955" s="2">
        <f>COUNTIF(contact[[#This Row],[Bagossy]:[Szo
03:00 - 10:00]],"=x")</f>
        <v>0</v>
      </c>
      <c r="F955" s="2">
        <f>SUM(contact[[#This Row],[?]:[x]])</f>
        <v>0</v>
      </c>
      <c r="G9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5" s="3" t="s">
        <v>4046</v>
      </c>
      <c r="K955" s="1" t="s">
        <v>1327</v>
      </c>
      <c r="L955" s="1" t="s">
        <v>2</v>
      </c>
      <c r="M955" s="1" t="s">
        <v>2</v>
      </c>
      <c r="O955" s="2"/>
      <c r="P955" s="2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spans="1:32" s="1" customFormat="1" ht="20.25" customHeight="1" x14ac:dyDescent="0.25">
      <c r="A956" s="2"/>
      <c r="B956" s="2"/>
      <c r="C956" s="2"/>
      <c r="D956" s="2">
        <f>COUNTIF(contact[[#This Row],[Bagossy]:[Szo
03:00 - 10:00]],"=~?")</f>
        <v>0</v>
      </c>
      <c r="E956" s="2">
        <f>COUNTIF(contact[[#This Row],[Bagossy]:[Szo
03:00 - 10:00]],"=x")</f>
        <v>0</v>
      </c>
      <c r="F956" s="2">
        <f>SUM(contact[[#This Row],[?]:[x]])</f>
        <v>0</v>
      </c>
      <c r="G9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6" s="3" t="s">
        <v>557</v>
      </c>
      <c r="K956" s="1" t="s">
        <v>2</v>
      </c>
      <c r="L956" s="1" t="s">
        <v>2</v>
      </c>
      <c r="M956" s="1" t="s">
        <v>2</v>
      </c>
      <c r="O956" s="2"/>
      <c r="P956" s="2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spans="1:32" s="1" customFormat="1" ht="20.25" customHeight="1" x14ac:dyDescent="0.25">
      <c r="A957" s="2"/>
      <c r="B957" s="2"/>
      <c r="C957" s="2"/>
      <c r="D957" s="2">
        <f>COUNTIF(contact[[#This Row],[Bagossy]:[Szo
03:00 - 10:00]],"=~?")</f>
        <v>0</v>
      </c>
      <c r="E957" s="2">
        <f>COUNTIF(contact[[#This Row],[Bagossy]:[Szo
03:00 - 10:00]],"=x")</f>
        <v>0</v>
      </c>
      <c r="F957" s="2">
        <f>SUM(contact[[#This Row],[?]:[x]])</f>
        <v>0</v>
      </c>
      <c r="G9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57" s="2"/>
      <c r="I957" s="2"/>
      <c r="J957" s="3" t="s">
        <v>2926</v>
      </c>
      <c r="K957" s="1" t="s">
        <v>6</v>
      </c>
      <c r="L957" s="1" t="s">
        <v>2</v>
      </c>
      <c r="M957" s="1" t="s">
        <v>2</v>
      </c>
      <c r="O957" s="2"/>
      <c r="P957" s="2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spans="1:32" s="1" customFormat="1" ht="20.25" customHeight="1" x14ac:dyDescent="0.25">
      <c r="A958" s="2"/>
      <c r="B958" s="2"/>
      <c r="C958" s="2"/>
      <c r="D958" s="2">
        <f>COUNTIF(contact[[#This Row],[Bagossy]:[Szo
03:00 - 10:00]],"=~?")</f>
        <v>0</v>
      </c>
      <c r="E958" s="2">
        <f>COUNTIF(contact[[#This Row],[Bagossy]:[Szo
03:00 - 10:00]],"=x")</f>
        <v>0</v>
      </c>
      <c r="F958" s="2">
        <f>SUM(contact[[#This Row],[?]:[x]])</f>
        <v>0</v>
      </c>
      <c r="G9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8" s="3" t="s">
        <v>569</v>
      </c>
      <c r="K958" s="1" t="s">
        <v>2</v>
      </c>
      <c r="L958" s="1" t="s">
        <v>2</v>
      </c>
      <c r="M958" s="1" t="s">
        <v>2</v>
      </c>
      <c r="O958" s="2"/>
      <c r="P958" s="2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spans="1:32" s="1" customFormat="1" ht="20.25" customHeight="1" x14ac:dyDescent="0.25">
      <c r="A959" s="2"/>
      <c r="B959" s="2"/>
      <c r="C959" s="2"/>
      <c r="D959" s="2">
        <f>COUNTIF(contact[[#This Row],[Bagossy]:[Szo
03:00 - 10:00]],"=~?")</f>
        <v>0</v>
      </c>
      <c r="E959" s="2">
        <f>COUNTIF(contact[[#This Row],[Bagossy]:[Szo
03:00 - 10:00]],"=x")</f>
        <v>0</v>
      </c>
      <c r="F959" s="2">
        <f>SUM(contact[[#This Row],[?]:[x]])</f>
        <v>0</v>
      </c>
      <c r="G9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59" s="3" t="s">
        <v>573</v>
      </c>
      <c r="K959" s="1" t="s">
        <v>2</v>
      </c>
      <c r="L959" s="1" t="s">
        <v>2</v>
      </c>
      <c r="M959" s="1" t="s">
        <v>2</v>
      </c>
      <c r="O959" s="2"/>
      <c r="P959" s="2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spans="1:32" s="1" customFormat="1" ht="20.25" customHeight="1" x14ac:dyDescent="0.25">
      <c r="A960" s="2"/>
      <c r="B960" s="2"/>
      <c r="C960" s="2"/>
      <c r="D960" s="2">
        <f>COUNTIF(contact[[#This Row],[Bagossy]:[Szo
03:00 - 10:00]],"=~?")</f>
        <v>0</v>
      </c>
      <c r="E960" s="2">
        <f>COUNTIF(contact[[#This Row],[Bagossy]:[Szo
03:00 - 10:00]],"=x")</f>
        <v>0</v>
      </c>
      <c r="F960" s="2">
        <f>SUM(contact[[#This Row],[?]:[x]])</f>
        <v>0</v>
      </c>
      <c r="G9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60" s="2"/>
      <c r="I960" s="2"/>
      <c r="J960" s="3" t="s">
        <v>2929</v>
      </c>
      <c r="K960" s="1" t="s">
        <v>738</v>
      </c>
      <c r="L960" s="1" t="s">
        <v>2</v>
      </c>
      <c r="M960" s="1" t="s">
        <v>2</v>
      </c>
      <c r="O960" s="2"/>
      <c r="P960" s="2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spans="1:32" s="1" customFormat="1" ht="20.25" customHeight="1" x14ac:dyDescent="0.25">
      <c r="A961" s="2"/>
      <c r="B961" s="2"/>
      <c r="C961" s="2"/>
      <c r="D961" s="2">
        <f>COUNTIF(contact[[#This Row],[Bagossy]:[Szo
03:00 - 10:00]],"=~?")</f>
        <v>0</v>
      </c>
      <c r="E961" s="2">
        <f>COUNTIF(contact[[#This Row],[Bagossy]:[Szo
03:00 - 10:00]],"=x")</f>
        <v>0</v>
      </c>
      <c r="F961" s="2">
        <f>SUM(contact[[#This Row],[?]:[x]])</f>
        <v>0</v>
      </c>
      <c r="G9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1" s="3" t="s">
        <v>2377</v>
      </c>
      <c r="K961" s="1" t="s">
        <v>277</v>
      </c>
      <c r="L961" s="1" t="s">
        <v>2</v>
      </c>
      <c r="M961" s="1" t="s">
        <v>2</v>
      </c>
      <c r="O961" s="2"/>
      <c r="P961" s="2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spans="1:32" s="1" customFormat="1" ht="20.25" customHeight="1" x14ac:dyDescent="0.25">
      <c r="A962" s="2"/>
      <c r="B962" s="2"/>
      <c r="C962" s="2"/>
      <c r="D962" s="2">
        <f>COUNTIF(contact[[#This Row],[Bagossy]:[Szo
03:00 - 10:00]],"=~?")</f>
        <v>0</v>
      </c>
      <c r="E962" s="2">
        <f>COUNTIF(contact[[#This Row],[Bagossy]:[Szo
03:00 - 10:00]],"=x")</f>
        <v>0</v>
      </c>
      <c r="F962" s="2">
        <f>SUM(contact[[#This Row],[?]:[x]])</f>
        <v>0</v>
      </c>
      <c r="G9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2" s="3" t="s">
        <v>4379</v>
      </c>
      <c r="K962" s="1" t="s">
        <v>391</v>
      </c>
      <c r="L962" s="1" t="s">
        <v>2</v>
      </c>
      <c r="M962" s="1" t="s">
        <v>2</v>
      </c>
      <c r="O962" s="2"/>
      <c r="P962" s="2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spans="1:32" s="1" customFormat="1" ht="20.25" customHeight="1" x14ac:dyDescent="0.25">
      <c r="A963" s="2"/>
      <c r="B963" s="2"/>
      <c r="C963" s="2"/>
      <c r="D963" s="2">
        <f>COUNTIF(contact[[#This Row],[Bagossy]:[Szo
03:00 - 10:00]],"=~?")</f>
        <v>0</v>
      </c>
      <c r="E963" s="2">
        <f>COUNTIF(contact[[#This Row],[Bagossy]:[Szo
03:00 - 10:00]],"=x")</f>
        <v>0</v>
      </c>
      <c r="F963" s="2">
        <f>SUM(contact[[#This Row],[?]:[x]])</f>
        <v>0</v>
      </c>
      <c r="G9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3" s="3" t="s">
        <v>1994</v>
      </c>
      <c r="K963" s="1" t="s">
        <v>1308</v>
      </c>
      <c r="L963" s="1" t="s">
        <v>2</v>
      </c>
      <c r="M963" s="1" t="s">
        <v>2</v>
      </c>
      <c r="O963" s="2"/>
      <c r="P963" s="2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spans="1:32" s="1" customFormat="1" ht="20.25" customHeight="1" x14ac:dyDescent="0.25">
      <c r="A964" s="2"/>
      <c r="B964" s="2"/>
      <c r="C964" s="2"/>
      <c r="D964" s="2">
        <f>COUNTIF(contact[[#This Row],[Bagossy]:[Szo
03:00 - 10:00]],"=~?")</f>
        <v>0</v>
      </c>
      <c r="E964" s="2">
        <f>COUNTIF(contact[[#This Row],[Bagossy]:[Szo
03:00 - 10:00]],"=x")</f>
        <v>0</v>
      </c>
      <c r="F964" s="2">
        <f>SUM(contact[[#This Row],[?]:[x]])</f>
        <v>0</v>
      </c>
      <c r="G9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4" s="3" t="s">
        <v>4008</v>
      </c>
      <c r="K964" s="1" t="s">
        <v>1062</v>
      </c>
      <c r="L964" s="1" t="s">
        <v>2</v>
      </c>
      <c r="M964" s="1" t="s">
        <v>2</v>
      </c>
      <c r="O964" s="2"/>
      <c r="P964" s="2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spans="1:32" s="1" customFormat="1" ht="20.25" customHeight="1" x14ac:dyDescent="0.25">
      <c r="A965" s="2"/>
      <c r="B965" s="2"/>
      <c r="C965" s="2"/>
      <c r="D965" s="2">
        <f>COUNTIF(contact[[#This Row],[Bagossy]:[Szo
03:00 - 10:00]],"=~?")</f>
        <v>0</v>
      </c>
      <c r="E965" s="2">
        <f>COUNTIF(contact[[#This Row],[Bagossy]:[Szo
03:00 - 10:00]],"=x")</f>
        <v>0</v>
      </c>
      <c r="F965" s="2">
        <f>SUM(contact[[#This Row],[?]:[x]])</f>
        <v>0</v>
      </c>
      <c r="G9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5" s="3" t="s">
        <v>2474</v>
      </c>
      <c r="K965" s="1" t="s">
        <v>2</v>
      </c>
      <c r="L965" s="1" t="s">
        <v>2</v>
      </c>
      <c r="M965" s="1" t="s">
        <v>2</v>
      </c>
      <c r="O965" s="2"/>
      <c r="P965" s="2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spans="1:32" s="1" customFormat="1" ht="20.25" customHeight="1" x14ac:dyDescent="0.25">
      <c r="A966" s="2"/>
      <c r="B966" s="2"/>
      <c r="C966" s="2"/>
      <c r="D966" s="2">
        <f>COUNTIF(contact[[#This Row],[Bagossy]:[Szo
03:00 - 10:00]],"=~?")</f>
        <v>0</v>
      </c>
      <c r="E966" s="2">
        <f>COUNTIF(contact[[#This Row],[Bagossy]:[Szo
03:00 - 10:00]],"=x")</f>
        <v>0</v>
      </c>
      <c r="F966" s="2">
        <f>SUM(contact[[#This Row],[?]:[x]])</f>
        <v>0</v>
      </c>
      <c r="G9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6" s="3" t="s">
        <v>3030</v>
      </c>
      <c r="K966" s="1" t="s">
        <v>47</v>
      </c>
      <c r="L966" s="1" t="s">
        <v>2</v>
      </c>
      <c r="M966" s="1" t="s">
        <v>2</v>
      </c>
      <c r="O966" s="2"/>
      <c r="P966" s="2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spans="1:32" s="1" customFormat="1" ht="20.25" customHeight="1" x14ac:dyDescent="0.25">
      <c r="A967" s="2"/>
      <c r="B967" s="2"/>
      <c r="C967" s="2"/>
      <c r="D967" s="2">
        <f>COUNTIF(contact[[#This Row],[Bagossy]:[Szo
03:00 - 10:00]],"=~?")</f>
        <v>0</v>
      </c>
      <c r="E967" s="2">
        <f>COUNTIF(contact[[#This Row],[Bagossy]:[Szo
03:00 - 10:00]],"=x")</f>
        <v>0</v>
      </c>
      <c r="F967" s="2">
        <f>SUM(contact[[#This Row],[?]:[x]])</f>
        <v>0</v>
      </c>
      <c r="G9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7" s="3" t="s">
        <v>3146</v>
      </c>
      <c r="K967" s="1" t="s">
        <v>2</v>
      </c>
      <c r="L967" s="1" t="s">
        <v>2</v>
      </c>
      <c r="M967" s="1" t="s">
        <v>2</v>
      </c>
      <c r="O967" s="2"/>
      <c r="P967" s="2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spans="1:32" s="1" customFormat="1" ht="20.25" customHeight="1" x14ac:dyDescent="0.25">
      <c r="A968" s="2"/>
      <c r="B968" s="2"/>
      <c r="C968" s="2"/>
      <c r="D968" s="2">
        <f>COUNTIF(contact[[#This Row],[Bagossy]:[Szo
03:00 - 10:00]],"=~?")</f>
        <v>0</v>
      </c>
      <c r="E968" s="2">
        <f>COUNTIF(contact[[#This Row],[Bagossy]:[Szo
03:00 - 10:00]],"=x")</f>
        <v>0</v>
      </c>
      <c r="F968" s="2">
        <f>SUM(contact[[#This Row],[?]:[x]])</f>
        <v>0</v>
      </c>
      <c r="G9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8" s="3" t="s">
        <v>2956</v>
      </c>
      <c r="K968" s="1" t="s">
        <v>579</v>
      </c>
      <c r="L968" s="1" t="s">
        <v>2</v>
      </c>
      <c r="M968" s="1" t="s">
        <v>2</v>
      </c>
      <c r="O968" s="2"/>
      <c r="P968" s="2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spans="1:32" s="1" customFormat="1" ht="20.25" customHeight="1" x14ac:dyDescent="0.25">
      <c r="A969" s="2"/>
      <c r="B969" s="2"/>
      <c r="C969" s="2"/>
      <c r="D969" s="2">
        <f>COUNTIF(contact[[#This Row],[Bagossy]:[Szo
03:00 - 10:00]],"=~?")</f>
        <v>0</v>
      </c>
      <c r="E969" s="2">
        <f>COUNTIF(contact[[#This Row],[Bagossy]:[Szo
03:00 - 10:00]],"=x")</f>
        <v>0</v>
      </c>
      <c r="F969" s="2">
        <f>SUM(contact[[#This Row],[?]:[x]])</f>
        <v>0</v>
      </c>
      <c r="G9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69" s="3" t="s">
        <v>1957</v>
      </c>
      <c r="K969" s="1" t="s">
        <v>37</v>
      </c>
      <c r="L969" s="1" t="s">
        <v>2</v>
      </c>
      <c r="M969" s="1" t="s">
        <v>2</v>
      </c>
      <c r="O969" s="2"/>
      <c r="P969" s="2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spans="1:32" s="1" customFormat="1" ht="20.25" customHeight="1" x14ac:dyDescent="0.25">
      <c r="A970" s="2"/>
      <c r="B970" s="2"/>
      <c r="C970" s="2"/>
      <c r="D970" s="2">
        <f>COUNTIF(contact[[#This Row],[Bagossy]:[Szo
03:00 - 10:00]],"=~?")</f>
        <v>0</v>
      </c>
      <c r="E970" s="2">
        <f>COUNTIF(contact[[#This Row],[Bagossy]:[Szo
03:00 - 10:00]],"=x")</f>
        <v>0</v>
      </c>
      <c r="F970" s="2">
        <f>SUM(contact[[#This Row],[?]:[x]])</f>
        <v>0</v>
      </c>
      <c r="G9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0" s="3" t="s">
        <v>2022</v>
      </c>
      <c r="K970" s="1" t="s">
        <v>1317</v>
      </c>
      <c r="L970" s="1" t="s">
        <v>2</v>
      </c>
      <c r="M970" s="1" t="s">
        <v>2</v>
      </c>
      <c r="O970" s="2"/>
      <c r="P970" s="2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spans="1:32" s="1" customFormat="1" ht="20.25" customHeight="1" x14ac:dyDescent="0.25">
      <c r="A971" s="2"/>
      <c r="B971" s="2"/>
      <c r="C971" s="2"/>
      <c r="D971" s="2">
        <f>COUNTIF(contact[[#This Row],[Bagossy]:[Szo
03:00 - 10:00]],"=~?")</f>
        <v>0</v>
      </c>
      <c r="E971" s="2">
        <f>COUNTIF(contact[[#This Row],[Bagossy]:[Szo
03:00 - 10:00]],"=x")</f>
        <v>0</v>
      </c>
      <c r="F971" s="2">
        <f>SUM(contact[[#This Row],[?]:[x]])</f>
        <v>0</v>
      </c>
      <c r="G9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1" s="3" t="s">
        <v>3085</v>
      </c>
      <c r="K971" s="1" t="s">
        <v>2</v>
      </c>
      <c r="L971" s="1" t="s">
        <v>2</v>
      </c>
      <c r="M971" s="1" t="s">
        <v>2</v>
      </c>
      <c r="O971" s="2"/>
      <c r="P971" s="2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spans="1:32" s="1" customFormat="1" ht="20.25" customHeight="1" x14ac:dyDescent="0.25">
      <c r="A972" s="2"/>
      <c r="B972" s="2"/>
      <c r="C972" s="2"/>
      <c r="D972" s="2">
        <f>COUNTIF(contact[[#This Row],[Bagossy]:[Szo
03:00 - 10:00]],"=~?")</f>
        <v>0</v>
      </c>
      <c r="E972" s="2">
        <f>COUNTIF(contact[[#This Row],[Bagossy]:[Szo
03:00 - 10:00]],"=x")</f>
        <v>0</v>
      </c>
      <c r="F972" s="2">
        <f>SUM(contact[[#This Row],[?]:[x]])</f>
        <v>0</v>
      </c>
      <c r="G9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2" s="3" t="s">
        <v>4078</v>
      </c>
      <c r="K972" s="1" t="s">
        <v>1089</v>
      </c>
      <c r="L972" s="1" t="s">
        <v>2</v>
      </c>
      <c r="M972" s="1" t="s">
        <v>2</v>
      </c>
      <c r="O972" s="2"/>
      <c r="P972" s="2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spans="1:32" s="1" customFormat="1" ht="20.25" customHeight="1" x14ac:dyDescent="0.25">
      <c r="A973" s="2"/>
      <c r="B973" s="2"/>
      <c r="C973" s="2"/>
      <c r="D973" s="2">
        <f>COUNTIF(contact[[#This Row],[Bagossy]:[Szo
03:00 - 10:00]],"=~?")</f>
        <v>0</v>
      </c>
      <c r="E973" s="2">
        <f>COUNTIF(contact[[#This Row],[Bagossy]:[Szo
03:00 - 10:00]],"=x")</f>
        <v>0</v>
      </c>
      <c r="F973" s="2">
        <f>SUM(contact[[#This Row],[?]:[x]])</f>
        <v>0</v>
      </c>
      <c r="G9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3" s="3" t="s">
        <v>2182</v>
      </c>
      <c r="K973" s="1" t="s">
        <v>155</v>
      </c>
      <c r="L973" s="1" t="s">
        <v>2</v>
      </c>
      <c r="M973" s="1" t="s">
        <v>2</v>
      </c>
      <c r="O973" s="2"/>
      <c r="P973" s="2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spans="1:32" s="1" customFormat="1" ht="20.25" customHeight="1" x14ac:dyDescent="0.25">
      <c r="A974" s="2"/>
      <c r="B974" s="2"/>
      <c r="C974" s="2"/>
      <c r="D974" s="2">
        <f>COUNTIF(contact[[#This Row],[Bagossy]:[Szo
03:00 - 10:00]],"=~?")</f>
        <v>0</v>
      </c>
      <c r="E974" s="2">
        <f>COUNTIF(contact[[#This Row],[Bagossy]:[Szo
03:00 - 10:00]],"=x")</f>
        <v>0</v>
      </c>
      <c r="F974" s="2">
        <f>SUM(contact[[#This Row],[?]:[x]])</f>
        <v>0</v>
      </c>
      <c r="G9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4" s="3" t="s">
        <v>2832</v>
      </c>
      <c r="K974" s="1" t="s">
        <v>518</v>
      </c>
      <c r="L974" s="1" t="s">
        <v>2</v>
      </c>
      <c r="M974" s="1" t="s">
        <v>2</v>
      </c>
      <c r="O974" s="2"/>
      <c r="P974" s="2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spans="1:32" s="1" customFormat="1" ht="20.25" customHeight="1" x14ac:dyDescent="0.25">
      <c r="A975" s="2"/>
      <c r="B975" s="2"/>
      <c r="C975" s="2"/>
      <c r="D975" s="2">
        <f>COUNTIF(contact[[#This Row],[Bagossy]:[Szo
03:00 - 10:00]],"=~?")</f>
        <v>0</v>
      </c>
      <c r="E975" s="2">
        <f>COUNTIF(contact[[#This Row],[Bagossy]:[Szo
03:00 - 10:00]],"=x")</f>
        <v>0</v>
      </c>
      <c r="F975" s="2">
        <f>SUM(contact[[#This Row],[?]:[x]])</f>
        <v>0</v>
      </c>
      <c r="G9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5" s="3" t="s">
        <v>4534</v>
      </c>
      <c r="K975" s="1" t="s">
        <v>1172</v>
      </c>
      <c r="L975" s="1" t="s">
        <v>2</v>
      </c>
      <c r="M975" s="1" t="s">
        <v>2</v>
      </c>
      <c r="O975" s="2"/>
      <c r="P975" s="2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spans="1:32" s="1" customFormat="1" ht="20.25" customHeight="1" x14ac:dyDescent="0.25">
      <c r="A976" s="2"/>
      <c r="B976" s="2"/>
      <c r="C976" s="2"/>
      <c r="D976" s="2">
        <f>COUNTIF(contact[[#This Row],[Bagossy]:[Szo
03:00 - 10:00]],"=~?")</f>
        <v>0</v>
      </c>
      <c r="E976" s="2">
        <f>COUNTIF(contact[[#This Row],[Bagossy]:[Szo
03:00 - 10:00]],"=x")</f>
        <v>0</v>
      </c>
      <c r="F976" s="2">
        <f>SUM(contact[[#This Row],[?]:[x]])</f>
        <v>0</v>
      </c>
      <c r="G9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6" s="3" t="s">
        <v>4504</v>
      </c>
      <c r="K976" s="1" t="s">
        <v>1261</v>
      </c>
      <c r="L976" s="1" t="s">
        <v>2</v>
      </c>
      <c r="M976" s="1" t="s">
        <v>2</v>
      </c>
      <c r="O976" s="2"/>
      <c r="P976" s="2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spans="1:32" s="1" customFormat="1" ht="20.25" customHeight="1" x14ac:dyDescent="0.25">
      <c r="A977" s="2"/>
      <c r="B977" s="2"/>
      <c r="C977" s="2"/>
      <c r="D977" s="2">
        <f>COUNTIF(contact[[#This Row],[Bagossy]:[Szo
03:00 - 10:00]],"=~?")</f>
        <v>0</v>
      </c>
      <c r="E977" s="2">
        <f>COUNTIF(contact[[#This Row],[Bagossy]:[Szo
03:00 - 10:00]],"=x")</f>
        <v>0</v>
      </c>
      <c r="F977" s="2">
        <f>SUM(contact[[#This Row],[?]:[x]])</f>
        <v>0</v>
      </c>
      <c r="G9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7" s="3" t="s">
        <v>3198</v>
      </c>
      <c r="K977" s="1" t="s">
        <v>2</v>
      </c>
      <c r="L977" s="1" t="s">
        <v>2</v>
      </c>
      <c r="M977" s="1" t="s">
        <v>2</v>
      </c>
      <c r="O977" s="2"/>
      <c r="P977" s="2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spans="1:32" s="1" customFormat="1" ht="20.25" customHeight="1" x14ac:dyDescent="0.25">
      <c r="A978" s="2"/>
      <c r="B978" s="2"/>
      <c r="C978" s="2"/>
      <c r="D978" s="2">
        <f>COUNTIF(contact[[#This Row],[Bagossy]:[Szo
03:00 - 10:00]],"=~?")</f>
        <v>0</v>
      </c>
      <c r="E978" s="2">
        <f>COUNTIF(contact[[#This Row],[Bagossy]:[Szo
03:00 - 10:00]],"=x")</f>
        <v>0</v>
      </c>
      <c r="F978" s="2">
        <f>SUM(contact[[#This Row],[?]:[x]])</f>
        <v>0</v>
      </c>
      <c r="G9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8" s="3" t="s">
        <v>3846</v>
      </c>
      <c r="K978" s="1" t="s">
        <v>1726</v>
      </c>
      <c r="L978" s="1" t="s">
        <v>2</v>
      </c>
      <c r="M978" s="1" t="s">
        <v>2</v>
      </c>
      <c r="O978" s="2"/>
      <c r="P978" s="2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spans="1:32" s="1" customFormat="1" ht="20.25" customHeight="1" x14ac:dyDescent="0.25">
      <c r="A979" s="2"/>
      <c r="B979" s="2"/>
      <c r="C979" s="2"/>
      <c r="D979" s="2">
        <f>COUNTIF(contact[[#This Row],[Bagossy]:[Szo
03:00 - 10:00]],"=~?")</f>
        <v>0</v>
      </c>
      <c r="E979" s="2">
        <f>COUNTIF(contact[[#This Row],[Bagossy]:[Szo
03:00 - 10:00]],"=x")</f>
        <v>0</v>
      </c>
      <c r="F979" s="2">
        <f>SUM(contact[[#This Row],[?]:[x]])</f>
        <v>0</v>
      </c>
      <c r="G9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79" s="3" t="s">
        <v>3959</v>
      </c>
      <c r="K979" s="1" t="s">
        <v>2</v>
      </c>
      <c r="L979" s="1" t="s">
        <v>2</v>
      </c>
      <c r="M979" s="1" t="s">
        <v>2</v>
      </c>
      <c r="O979" s="2"/>
      <c r="P979" s="2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spans="1:32" s="1" customFormat="1" ht="20.25" customHeight="1" x14ac:dyDescent="0.25">
      <c r="A980" s="2"/>
      <c r="B980" s="2"/>
      <c r="C980" s="2"/>
      <c r="D980" s="2">
        <f>COUNTIF(contact[[#This Row],[Bagossy]:[Szo
03:00 - 10:00]],"=~?")</f>
        <v>0</v>
      </c>
      <c r="E980" s="2">
        <f>COUNTIF(contact[[#This Row],[Bagossy]:[Szo
03:00 - 10:00]],"=x")</f>
        <v>0</v>
      </c>
      <c r="F980" s="2">
        <f>SUM(contact[[#This Row],[?]:[x]])</f>
        <v>0</v>
      </c>
      <c r="G9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0" s="3" t="s">
        <v>2571</v>
      </c>
      <c r="K980" s="1" t="s">
        <v>2</v>
      </c>
      <c r="L980" s="1" t="s">
        <v>2</v>
      </c>
      <c r="M980" s="1" t="s">
        <v>2</v>
      </c>
      <c r="O980" s="2"/>
      <c r="P980" s="2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spans="1:32" s="1" customFormat="1" ht="20.25" customHeight="1" x14ac:dyDescent="0.25">
      <c r="A981" s="2"/>
      <c r="B981" s="2"/>
      <c r="C981" s="2"/>
      <c r="D981" s="2">
        <f>COUNTIF(contact[[#This Row],[Bagossy]:[Szo
03:00 - 10:00]],"=~?")</f>
        <v>0</v>
      </c>
      <c r="E981" s="2">
        <f>COUNTIF(contact[[#This Row],[Bagossy]:[Szo
03:00 - 10:00]],"=x")</f>
        <v>0</v>
      </c>
      <c r="F981" s="2">
        <f>SUM(contact[[#This Row],[?]:[x]])</f>
        <v>0</v>
      </c>
      <c r="G9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81" s="2"/>
      <c r="I981" s="2"/>
      <c r="J981" s="3" t="s">
        <v>575</v>
      </c>
      <c r="K981" s="1" t="s">
        <v>1519</v>
      </c>
      <c r="L981" s="1" t="s">
        <v>2</v>
      </c>
      <c r="M981" s="1" t="s">
        <v>2</v>
      </c>
      <c r="O981" s="2"/>
      <c r="P981" s="2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spans="1:32" s="1" customFormat="1" ht="20.25" customHeight="1" x14ac:dyDescent="0.25">
      <c r="A982" s="2"/>
      <c r="B982" s="2"/>
      <c r="C982" s="2"/>
      <c r="D982" s="2">
        <f>COUNTIF(contact[[#This Row],[Bagossy]:[Szo
03:00 - 10:00]],"=~?")</f>
        <v>0</v>
      </c>
      <c r="E982" s="2">
        <f>COUNTIF(contact[[#This Row],[Bagossy]:[Szo
03:00 - 10:00]],"=x")</f>
        <v>0</v>
      </c>
      <c r="F982" s="2">
        <f>SUM(contact[[#This Row],[?]:[x]])</f>
        <v>0</v>
      </c>
      <c r="G9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2" s="3" t="s">
        <v>2890</v>
      </c>
      <c r="K982" s="1" t="s">
        <v>543</v>
      </c>
      <c r="L982" s="1" t="s">
        <v>2</v>
      </c>
      <c r="M982" s="1" t="s">
        <v>2</v>
      </c>
      <c r="O982" s="2"/>
      <c r="P982" s="2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spans="1:32" s="1" customFormat="1" ht="20.25" customHeight="1" x14ac:dyDescent="0.25">
      <c r="A983" s="2"/>
      <c r="B983" s="2"/>
      <c r="C983" s="2"/>
      <c r="D983" s="2">
        <f>COUNTIF(contact[[#This Row],[Bagossy]:[Szo
03:00 - 10:00]],"=~?")</f>
        <v>0</v>
      </c>
      <c r="E983" s="2">
        <f>COUNTIF(contact[[#This Row],[Bagossy]:[Szo
03:00 - 10:00]],"=x")</f>
        <v>0</v>
      </c>
      <c r="F983" s="2">
        <f>SUM(contact[[#This Row],[?]:[x]])</f>
        <v>0</v>
      </c>
      <c r="G9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3" s="3" t="s">
        <v>2424</v>
      </c>
      <c r="K983" s="1" t="s">
        <v>301</v>
      </c>
      <c r="L983" s="1" t="s">
        <v>2</v>
      </c>
      <c r="M983" s="1" t="s">
        <v>2</v>
      </c>
      <c r="O983" s="2"/>
      <c r="P983" s="2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spans="1:32" s="1" customFormat="1" ht="20.25" customHeight="1" x14ac:dyDescent="0.25">
      <c r="A984" s="2"/>
      <c r="B984" s="2"/>
      <c r="C984" s="2"/>
      <c r="D984" s="2">
        <f>COUNTIF(contact[[#This Row],[Bagossy]:[Szo
03:00 - 10:00]],"=~?")</f>
        <v>0</v>
      </c>
      <c r="E984" s="2">
        <f>COUNTIF(contact[[#This Row],[Bagossy]:[Szo
03:00 - 10:00]],"=x")</f>
        <v>0</v>
      </c>
      <c r="F984" s="2">
        <f>SUM(contact[[#This Row],[?]:[x]])</f>
        <v>0</v>
      </c>
      <c r="G9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4" s="3" t="s">
        <v>2384</v>
      </c>
      <c r="K984" s="1" t="s">
        <v>2</v>
      </c>
      <c r="L984" s="1" t="s">
        <v>2</v>
      </c>
      <c r="M984" s="1" t="s">
        <v>2</v>
      </c>
      <c r="O984" s="2"/>
      <c r="P984" s="2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spans="1:32" s="1" customFormat="1" ht="20.25" customHeight="1" x14ac:dyDescent="0.25">
      <c r="A985" s="2"/>
      <c r="B985" s="2"/>
      <c r="C985" s="2"/>
      <c r="D985" s="2">
        <f>COUNTIF(contact[[#This Row],[Bagossy]:[Szo
03:00 - 10:00]],"=~?")</f>
        <v>0</v>
      </c>
      <c r="E985" s="2">
        <f>COUNTIF(contact[[#This Row],[Bagossy]:[Szo
03:00 - 10:00]],"=x")</f>
        <v>0</v>
      </c>
      <c r="F985" s="2">
        <f>SUM(contact[[#This Row],[?]:[x]])</f>
        <v>0</v>
      </c>
      <c r="G9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5" s="3" t="s">
        <v>2291</v>
      </c>
      <c r="K985" s="1" t="s">
        <v>228</v>
      </c>
      <c r="L985" s="1" t="s">
        <v>2</v>
      </c>
      <c r="M985" s="1" t="s">
        <v>2</v>
      </c>
      <c r="O985" s="2"/>
      <c r="P985" s="2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spans="1:32" s="1" customFormat="1" ht="20.25" customHeight="1" x14ac:dyDescent="0.25">
      <c r="A986" s="2"/>
      <c r="B986" s="2"/>
      <c r="C986" s="2"/>
      <c r="D986" s="2">
        <f>COUNTIF(contact[[#This Row],[Bagossy]:[Szo
03:00 - 10:00]],"=~?")</f>
        <v>0</v>
      </c>
      <c r="E986" s="2">
        <f>COUNTIF(contact[[#This Row],[Bagossy]:[Szo
03:00 - 10:00]],"=x")</f>
        <v>0</v>
      </c>
      <c r="F986" s="2">
        <f>SUM(contact[[#This Row],[?]:[x]])</f>
        <v>0</v>
      </c>
      <c r="G9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6" s="3" t="s">
        <v>2398</v>
      </c>
      <c r="K986" s="1" t="s">
        <v>1327</v>
      </c>
      <c r="L986" s="1" t="s">
        <v>2</v>
      </c>
      <c r="M986" s="1" t="s">
        <v>2</v>
      </c>
      <c r="O986" s="2"/>
      <c r="P986" s="2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spans="1:32" s="1" customFormat="1" ht="20.25" customHeight="1" x14ac:dyDescent="0.25">
      <c r="A987" s="2"/>
      <c r="B987" s="2"/>
      <c r="C987" s="2" t="s">
        <v>1285</v>
      </c>
      <c r="D987" s="2">
        <f>COUNTIF(contact[[#This Row],[Bagossy]:[Szo
03:00 - 10:00]],"=~?")</f>
        <v>0</v>
      </c>
      <c r="E987" s="2">
        <f>COUNTIF(contact[[#This Row],[Bagossy]:[Szo
03:00 - 10:00]],"=x")</f>
        <v>0</v>
      </c>
      <c r="F987" s="2">
        <f>SUM(contact[[#This Row],[?]:[x]])</f>
        <v>0</v>
      </c>
      <c r="G9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87" s="2"/>
      <c r="I987" s="2"/>
      <c r="J987" s="3" t="s">
        <v>2932</v>
      </c>
      <c r="K987" s="1" t="s">
        <v>591</v>
      </c>
      <c r="L987" s="1" t="s">
        <v>2</v>
      </c>
      <c r="M987" s="1" t="s">
        <v>2</v>
      </c>
      <c r="O987" s="2"/>
      <c r="P987" s="2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spans="1:32" s="1" customFormat="1" ht="20.25" customHeight="1" x14ac:dyDescent="0.25">
      <c r="A988" s="2"/>
      <c r="B988" s="2"/>
      <c r="C988" s="2"/>
      <c r="D988" s="2">
        <f>COUNTIF(contact[[#This Row],[Bagossy]:[Szo
03:00 - 10:00]],"=~?")</f>
        <v>0</v>
      </c>
      <c r="E988" s="2">
        <f>COUNTIF(contact[[#This Row],[Bagossy]:[Szo
03:00 - 10:00]],"=x")</f>
        <v>0</v>
      </c>
      <c r="F988" s="2">
        <f>SUM(contact[[#This Row],[?]:[x]])</f>
        <v>0</v>
      </c>
      <c r="G9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8" s="3" t="s">
        <v>3625</v>
      </c>
      <c r="K988" s="1" t="s">
        <v>9</v>
      </c>
      <c r="L988" s="1" t="s">
        <v>2</v>
      </c>
      <c r="M988" s="1" t="s">
        <v>2</v>
      </c>
      <c r="O988" s="2"/>
      <c r="P988" s="2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spans="1:32" s="1" customFormat="1" ht="20.25" customHeight="1" x14ac:dyDescent="0.25">
      <c r="A989" s="2"/>
      <c r="B989" s="2"/>
      <c r="C989" s="2"/>
      <c r="D989" s="2">
        <f>COUNTIF(contact[[#This Row],[Bagossy]:[Szo
03:00 - 10:00]],"=~?")</f>
        <v>0</v>
      </c>
      <c r="E989" s="2">
        <f>COUNTIF(contact[[#This Row],[Bagossy]:[Szo
03:00 - 10:00]],"=x")</f>
        <v>0</v>
      </c>
      <c r="F989" s="2">
        <f>SUM(contact[[#This Row],[?]:[x]])</f>
        <v>0</v>
      </c>
      <c r="G9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89" s="3" t="s">
        <v>4457</v>
      </c>
      <c r="K989" s="1" t="s">
        <v>1327</v>
      </c>
      <c r="L989" s="1" t="s">
        <v>2</v>
      </c>
      <c r="M989" s="1" t="s">
        <v>2</v>
      </c>
      <c r="O989" s="2"/>
      <c r="P989" s="2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spans="1:32" s="1" customFormat="1" ht="20.25" customHeight="1" x14ac:dyDescent="0.25">
      <c r="A990" s="2"/>
      <c r="B990" s="2"/>
      <c r="C990" s="2"/>
      <c r="D990" s="2">
        <f>COUNTIF(contact[[#This Row],[Bagossy]:[Szo
03:00 - 10:00]],"=~?")</f>
        <v>0</v>
      </c>
      <c r="E990" s="2">
        <f>COUNTIF(contact[[#This Row],[Bagossy]:[Szo
03:00 - 10:00]],"=x")</f>
        <v>0</v>
      </c>
      <c r="F990" s="2">
        <f>SUM(contact[[#This Row],[?]:[x]])</f>
        <v>0</v>
      </c>
      <c r="G9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0" s="3" t="s">
        <v>3724</v>
      </c>
      <c r="K990" s="1" t="s">
        <v>913</v>
      </c>
      <c r="L990" s="1" t="s">
        <v>2</v>
      </c>
      <c r="M990" s="1" t="s">
        <v>2</v>
      </c>
      <c r="O990" s="2"/>
      <c r="P990" s="2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spans="1:32" s="1" customFormat="1" ht="20.25" customHeight="1" x14ac:dyDescent="0.25">
      <c r="A991" s="2"/>
      <c r="B991" s="2"/>
      <c r="C991" s="2"/>
      <c r="D991" s="2">
        <f>COUNTIF(contact[[#This Row],[Bagossy]:[Szo
03:00 - 10:00]],"=~?")</f>
        <v>0</v>
      </c>
      <c r="E991" s="2">
        <f>COUNTIF(contact[[#This Row],[Bagossy]:[Szo
03:00 - 10:00]],"=x")</f>
        <v>0</v>
      </c>
      <c r="F991" s="2">
        <f>SUM(contact[[#This Row],[?]:[x]])</f>
        <v>0</v>
      </c>
      <c r="G9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1" s="3" t="s">
        <v>2094</v>
      </c>
      <c r="K991" s="1" t="s">
        <v>1303</v>
      </c>
      <c r="L991" s="1" t="s">
        <v>2</v>
      </c>
      <c r="M991" s="1" t="s">
        <v>2</v>
      </c>
      <c r="O991" s="2"/>
      <c r="P991" s="2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spans="1:32" s="1" customFormat="1" ht="20.25" customHeight="1" x14ac:dyDescent="0.25">
      <c r="A992" s="2"/>
      <c r="B992" s="2"/>
      <c r="C992" s="2"/>
      <c r="D992" s="2">
        <f>COUNTIF(contact[[#This Row],[Bagossy]:[Szo
03:00 - 10:00]],"=~?")</f>
        <v>0</v>
      </c>
      <c r="E992" s="2">
        <f>COUNTIF(contact[[#This Row],[Bagossy]:[Szo
03:00 - 10:00]],"=x")</f>
        <v>0</v>
      </c>
      <c r="F992" s="2">
        <f>SUM(contact[[#This Row],[?]:[x]])</f>
        <v>0</v>
      </c>
      <c r="G9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2" s="3" t="s">
        <v>2833</v>
      </c>
      <c r="K992" s="1" t="s">
        <v>519</v>
      </c>
      <c r="L992" s="1" t="s">
        <v>2</v>
      </c>
      <c r="M992" s="1" t="s">
        <v>2</v>
      </c>
      <c r="O992" s="2"/>
      <c r="P992" s="2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spans="1:32" s="1" customFormat="1" ht="20.25" customHeight="1" x14ac:dyDescent="0.25">
      <c r="A993" s="2" t="s">
        <v>1285</v>
      </c>
      <c r="B993" s="2" t="s">
        <v>1285</v>
      </c>
      <c r="C993" s="2" t="s">
        <v>1285</v>
      </c>
      <c r="D993" s="2">
        <f>COUNTIF(contact[[#This Row],[Bagossy]:[Szo
03:00 - 10:00]],"=~?")</f>
        <v>0</v>
      </c>
      <c r="E993" s="2">
        <f>COUNTIF(contact[[#This Row],[Bagossy]:[Szo
03:00 - 10:00]],"=x")</f>
        <v>5</v>
      </c>
      <c r="F993" s="2">
        <f>SUM(contact[[#This Row],[?]:[x]])</f>
        <v>5</v>
      </c>
      <c r="G993" s="2">
        <f>COUNTIF(contact[[#This Row],[Sze
10:00 - 22:00]:[Cs
03:00 - 08:00]],"=x")+COUNTIF(contact[[#This Row],[P
08:00 - 12:00]:[P
03:00 - 08:00]],"=x")+COUNTIF(contact[[#This Row],[Szo
08:00 - 12:00]:[Szo
03:00 - 10:00]],"=x")</f>
        <v>4</v>
      </c>
      <c r="H993" s="2" t="s">
        <v>4620</v>
      </c>
      <c r="J993" s="3" t="s">
        <v>2936</v>
      </c>
      <c r="K993" s="1" t="s">
        <v>1522</v>
      </c>
      <c r="L993" s="1" t="s">
        <v>2</v>
      </c>
      <c r="M993" s="1" t="s">
        <v>2</v>
      </c>
      <c r="N993" s="2" t="s">
        <v>4612</v>
      </c>
      <c r="O993" s="2"/>
      <c r="P993" s="2"/>
      <c r="Q993" s="6"/>
      <c r="R993" s="6" t="s">
        <v>1285</v>
      </c>
      <c r="S993" s="6"/>
      <c r="T993" s="6"/>
      <c r="U993" s="6"/>
      <c r="V993" s="6"/>
      <c r="W993" s="6" t="s">
        <v>1285</v>
      </c>
      <c r="X993" s="6"/>
      <c r="Y993" s="6"/>
      <c r="Z993" s="6" t="s">
        <v>1285</v>
      </c>
      <c r="AA993" s="6" t="s">
        <v>1285</v>
      </c>
      <c r="AB993" s="6"/>
      <c r="AC993" s="6" t="s">
        <v>1285</v>
      </c>
      <c r="AD993" s="6"/>
      <c r="AE993" s="6"/>
      <c r="AF993" s="6"/>
    </row>
    <row r="994" spans="1:32" s="1" customFormat="1" ht="20.25" customHeight="1" x14ac:dyDescent="0.25">
      <c r="A994" s="2"/>
      <c r="B994" s="2"/>
      <c r="C994" s="2"/>
      <c r="D994" s="2">
        <f>COUNTIF(contact[[#This Row],[Bagossy]:[Szo
03:00 - 10:00]],"=~?")</f>
        <v>0</v>
      </c>
      <c r="E994" s="2">
        <f>COUNTIF(contact[[#This Row],[Bagossy]:[Szo
03:00 - 10:00]],"=x")</f>
        <v>0</v>
      </c>
      <c r="F994" s="2">
        <f>SUM(contact[[#This Row],[?]:[x]])</f>
        <v>0</v>
      </c>
      <c r="G9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4" s="3" t="s">
        <v>3576</v>
      </c>
      <c r="K994" s="1" t="s">
        <v>2</v>
      </c>
      <c r="L994" s="1" t="s">
        <v>2</v>
      </c>
      <c r="M994" s="1" t="s">
        <v>2</v>
      </c>
      <c r="O994" s="2"/>
      <c r="P994" s="2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spans="1:32" s="1" customFormat="1" ht="20.25" customHeight="1" x14ac:dyDescent="0.25">
      <c r="A995" s="2"/>
      <c r="B995" s="2" t="s">
        <v>1285</v>
      </c>
      <c r="C995" s="2" t="s">
        <v>1285</v>
      </c>
      <c r="D995" s="2">
        <f>COUNTIF(contact[[#This Row],[Bagossy]:[Szo
03:00 - 10:00]],"=~?")</f>
        <v>0</v>
      </c>
      <c r="E995" s="2">
        <f>COUNTIF(contact[[#This Row],[Bagossy]:[Szo
03:00 - 10:00]],"=x")</f>
        <v>0</v>
      </c>
      <c r="F995" s="2">
        <f>SUM(contact[[#This Row],[?]:[x]])</f>
        <v>0</v>
      </c>
      <c r="G9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95" s="2" t="s">
        <v>4616</v>
      </c>
      <c r="I995" s="2"/>
      <c r="J995" s="3" t="s">
        <v>2938</v>
      </c>
      <c r="K995" s="1" t="s">
        <v>17</v>
      </c>
      <c r="L995" s="1" t="s">
        <v>2</v>
      </c>
      <c r="M995" s="1" t="s">
        <v>2</v>
      </c>
      <c r="O995" s="2"/>
      <c r="P995" s="2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spans="1:32" s="1" customFormat="1" ht="20.25" customHeight="1" x14ac:dyDescent="0.25">
      <c r="A996" s="2"/>
      <c r="B996" s="2"/>
      <c r="C996" s="2"/>
      <c r="D996" s="2">
        <f>COUNTIF(contact[[#This Row],[Bagossy]:[Szo
03:00 - 10:00]],"=~?")</f>
        <v>0</v>
      </c>
      <c r="E996" s="2">
        <f>COUNTIF(contact[[#This Row],[Bagossy]:[Szo
03:00 - 10:00]],"=x")</f>
        <v>0</v>
      </c>
      <c r="F996" s="2">
        <f>SUM(contact[[#This Row],[?]:[x]])</f>
        <v>0</v>
      </c>
      <c r="G9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6" s="3" t="s">
        <v>2903</v>
      </c>
      <c r="K996" s="1" t="s">
        <v>1512</v>
      </c>
      <c r="L996" s="1" t="s">
        <v>2</v>
      </c>
      <c r="M996" s="1" t="s">
        <v>2</v>
      </c>
      <c r="O996" s="2"/>
      <c r="P996" s="2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spans="1:32" s="1" customFormat="1" ht="20.25" customHeight="1" x14ac:dyDescent="0.25">
      <c r="A997" s="2"/>
      <c r="B997" s="2"/>
      <c r="C997" s="2"/>
      <c r="D997" s="2">
        <f>COUNTIF(contact[[#This Row],[Bagossy]:[Szo
03:00 - 10:00]],"=~?")</f>
        <v>0</v>
      </c>
      <c r="E997" s="2">
        <f>COUNTIF(contact[[#This Row],[Bagossy]:[Szo
03:00 - 10:00]],"=x")</f>
        <v>0</v>
      </c>
      <c r="F997" s="2">
        <f>SUM(contact[[#This Row],[?]:[x]])</f>
        <v>0</v>
      </c>
      <c r="G9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7" s="3" t="s">
        <v>578</v>
      </c>
      <c r="K997" s="1" t="s">
        <v>2</v>
      </c>
      <c r="L997" s="1" t="s">
        <v>2</v>
      </c>
      <c r="M997" s="1" t="s">
        <v>2</v>
      </c>
      <c r="O997" s="2"/>
      <c r="P997" s="2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spans="1:32" s="1" customFormat="1" ht="20.25" customHeight="1" x14ac:dyDescent="0.25">
      <c r="A998" s="2"/>
      <c r="B998" s="2" t="s">
        <v>1285</v>
      </c>
      <c r="C998" s="2" t="s">
        <v>1285</v>
      </c>
      <c r="D998" s="2">
        <f>COUNTIF(contact[[#This Row],[Bagossy]:[Szo
03:00 - 10:00]],"=~?")</f>
        <v>0</v>
      </c>
      <c r="E998" s="2">
        <f>COUNTIF(contact[[#This Row],[Bagossy]:[Szo
03:00 - 10:00]],"=x")</f>
        <v>0</v>
      </c>
      <c r="F998" s="2">
        <f>SUM(contact[[#This Row],[?]:[x]])</f>
        <v>0</v>
      </c>
      <c r="G9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998" s="2" t="s">
        <v>4616</v>
      </c>
      <c r="I998" s="2"/>
      <c r="J998" s="3" t="s">
        <v>2940</v>
      </c>
      <c r="K998" s="1" t="s">
        <v>29</v>
      </c>
      <c r="L998" s="1" t="s">
        <v>2</v>
      </c>
      <c r="M998" s="1" t="s">
        <v>2</v>
      </c>
      <c r="O998" s="2"/>
      <c r="P998" s="2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spans="1:32" s="1" customFormat="1" ht="20.25" customHeight="1" x14ac:dyDescent="0.25">
      <c r="A999" s="2"/>
      <c r="B999" s="2"/>
      <c r="C999" s="2"/>
      <c r="D999" s="2">
        <f>COUNTIF(contact[[#This Row],[Bagossy]:[Szo
03:00 - 10:00]],"=~?")</f>
        <v>0</v>
      </c>
      <c r="E999" s="2">
        <f>COUNTIF(contact[[#This Row],[Bagossy]:[Szo
03:00 - 10:00]],"=x")</f>
        <v>0</v>
      </c>
      <c r="F999" s="2">
        <f>SUM(contact[[#This Row],[?]:[x]])</f>
        <v>0</v>
      </c>
      <c r="G9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999" s="3" t="s">
        <v>2183</v>
      </c>
      <c r="K999" s="1" t="s">
        <v>156</v>
      </c>
      <c r="L999" s="1" t="s">
        <v>2</v>
      </c>
      <c r="M999" s="1" t="s">
        <v>2</v>
      </c>
      <c r="O999" s="2"/>
      <c r="P999" s="2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spans="1:32" s="1" customFormat="1" ht="20.25" customHeight="1" x14ac:dyDescent="0.25">
      <c r="A1000" s="2"/>
      <c r="B1000" s="2"/>
      <c r="C1000" s="2"/>
      <c r="D1000" s="2">
        <f>COUNTIF(contact[[#This Row],[Bagossy]:[Szo
03:00 - 10:00]],"=~?")</f>
        <v>0</v>
      </c>
      <c r="E1000" s="2">
        <f>COUNTIF(contact[[#This Row],[Bagossy]:[Szo
03:00 - 10:00]],"=x")</f>
        <v>0</v>
      </c>
      <c r="F1000" s="2">
        <f>SUM(contact[[#This Row],[?]:[x]])</f>
        <v>0</v>
      </c>
      <c r="G10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0" s="3" t="s">
        <v>2322</v>
      </c>
      <c r="K1000" s="1" t="s">
        <v>2</v>
      </c>
      <c r="L1000" s="1" t="s">
        <v>2</v>
      </c>
      <c r="M1000" s="1" t="s">
        <v>2</v>
      </c>
      <c r="O1000" s="2"/>
      <c r="P1000" s="2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  <row r="1001" spans="1:32" s="1" customFormat="1" ht="20.25" customHeight="1" x14ac:dyDescent="0.25">
      <c r="A1001" s="2"/>
      <c r="B1001" s="2"/>
      <c r="C1001" s="2"/>
      <c r="D1001" s="2">
        <f>COUNTIF(contact[[#This Row],[Bagossy]:[Szo
03:00 - 10:00]],"=~?")</f>
        <v>0</v>
      </c>
      <c r="E1001" s="2">
        <f>COUNTIF(contact[[#This Row],[Bagossy]:[Szo
03:00 - 10:00]],"=x")</f>
        <v>0</v>
      </c>
      <c r="F1001" s="2">
        <f>SUM(contact[[#This Row],[?]:[x]])</f>
        <v>0</v>
      </c>
      <c r="G10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1" s="3" t="s">
        <v>3635</v>
      </c>
      <c r="K1001" s="1" t="s">
        <v>873</v>
      </c>
      <c r="L1001" s="1" t="s">
        <v>2</v>
      </c>
      <c r="M1001" s="1" t="s">
        <v>2</v>
      </c>
      <c r="O1001" s="2"/>
      <c r="P1001" s="2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</row>
    <row r="1002" spans="1:32" s="1" customFormat="1" ht="20.25" customHeight="1" x14ac:dyDescent="0.25">
      <c r="A1002" s="2"/>
      <c r="B1002" s="2"/>
      <c r="C1002" s="2"/>
      <c r="D1002" s="2">
        <f>COUNTIF(contact[[#This Row],[Bagossy]:[Szo
03:00 - 10:00]],"=~?")</f>
        <v>0</v>
      </c>
      <c r="E1002" s="2">
        <f>COUNTIF(contact[[#This Row],[Bagossy]:[Szo
03:00 - 10:00]],"=x")</f>
        <v>0</v>
      </c>
      <c r="F1002" s="2">
        <f>SUM(contact[[#This Row],[?]:[x]])</f>
        <v>0</v>
      </c>
      <c r="G10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02" s="2"/>
      <c r="I1002" s="2"/>
      <c r="J1002" s="3" t="s">
        <v>2942</v>
      </c>
      <c r="K1002" s="1" t="s">
        <v>1524</v>
      </c>
      <c r="L1002" s="1" t="s">
        <v>2</v>
      </c>
      <c r="M1002" s="1" t="s">
        <v>2</v>
      </c>
      <c r="O1002" s="2"/>
      <c r="P1002" s="2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</row>
    <row r="1003" spans="1:32" s="1" customFormat="1" ht="20.25" customHeight="1" x14ac:dyDescent="0.25">
      <c r="A1003" s="2"/>
      <c r="B1003" s="2"/>
      <c r="C1003" s="2"/>
      <c r="D1003" s="2">
        <f>COUNTIF(contact[[#This Row],[Bagossy]:[Szo
03:00 - 10:00]],"=~?")</f>
        <v>0</v>
      </c>
      <c r="E1003" s="2">
        <f>COUNTIF(contact[[#This Row],[Bagossy]:[Szo
03:00 - 10:00]],"=x")</f>
        <v>0</v>
      </c>
      <c r="F1003" s="2">
        <f>SUM(contact[[#This Row],[?]:[x]])</f>
        <v>0</v>
      </c>
      <c r="G10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3" s="3" t="s">
        <v>3258</v>
      </c>
      <c r="K1003" s="1" t="s">
        <v>2</v>
      </c>
      <c r="L1003" s="1" t="s">
        <v>2</v>
      </c>
      <c r="M1003" s="1" t="s">
        <v>2</v>
      </c>
      <c r="O1003" s="2"/>
      <c r="P1003" s="2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</row>
    <row r="1004" spans="1:32" s="1" customFormat="1" ht="20.25" customHeight="1" x14ac:dyDescent="0.25">
      <c r="A1004" s="2"/>
      <c r="B1004" s="2"/>
      <c r="C1004" s="2"/>
      <c r="D1004" s="2">
        <f>COUNTIF(contact[[#This Row],[Bagossy]:[Szo
03:00 - 10:00]],"=~?")</f>
        <v>0</v>
      </c>
      <c r="E1004" s="2">
        <f>COUNTIF(contact[[#This Row],[Bagossy]:[Szo
03:00 - 10:00]],"=x")</f>
        <v>0</v>
      </c>
      <c r="F1004" s="2">
        <f>SUM(contact[[#This Row],[?]:[x]])</f>
        <v>0</v>
      </c>
      <c r="G10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4" s="3" t="s">
        <v>3348</v>
      </c>
      <c r="K1004" s="1" t="s">
        <v>764</v>
      </c>
      <c r="L1004" s="1" t="s">
        <v>2</v>
      </c>
      <c r="M1004" s="1" t="s">
        <v>2</v>
      </c>
      <c r="O1004" s="2"/>
      <c r="P1004" s="2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</row>
    <row r="1005" spans="1:32" s="1" customFormat="1" ht="20.25" customHeight="1" x14ac:dyDescent="0.25">
      <c r="A1005" s="2"/>
      <c r="B1005" s="2"/>
      <c r="C1005" s="2"/>
      <c r="D1005" s="2">
        <f>COUNTIF(contact[[#This Row],[Bagossy]:[Szo
03:00 - 10:00]],"=~?")</f>
        <v>0</v>
      </c>
      <c r="E1005" s="2">
        <f>COUNTIF(contact[[#This Row],[Bagossy]:[Szo
03:00 - 10:00]],"=x")</f>
        <v>0</v>
      </c>
      <c r="F1005" s="2">
        <f>SUM(contact[[#This Row],[?]:[x]])</f>
        <v>0</v>
      </c>
      <c r="G10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5" s="3" t="s">
        <v>3835</v>
      </c>
      <c r="K1005" s="1" t="s">
        <v>2</v>
      </c>
      <c r="L1005" s="1" t="s">
        <v>2</v>
      </c>
      <c r="M1005" s="1" t="s">
        <v>2</v>
      </c>
      <c r="O1005" s="2"/>
      <c r="P1005" s="2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  <row r="1006" spans="1:32" s="1" customFormat="1" ht="20.25" customHeight="1" x14ac:dyDescent="0.25">
      <c r="A1006" s="2"/>
      <c r="B1006" s="2"/>
      <c r="C1006" s="2"/>
      <c r="D1006" s="2">
        <f>COUNTIF(contact[[#This Row],[Bagossy]:[Szo
03:00 - 10:00]],"=~?")</f>
        <v>0</v>
      </c>
      <c r="E1006" s="2">
        <f>COUNTIF(contact[[#This Row],[Bagossy]:[Szo
03:00 - 10:00]],"=x")</f>
        <v>0</v>
      </c>
      <c r="F1006" s="2">
        <f>SUM(contact[[#This Row],[?]:[x]])</f>
        <v>0</v>
      </c>
      <c r="G10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6" s="3" t="s">
        <v>4397</v>
      </c>
      <c r="K1006" s="1" t="s">
        <v>717</v>
      </c>
      <c r="L1006" s="1" t="s">
        <v>2</v>
      </c>
      <c r="M1006" s="1" t="s">
        <v>2</v>
      </c>
      <c r="O1006" s="2"/>
      <c r="P1006" s="2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</row>
    <row r="1007" spans="1:32" s="1" customFormat="1" ht="20.25" customHeight="1" x14ac:dyDescent="0.25">
      <c r="A1007" s="2"/>
      <c r="B1007" s="2"/>
      <c r="C1007" s="2"/>
      <c r="D1007" s="2">
        <f>COUNTIF(contact[[#This Row],[Bagossy]:[Szo
03:00 - 10:00]],"=~?")</f>
        <v>0</v>
      </c>
      <c r="E1007" s="2">
        <f>COUNTIF(contact[[#This Row],[Bagossy]:[Szo
03:00 - 10:00]],"=x")</f>
        <v>0</v>
      </c>
      <c r="F1007" s="2">
        <f>SUM(contact[[#This Row],[?]:[x]])</f>
        <v>0</v>
      </c>
      <c r="G10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7" s="3" t="s">
        <v>2323</v>
      </c>
      <c r="K1007" s="1" t="s">
        <v>1293</v>
      </c>
      <c r="L1007" s="1" t="s">
        <v>2</v>
      </c>
      <c r="M1007" s="1" t="s">
        <v>2</v>
      </c>
      <c r="O1007" s="2"/>
      <c r="P1007" s="2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</row>
    <row r="1008" spans="1:32" s="1" customFormat="1" ht="20.25" customHeight="1" x14ac:dyDescent="0.25">
      <c r="A1008" s="2"/>
      <c r="B1008" s="2"/>
      <c r="C1008" s="2"/>
      <c r="D1008" s="2">
        <f>COUNTIF(contact[[#This Row],[Bagossy]:[Szo
03:00 - 10:00]],"=~?")</f>
        <v>0</v>
      </c>
      <c r="E1008" s="2">
        <f>COUNTIF(contact[[#This Row],[Bagossy]:[Szo
03:00 - 10:00]],"=x")</f>
        <v>0</v>
      </c>
      <c r="F1008" s="2">
        <f>SUM(contact[[#This Row],[?]:[x]])</f>
        <v>0</v>
      </c>
      <c r="G10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8" s="3" t="s">
        <v>4163</v>
      </c>
      <c r="K1008" s="1" t="s">
        <v>1799</v>
      </c>
      <c r="L1008" s="1" t="s">
        <v>2</v>
      </c>
      <c r="M1008" s="1" t="s">
        <v>2</v>
      </c>
      <c r="O1008" s="2"/>
      <c r="P1008" s="2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</row>
    <row r="1009" spans="1:32" s="1" customFormat="1" ht="20.25" customHeight="1" x14ac:dyDescent="0.25">
      <c r="A1009" s="2"/>
      <c r="B1009" s="2"/>
      <c r="C1009" s="2"/>
      <c r="D1009" s="2">
        <f>COUNTIF(contact[[#This Row],[Bagossy]:[Szo
03:00 - 10:00]],"=~?")</f>
        <v>0</v>
      </c>
      <c r="E1009" s="2">
        <f>COUNTIF(contact[[#This Row],[Bagossy]:[Szo
03:00 - 10:00]],"=x")</f>
        <v>0</v>
      </c>
      <c r="F1009" s="2">
        <f>SUM(contact[[#This Row],[?]:[x]])</f>
        <v>0</v>
      </c>
      <c r="G10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09" s="3" t="s">
        <v>2293</v>
      </c>
      <c r="K1009" s="1" t="s">
        <v>2</v>
      </c>
      <c r="L1009" s="1" t="s">
        <v>2</v>
      </c>
      <c r="M1009" s="1" t="s">
        <v>2</v>
      </c>
      <c r="O1009" s="2"/>
      <c r="P1009" s="2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</row>
    <row r="1010" spans="1:32" s="1" customFormat="1" ht="20.25" customHeight="1" x14ac:dyDescent="0.25">
      <c r="A1010" s="2"/>
      <c r="B1010" s="2"/>
      <c r="C1010" s="2"/>
      <c r="D1010" s="2">
        <f>COUNTIF(contact[[#This Row],[Bagossy]:[Szo
03:00 - 10:00]],"=~?")</f>
        <v>0</v>
      </c>
      <c r="E1010" s="2">
        <f>COUNTIF(contact[[#This Row],[Bagossy]:[Szo
03:00 - 10:00]],"=x")</f>
        <v>0</v>
      </c>
      <c r="F1010" s="2">
        <f>SUM(contact[[#This Row],[?]:[x]])</f>
        <v>0</v>
      </c>
      <c r="G10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0" s="3" t="s">
        <v>4407</v>
      </c>
      <c r="K1010" s="1" t="s">
        <v>2</v>
      </c>
      <c r="L1010" s="1" t="s">
        <v>2</v>
      </c>
      <c r="M1010" s="1" t="s">
        <v>2</v>
      </c>
      <c r="O1010" s="2"/>
      <c r="P1010" s="2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</row>
    <row r="1011" spans="1:32" s="1" customFormat="1" ht="20.25" customHeight="1" x14ac:dyDescent="0.25">
      <c r="A1011" s="2"/>
      <c r="B1011" s="2"/>
      <c r="C1011" s="2"/>
      <c r="D1011" s="2">
        <f>COUNTIF(contact[[#This Row],[Bagossy]:[Szo
03:00 - 10:00]],"=~?")</f>
        <v>0</v>
      </c>
      <c r="E1011" s="2">
        <f>COUNTIF(contact[[#This Row],[Bagossy]:[Szo
03:00 - 10:00]],"=x")</f>
        <v>0</v>
      </c>
      <c r="F1011" s="2">
        <f>SUM(contact[[#This Row],[?]:[x]])</f>
        <v>0</v>
      </c>
      <c r="G10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1" s="3" t="s">
        <v>4335</v>
      </c>
      <c r="K1011" s="1" t="s">
        <v>1203</v>
      </c>
      <c r="L1011" s="1" t="s">
        <v>2</v>
      </c>
      <c r="M1011" s="1" t="s">
        <v>2</v>
      </c>
      <c r="O1011" s="2"/>
      <c r="P1011" s="2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</row>
    <row r="1012" spans="1:32" s="1" customFormat="1" ht="20.25" customHeight="1" x14ac:dyDescent="0.25">
      <c r="A1012" s="2"/>
      <c r="B1012" s="2"/>
      <c r="C1012" s="2"/>
      <c r="D1012" s="2">
        <f>COUNTIF(contact[[#This Row],[Bagossy]:[Szo
03:00 - 10:00]],"=~?")</f>
        <v>0</v>
      </c>
      <c r="E1012" s="2">
        <f>COUNTIF(contact[[#This Row],[Bagossy]:[Szo
03:00 - 10:00]],"=x")</f>
        <v>0</v>
      </c>
      <c r="F1012" s="2">
        <f>SUM(contact[[#This Row],[?]:[x]])</f>
        <v>0</v>
      </c>
      <c r="G10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2" s="3" t="s">
        <v>590</v>
      </c>
      <c r="K1012" s="1" t="s">
        <v>2</v>
      </c>
      <c r="L1012" s="1" t="s">
        <v>2</v>
      </c>
      <c r="M1012" s="1" t="s">
        <v>2</v>
      </c>
      <c r="O1012" s="2"/>
      <c r="P1012" s="2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</row>
    <row r="1013" spans="1:32" s="1" customFormat="1" ht="20.25" customHeight="1" x14ac:dyDescent="0.25">
      <c r="A1013" s="2"/>
      <c r="B1013" s="2"/>
      <c r="C1013" s="2"/>
      <c r="D1013" s="2">
        <f>COUNTIF(contact[[#This Row],[Bagossy]:[Szo
03:00 - 10:00]],"=~?")</f>
        <v>0</v>
      </c>
      <c r="E1013" s="2">
        <f>COUNTIF(contact[[#This Row],[Bagossy]:[Szo
03:00 - 10:00]],"=x")</f>
        <v>0</v>
      </c>
      <c r="F1013" s="2">
        <f>SUM(contact[[#This Row],[?]:[x]])</f>
        <v>0</v>
      </c>
      <c r="G10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3" s="3" t="s">
        <v>2611</v>
      </c>
      <c r="K1013" s="1" t="s">
        <v>410</v>
      </c>
      <c r="L1013" s="1" t="s">
        <v>2</v>
      </c>
      <c r="M1013" s="1" t="s">
        <v>2</v>
      </c>
      <c r="O1013" s="2"/>
      <c r="P1013" s="2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</row>
    <row r="1014" spans="1:32" s="1" customFormat="1" ht="20.25" customHeight="1" x14ac:dyDescent="0.25">
      <c r="A1014" s="2"/>
      <c r="B1014" s="2"/>
      <c r="C1014" s="2"/>
      <c r="D1014" s="2">
        <f>COUNTIF(contact[[#This Row],[Bagossy]:[Szo
03:00 - 10:00]],"=~?")</f>
        <v>0</v>
      </c>
      <c r="E1014" s="2">
        <f>COUNTIF(contact[[#This Row],[Bagossy]:[Szo
03:00 - 10:00]],"=x")</f>
        <v>0</v>
      </c>
      <c r="F1014" s="2">
        <f>SUM(contact[[#This Row],[?]:[x]])</f>
        <v>0</v>
      </c>
      <c r="G10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14" s="2"/>
      <c r="I1014" s="2"/>
      <c r="J1014" s="3" t="s">
        <v>2944</v>
      </c>
      <c r="K1014" s="1" t="s">
        <v>501</v>
      </c>
      <c r="L1014" s="1" t="s">
        <v>2</v>
      </c>
      <c r="M1014" s="1" t="s">
        <v>2</v>
      </c>
      <c r="O1014" s="2"/>
      <c r="P1014" s="2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</row>
    <row r="1015" spans="1:32" s="1" customFormat="1" ht="20.25" customHeight="1" x14ac:dyDescent="0.25">
      <c r="A1015" s="2"/>
      <c r="B1015" s="2"/>
      <c r="C1015" s="2"/>
      <c r="D1015" s="2">
        <f>COUNTIF(contact[[#This Row],[Bagossy]:[Szo
03:00 - 10:00]],"=~?")</f>
        <v>0</v>
      </c>
      <c r="E1015" s="2">
        <f>COUNTIF(contact[[#This Row],[Bagossy]:[Szo
03:00 - 10:00]],"=x")</f>
        <v>0</v>
      </c>
      <c r="F1015" s="2">
        <f>SUM(contact[[#This Row],[?]:[x]])</f>
        <v>0</v>
      </c>
      <c r="G10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5" s="3" t="s">
        <v>3349</v>
      </c>
      <c r="K1015" s="1" t="s">
        <v>765</v>
      </c>
      <c r="L1015" s="1" t="s">
        <v>2</v>
      </c>
      <c r="M1015" s="1" t="s">
        <v>2</v>
      </c>
      <c r="O1015" s="2"/>
      <c r="P1015" s="2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</row>
    <row r="1016" spans="1:32" s="1" customFormat="1" ht="20.25" customHeight="1" x14ac:dyDescent="0.25">
      <c r="A1016" s="2"/>
      <c r="B1016" s="2"/>
      <c r="C1016" s="2"/>
      <c r="D1016" s="2">
        <f>COUNTIF(contact[[#This Row],[Bagossy]:[Szo
03:00 - 10:00]],"=~?")</f>
        <v>0</v>
      </c>
      <c r="E1016" s="2">
        <f>COUNTIF(contact[[#This Row],[Bagossy]:[Szo
03:00 - 10:00]],"=x")</f>
        <v>0</v>
      </c>
      <c r="F1016" s="2">
        <f>SUM(contact[[#This Row],[?]:[x]])</f>
        <v>0</v>
      </c>
      <c r="G10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6" s="3" t="s">
        <v>595</v>
      </c>
      <c r="K1016" s="1" t="s">
        <v>2</v>
      </c>
      <c r="L1016" s="1" t="s">
        <v>2</v>
      </c>
      <c r="M1016" s="1" t="s">
        <v>2</v>
      </c>
      <c r="O1016" s="2"/>
      <c r="P1016" s="2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</row>
    <row r="1017" spans="1:32" s="1" customFormat="1" ht="20.25" customHeight="1" x14ac:dyDescent="0.25">
      <c r="A1017" s="2"/>
      <c r="B1017" s="2"/>
      <c r="C1017" s="2"/>
      <c r="D1017" s="2">
        <f>COUNTIF(contact[[#This Row],[Bagossy]:[Szo
03:00 - 10:00]],"=~?")</f>
        <v>0</v>
      </c>
      <c r="E1017" s="2">
        <f>COUNTIF(contact[[#This Row],[Bagossy]:[Szo
03:00 - 10:00]],"=x")</f>
        <v>0</v>
      </c>
      <c r="F1017" s="2">
        <f>SUM(contact[[#This Row],[?]:[x]])</f>
        <v>0</v>
      </c>
      <c r="G10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7" s="3" t="s">
        <v>594</v>
      </c>
      <c r="K1017" s="1" t="s">
        <v>2</v>
      </c>
      <c r="L1017" s="1" t="s">
        <v>2</v>
      </c>
      <c r="M1017" s="1" t="s">
        <v>2</v>
      </c>
      <c r="O1017" s="2"/>
      <c r="P1017" s="2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</row>
    <row r="1018" spans="1:32" s="1" customFormat="1" ht="20.25" customHeight="1" x14ac:dyDescent="0.25">
      <c r="A1018" s="2"/>
      <c r="B1018" s="2"/>
      <c r="C1018" s="2"/>
      <c r="D1018" s="2">
        <f>COUNTIF(contact[[#This Row],[Bagossy]:[Szo
03:00 - 10:00]],"=~?")</f>
        <v>0</v>
      </c>
      <c r="E1018" s="2">
        <f>COUNTIF(contact[[#This Row],[Bagossy]:[Szo
03:00 - 10:00]],"=x")</f>
        <v>0</v>
      </c>
      <c r="F1018" s="2">
        <f>SUM(contact[[#This Row],[?]:[x]])</f>
        <v>0</v>
      </c>
      <c r="G10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8" s="3" t="s">
        <v>2614</v>
      </c>
      <c r="K1018" s="1" t="s">
        <v>2</v>
      </c>
      <c r="L1018" s="1" t="s">
        <v>2</v>
      </c>
      <c r="M1018" s="1" t="s">
        <v>2</v>
      </c>
      <c r="O1018" s="2"/>
      <c r="P1018" s="2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</row>
    <row r="1019" spans="1:32" s="1" customFormat="1" ht="20.25" customHeight="1" x14ac:dyDescent="0.25">
      <c r="A1019" s="2"/>
      <c r="B1019" s="2"/>
      <c r="C1019" s="2"/>
      <c r="D1019" s="2">
        <f>COUNTIF(contact[[#This Row],[Bagossy]:[Szo
03:00 - 10:00]],"=~?")</f>
        <v>0</v>
      </c>
      <c r="E1019" s="2">
        <f>COUNTIF(contact[[#This Row],[Bagossy]:[Szo
03:00 - 10:00]],"=x")</f>
        <v>0</v>
      </c>
      <c r="F1019" s="2">
        <f>SUM(contact[[#This Row],[?]:[x]])</f>
        <v>0</v>
      </c>
      <c r="G10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19" s="3" t="s">
        <v>4274</v>
      </c>
      <c r="K1019" s="1" t="s">
        <v>2</v>
      </c>
      <c r="L1019" s="1" t="s">
        <v>2</v>
      </c>
      <c r="M1019" s="1" t="s">
        <v>2</v>
      </c>
      <c r="O1019" s="2"/>
      <c r="P1019" s="2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</row>
    <row r="1020" spans="1:32" s="1" customFormat="1" ht="20.25" customHeight="1" x14ac:dyDescent="0.25">
      <c r="A1020" s="2"/>
      <c r="B1020" s="2"/>
      <c r="C1020" s="2"/>
      <c r="D1020" s="2">
        <f>COUNTIF(contact[[#This Row],[Bagossy]:[Szo
03:00 - 10:00]],"=~?")</f>
        <v>0</v>
      </c>
      <c r="E1020" s="2">
        <f>COUNTIF(contact[[#This Row],[Bagossy]:[Szo
03:00 - 10:00]],"=x")</f>
        <v>0</v>
      </c>
      <c r="F1020" s="2">
        <f>SUM(contact[[#This Row],[?]:[x]])</f>
        <v>0</v>
      </c>
      <c r="G10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0" s="3" t="s">
        <v>4348</v>
      </c>
      <c r="K1020" s="1" t="s">
        <v>1303</v>
      </c>
      <c r="L1020" s="1" t="s">
        <v>2</v>
      </c>
      <c r="M1020" s="1" t="s">
        <v>2</v>
      </c>
      <c r="O1020" s="2"/>
      <c r="P1020" s="2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</row>
    <row r="1021" spans="1:32" s="1" customFormat="1" ht="20.25" customHeight="1" x14ac:dyDescent="0.25">
      <c r="A1021" s="2"/>
      <c r="B1021" s="2"/>
      <c r="C1021" s="2"/>
      <c r="D1021" s="2">
        <f>COUNTIF(contact[[#This Row],[Bagossy]:[Szo
03:00 - 10:00]],"=~?")</f>
        <v>0</v>
      </c>
      <c r="E1021" s="2">
        <f>COUNTIF(contact[[#This Row],[Bagossy]:[Szo
03:00 - 10:00]],"=x")</f>
        <v>0</v>
      </c>
      <c r="F1021" s="2">
        <f>SUM(contact[[#This Row],[?]:[x]])</f>
        <v>0</v>
      </c>
      <c r="G10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1" s="3" t="s">
        <v>596</v>
      </c>
      <c r="K1021" s="1" t="s">
        <v>2</v>
      </c>
      <c r="L1021" s="1" t="s">
        <v>2</v>
      </c>
      <c r="M1021" s="1" t="s">
        <v>2</v>
      </c>
      <c r="O1021" s="2"/>
      <c r="P1021" s="2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</row>
    <row r="1022" spans="1:32" s="1" customFormat="1" ht="20.25" customHeight="1" x14ac:dyDescent="0.25">
      <c r="A1022" s="2"/>
      <c r="B1022" s="2"/>
      <c r="C1022" s="2"/>
      <c r="D1022" s="2">
        <f>COUNTIF(contact[[#This Row],[Bagossy]:[Szo
03:00 - 10:00]],"=~?")</f>
        <v>0</v>
      </c>
      <c r="E1022" s="2">
        <f>COUNTIF(contact[[#This Row],[Bagossy]:[Szo
03:00 - 10:00]],"=x")</f>
        <v>0</v>
      </c>
      <c r="F1022" s="2">
        <f>SUM(contact[[#This Row],[?]:[x]])</f>
        <v>0</v>
      </c>
      <c r="G10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2" s="3" t="s">
        <v>4535</v>
      </c>
      <c r="K1022" s="1" t="s">
        <v>2</v>
      </c>
      <c r="L1022" s="1" t="s">
        <v>2</v>
      </c>
      <c r="M1022" s="1" t="s">
        <v>2</v>
      </c>
      <c r="O1022" s="2"/>
      <c r="P1022" s="2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</row>
    <row r="1023" spans="1:32" s="1" customFormat="1" ht="20.25" customHeight="1" x14ac:dyDescent="0.25">
      <c r="A1023" s="2"/>
      <c r="B1023" s="2"/>
      <c r="C1023" s="2"/>
      <c r="D1023" s="2">
        <f>COUNTIF(contact[[#This Row],[Bagossy]:[Szo
03:00 - 10:00]],"=~?")</f>
        <v>0</v>
      </c>
      <c r="E1023" s="2">
        <f>COUNTIF(contact[[#This Row],[Bagossy]:[Szo
03:00 - 10:00]],"=x")</f>
        <v>0</v>
      </c>
      <c r="F1023" s="2">
        <f>SUM(contact[[#This Row],[?]:[x]])</f>
        <v>0</v>
      </c>
      <c r="G10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3" s="3" t="s">
        <v>3016</v>
      </c>
      <c r="K1023" s="1" t="s">
        <v>603</v>
      </c>
      <c r="L1023" s="1" t="s">
        <v>2</v>
      </c>
      <c r="M1023" s="1" t="s">
        <v>2</v>
      </c>
      <c r="O1023" s="2"/>
      <c r="P1023" s="2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</row>
    <row r="1024" spans="1:32" s="1" customFormat="1" ht="20.25" customHeight="1" x14ac:dyDescent="0.25">
      <c r="A1024" s="2"/>
      <c r="B1024" s="2"/>
      <c r="C1024" s="2"/>
      <c r="D1024" s="2">
        <f>COUNTIF(contact[[#This Row],[Bagossy]:[Szo
03:00 - 10:00]],"=~?")</f>
        <v>0</v>
      </c>
      <c r="E1024" s="2">
        <f>COUNTIF(contact[[#This Row],[Bagossy]:[Szo
03:00 - 10:00]],"=x")</f>
        <v>0</v>
      </c>
      <c r="F1024" s="2">
        <f>SUM(contact[[#This Row],[?]:[x]])</f>
        <v>0</v>
      </c>
      <c r="G10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4" s="3" t="s">
        <v>2597</v>
      </c>
      <c r="K1024" s="1" t="s">
        <v>402</v>
      </c>
      <c r="L1024" s="1" t="s">
        <v>2</v>
      </c>
      <c r="M1024" s="1" t="s">
        <v>2</v>
      </c>
      <c r="O1024" s="2"/>
      <c r="P1024" s="2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</row>
    <row r="1025" spans="1:32" s="1" customFormat="1" ht="20.25" customHeight="1" x14ac:dyDescent="0.25">
      <c r="A1025" s="2"/>
      <c r="B1025" s="2"/>
      <c r="C1025" s="2"/>
      <c r="D1025" s="2">
        <f>COUNTIF(contact[[#This Row],[Bagossy]:[Szo
03:00 - 10:00]],"=~?")</f>
        <v>0</v>
      </c>
      <c r="E1025" s="2">
        <f>COUNTIF(contact[[#This Row],[Bagossy]:[Szo
03:00 - 10:00]],"=x")</f>
        <v>0</v>
      </c>
      <c r="F1025" s="2">
        <f>SUM(contact[[#This Row],[?]:[x]])</f>
        <v>0</v>
      </c>
      <c r="G10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5" s="3" t="s">
        <v>2810</v>
      </c>
      <c r="K1025" s="1" t="s">
        <v>506</v>
      </c>
      <c r="L1025" s="1" t="s">
        <v>2</v>
      </c>
      <c r="M1025" s="1" t="s">
        <v>2</v>
      </c>
      <c r="O1025" s="2"/>
      <c r="P1025" s="2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</row>
    <row r="1026" spans="1:32" s="1" customFormat="1" ht="20.25" customHeight="1" x14ac:dyDescent="0.25">
      <c r="A1026" s="2"/>
      <c r="B1026" s="2"/>
      <c r="C1026" s="2"/>
      <c r="D1026" s="2">
        <f>COUNTIF(contact[[#This Row],[Bagossy]:[Szo
03:00 - 10:00]],"=~?")</f>
        <v>0</v>
      </c>
      <c r="E1026" s="2">
        <f>COUNTIF(contact[[#This Row],[Bagossy]:[Szo
03:00 - 10:00]],"=x")</f>
        <v>0</v>
      </c>
      <c r="F1026" s="2">
        <f>SUM(contact[[#This Row],[?]:[x]])</f>
        <v>0</v>
      </c>
      <c r="G10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6" s="3" t="s">
        <v>2908</v>
      </c>
      <c r="K1026" s="1" t="s">
        <v>551</v>
      </c>
      <c r="L1026" s="1" t="s">
        <v>2</v>
      </c>
      <c r="M1026" s="1" t="s">
        <v>2</v>
      </c>
      <c r="O1026" s="2"/>
      <c r="P1026" s="2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</row>
    <row r="1027" spans="1:32" s="1" customFormat="1" ht="20.25" customHeight="1" x14ac:dyDescent="0.25">
      <c r="A1027" s="2"/>
      <c r="B1027" s="2"/>
      <c r="C1027" s="2"/>
      <c r="D1027" s="2">
        <f>COUNTIF(contact[[#This Row],[Bagossy]:[Szo
03:00 - 10:00]],"=~?")</f>
        <v>0</v>
      </c>
      <c r="E1027" s="2">
        <f>COUNTIF(contact[[#This Row],[Bagossy]:[Szo
03:00 - 10:00]],"=x")</f>
        <v>0</v>
      </c>
      <c r="F1027" s="2">
        <f>SUM(contact[[#This Row],[?]:[x]])</f>
        <v>0</v>
      </c>
      <c r="G10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7" s="3" t="s">
        <v>2325</v>
      </c>
      <c r="K1027" s="1" t="s">
        <v>1390</v>
      </c>
      <c r="L1027" s="1" t="s">
        <v>2</v>
      </c>
      <c r="M1027" s="1" t="s">
        <v>2</v>
      </c>
      <c r="O1027" s="2"/>
      <c r="P1027" s="2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</row>
    <row r="1028" spans="1:32" s="1" customFormat="1" ht="20.25" customHeight="1" x14ac:dyDescent="0.25">
      <c r="A1028" s="2"/>
      <c r="B1028" s="2"/>
      <c r="C1028" s="2"/>
      <c r="D1028" s="2">
        <f>COUNTIF(contact[[#This Row],[Bagossy]:[Szo
03:00 - 10:00]],"=~?")</f>
        <v>0</v>
      </c>
      <c r="E1028" s="2">
        <f>COUNTIF(contact[[#This Row],[Bagossy]:[Szo
03:00 - 10:00]],"=x")</f>
        <v>0</v>
      </c>
      <c r="F1028" s="2">
        <f>SUM(contact[[#This Row],[?]:[x]])</f>
        <v>0</v>
      </c>
      <c r="G10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8" s="3" t="s">
        <v>3199</v>
      </c>
      <c r="K1028" s="1" t="s">
        <v>1590</v>
      </c>
      <c r="L1028" s="1" t="s">
        <v>2</v>
      </c>
      <c r="M1028" s="1" t="s">
        <v>2</v>
      </c>
      <c r="O1028" s="2"/>
      <c r="P1028" s="2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</row>
    <row r="1029" spans="1:32" s="1" customFormat="1" ht="20.25" customHeight="1" x14ac:dyDescent="0.25">
      <c r="A1029" s="2"/>
      <c r="B1029" s="2"/>
      <c r="C1029" s="2"/>
      <c r="D1029" s="2">
        <f>COUNTIF(contact[[#This Row],[Bagossy]:[Szo
03:00 - 10:00]],"=~?")</f>
        <v>0</v>
      </c>
      <c r="E1029" s="2">
        <f>COUNTIF(contact[[#This Row],[Bagossy]:[Szo
03:00 - 10:00]],"=x")</f>
        <v>0</v>
      </c>
      <c r="F1029" s="2">
        <f>SUM(contact[[#This Row],[?]:[x]])</f>
        <v>0</v>
      </c>
      <c r="G10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29" s="3" t="s">
        <v>3226</v>
      </c>
      <c r="K1029" s="1" t="s">
        <v>698</v>
      </c>
      <c r="L1029" s="1" t="s">
        <v>2</v>
      </c>
      <c r="M1029" s="1" t="s">
        <v>2</v>
      </c>
      <c r="O1029" s="2"/>
      <c r="P1029" s="2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</row>
    <row r="1030" spans="1:32" s="1" customFormat="1" ht="20.25" customHeight="1" x14ac:dyDescent="0.25">
      <c r="A1030" s="2"/>
      <c r="B1030" s="2"/>
      <c r="C1030" s="2"/>
      <c r="D1030" s="2">
        <f>COUNTIF(contact[[#This Row],[Bagossy]:[Szo
03:00 - 10:00]],"=~?")</f>
        <v>0</v>
      </c>
      <c r="E1030" s="2">
        <f>COUNTIF(contact[[#This Row],[Bagossy]:[Szo
03:00 - 10:00]],"=x")</f>
        <v>0</v>
      </c>
      <c r="F1030" s="2">
        <f>SUM(contact[[#This Row],[?]:[x]])</f>
        <v>0</v>
      </c>
      <c r="G10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30" s="2"/>
      <c r="I1030" s="2"/>
      <c r="J1030" s="3" t="s">
        <v>2951</v>
      </c>
      <c r="K1030" s="1" t="s">
        <v>1526</v>
      </c>
      <c r="L1030" s="1" t="s">
        <v>2</v>
      </c>
      <c r="M1030" s="1" t="s">
        <v>2</v>
      </c>
      <c r="O1030" s="2"/>
      <c r="P1030" s="2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</row>
    <row r="1031" spans="1:32" s="1" customFormat="1" ht="20.25" customHeight="1" x14ac:dyDescent="0.25">
      <c r="A1031" s="2"/>
      <c r="B1031" s="2"/>
      <c r="C1031" s="2"/>
      <c r="D1031" s="2">
        <f>COUNTIF(contact[[#This Row],[Bagossy]:[Szo
03:00 - 10:00]],"=~?")</f>
        <v>0</v>
      </c>
      <c r="E1031" s="2">
        <f>COUNTIF(contact[[#This Row],[Bagossy]:[Szo
03:00 - 10:00]],"=x")</f>
        <v>0</v>
      </c>
      <c r="F1031" s="2">
        <f>SUM(contact[[#This Row],[?]:[x]])</f>
        <v>0</v>
      </c>
      <c r="G10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1" s="3" t="s">
        <v>1920</v>
      </c>
      <c r="K1031" s="1" t="s">
        <v>18</v>
      </c>
      <c r="L1031" s="1" t="s">
        <v>2</v>
      </c>
      <c r="M1031" s="1" t="s">
        <v>2</v>
      </c>
      <c r="O1031" s="2"/>
      <c r="P1031" s="2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</row>
    <row r="1032" spans="1:32" s="1" customFormat="1" ht="20.25" customHeight="1" x14ac:dyDescent="0.25">
      <c r="A1032" s="2"/>
      <c r="B1032" s="2"/>
      <c r="C1032" s="2"/>
      <c r="D1032" s="2">
        <f>COUNTIF(contact[[#This Row],[Bagossy]:[Szo
03:00 - 10:00]],"=~?")</f>
        <v>0</v>
      </c>
      <c r="E1032" s="2">
        <f>COUNTIF(contact[[#This Row],[Bagossy]:[Szo
03:00 - 10:00]],"=x")</f>
        <v>0</v>
      </c>
      <c r="F1032" s="2">
        <f>SUM(contact[[#This Row],[?]:[x]])</f>
        <v>0</v>
      </c>
      <c r="G10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2" s="3" t="s">
        <v>3765</v>
      </c>
      <c r="K1032" s="1" t="s">
        <v>78</v>
      </c>
      <c r="L1032" s="1" t="s">
        <v>2</v>
      </c>
      <c r="M1032" s="1" t="s">
        <v>2</v>
      </c>
      <c r="O1032" s="2"/>
      <c r="P1032" s="2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</row>
    <row r="1033" spans="1:32" s="1" customFormat="1" ht="20.25" customHeight="1" x14ac:dyDescent="0.25">
      <c r="A1033" s="2"/>
      <c r="B1033" s="2"/>
      <c r="C1033" s="2"/>
      <c r="D1033" s="2">
        <f>COUNTIF(contact[[#This Row],[Bagossy]:[Szo
03:00 - 10:00]],"=~?")</f>
        <v>0</v>
      </c>
      <c r="E1033" s="2">
        <f>COUNTIF(contact[[#This Row],[Bagossy]:[Szo
03:00 - 10:00]],"=x")</f>
        <v>0</v>
      </c>
      <c r="F1033" s="2">
        <f>SUM(contact[[#This Row],[?]:[x]])</f>
        <v>0</v>
      </c>
      <c r="G10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3" s="3" t="s">
        <v>2989</v>
      </c>
      <c r="K1033" s="1" t="s">
        <v>2</v>
      </c>
      <c r="L1033" s="1" t="s">
        <v>2</v>
      </c>
      <c r="M1033" s="1" t="s">
        <v>2</v>
      </c>
      <c r="O1033" s="2"/>
      <c r="P1033" s="2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</row>
    <row r="1034" spans="1:32" s="1" customFormat="1" ht="20.25" customHeight="1" x14ac:dyDescent="0.25">
      <c r="A1034" s="2"/>
      <c r="B1034" s="2"/>
      <c r="C1034" s="2"/>
      <c r="D1034" s="2">
        <f>COUNTIF(contact[[#This Row],[Bagossy]:[Szo
03:00 - 10:00]],"=~?")</f>
        <v>0</v>
      </c>
      <c r="E1034" s="2">
        <f>COUNTIF(contact[[#This Row],[Bagossy]:[Szo
03:00 - 10:00]],"=x")</f>
        <v>0</v>
      </c>
      <c r="F1034" s="2">
        <f>SUM(contact[[#This Row],[?]:[x]])</f>
        <v>0</v>
      </c>
      <c r="G10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4" s="3" t="s">
        <v>2095</v>
      </c>
      <c r="K1034" s="1" t="s">
        <v>1334</v>
      </c>
      <c r="L1034" s="1" t="s">
        <v>2</v>
      </c>
      <c r="M1034" s="1" t="s">
        <v>2</v>
      </c>
      <c r="O1034" s="2"/>
      <c r="P1034" s="2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</row>
    <row r="1035" spans="1:32" s="1" customFormat="1" ht="20.25" customHeight="1" x14ac:dyDescent="0.25">
      <c r="A1035" s="2"/>
      <c r="B1035" s="2"/>
      <c r="C1035" s="2"/>
      <c r="D1035" s="2">
        <f>COUNTIF(contact[[#This Row],[Bagossy]:[Szo
03:00 - 10:00]],"=~?")</f>
        <v>0</v>
      </c>
      <c r="E1035" s="2">
        <f>COUNTIF(contact[[#This Row],[Bagossy]:[Szo
03:00 - 10:00]],"=x")</f>
        <v>0</v>
      </c>
      <c r="F1035" s="2">
        <f>SUM(contact[[#This Row],[?]:[x]])</f>
        <v>0</v>
      </c>
      <c r="G10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35" s="2"/>
      <c r="I1035" s="2"/>
      <c r="J1035" s="3" t="s">
        <v>2960</v>
      </c>
      <c r="K1035" s="1" t="s">
        <v>191</v>
      </c>
      <c r="L1035" s="1" t="s">
        <v>2</v>
      </c>
      <c r="M1035" s="1" t="s">
        <v>2</v>
      </c>
      <c r="O1035" s="2"/>
      <c r="P1035" s="2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</row>
    <row r="1036" spans="1:32" s="1" customFormat="1" ht="20.25" customHeight="1" x14ac:dyDescent="0.25">
      <c r="A1036" s="2"/>
      <c r="B1036" s="2"/>
      <c r="C1036" s="2"/>
      <c r="D1036" s="2">
        <f>COUNTIF(contact[[#This Row],[Bagossy]:[Szo
03:00 - 10:00]],"=~?")</f>
        <v>0</v>
      </c>
      <c r="E1036" s="2">
        <f>COUNTIF(contact[[#This Row],[Bagossy]:[Szo
03:00 - 10:00]],"=x")</f>
        <v>0</v>
      </c>
      <c r="F1036" s="2">
        <f>SUM(contact[[#This Row],[?]:[x]])</f>
        <v>0</v>
      </c>
      <c r="G10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6" s="3" t="s">
        <v>2326</v>
      </c>
      <c r="K1036" s="1" t="s">
        <v>2</v>
      </c>
      <c r="L1036" s="1" t="s">
        <v>2</v>
      </c>
      <c r="M1036" s="1" t="s">
        <v>2</v>
      </c>
      <c r="O1036" s="2"/>
      <c r="P1036" s="2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</row>
    <row r="1037" spans="1:32" s="1" customFormat="1" ht="20.25" customHeight="1" x14ac:dyDescent="0.25">
      <c r="A1037" s="2"/>
      <c r="B1037" s="2"/>
      <c r="C1037" s="2"/>
      <c r="D1037" s="2">
        <f>COUNTIF(contact[[#This Row],[Bagossy]:[Szo
03:00 - 10:00]],"=~?")</f>
        <v>0</v>
      </c>
      <c r="E1037" s="2">
        <f>COUNTIF(contact[[#This Row],[Bagossy]:[Szo
03:00 - 10:00]],"=x")</f>
        <v>0</v>
      </c>
      <c r="F1037" s="2">
        <f>SUM(contact[[#This Row],[?]:[x]])</f>
        <v>0</v>
      </c>
      <c r="G10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7" s="3" t="s">
        <v>3052</v>
      </c>
      <c r="K1037" s="1" t="s">
        <v>623</v>
      </c>
      <c r="L1037" s="1" t="s">
        <v>2</v>
      </c>
      <c r="M1037" s="1" t="s">
        <v>2</v>
      </c>
      <c r="O1037" s="2"/>
      <c r="P1037" s="2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</row>
    <row r="1038" spans="1:32" s="1" customFormat="1" ht="20.25" customHeight="1" x14ac:dyDescent="0.25">
      <c r="A1038" s="2"/>
      <c r="B1038" s="2"/>
      <c r="C1038" s="2"/>
      <c r="D1038" s="2">
        <f>COUNTIF(contact[[#This Row],[Bagossy]:[Szo
03:00 - 10:00]],"=~?")</f>
        <v>0</v>
      </c>
      <c r="E1038" s="2">
        <f>COUNTIF(contact[[#This Row],[Bagossy]:[Szo
03:00 - 10:00]],"=x")</f>
        <v>0</v>
      </c>
      <c r="F1038" s="2">
        <f>SUM(contact[[#This Row],[?]:[x]])</f>
        <v>0</v>
      </c>
      <c r="G10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8" s="3" t="s">
        <v>3935</v>
      </c>
      <c r="K1038" s="1" t="s">
        <v>1015</v>
      </c>
      <c r="L1038" s="1" t="s">
        <v>2</v>
      </c>
      <c r="M1038" s="1" t="s">
        <v>2</v>
      </c>
      <c r="O1038" s="2"/>
      <c r="P1038" s="2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</row>
    <row r="1039" spans="1:32" s="1" customFormat="1" ht="20.25" customHeight="1" x14ac:dyDescent="0.25">
      <c r="A1039" s="2"/>
      <c r="B1039" s="2"/>
      <c r="C1039" s="2"/>
      <c r="D1039" s="2">
        <f>COUNTIF(contact[[#This Row],[Bagossy]:[Szo
03:00 - 10:00]],"=~?")</f>
        <v>0</v>
      </c>
      <c r="E1039" s="2">
        <f>COUNTIF(contact[[#This Row],[Bagossy]:[Szo
03:00 - 10:00]],"=x")</f>
        <v>0</v>
      </c>
      <c r="F1039" s="2">
        <f>SUM(contact[[#This Row],[?]:[x]])</f>
        <v>0</v>
      </c>
      <c r="G10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39" s="3" t="s">
        <v>4458</v>
      </c>
      <c r="K1039" s="1" t="s">
        <v>1864</v>
      </c>
      <c r="L1039" s="1" t="s">
        <v>2</v>
      </c>
      <c r="M1039" s="1" t="s">
        <v>2</v>
      </c>
      <c r="O1039" s="2"/>
      <c r="P1039" s="2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</row>
    <row r="1040" spans="1:32" s="1" customFormat="1" ht="20.25" customHeight="1" x14ac:dyDescent="0.25">
      <c r="A1040" s="2"/>
      <c r="B1040" s="2"/>
      <c r="C1040" s="2"/>
      <c r="D1040" s="2">
        <f>COUNTIF(contact[[#This Row],[Bagossy]:[Szo
03:00 - 10:00]],"=~?")</f>
        <v>0</v>
      </c>
      <c r="E1040" s="2">
        <f>COUNTIF(contact[[#This Row],[Bagossy]:[Szo
03:00 - 10:00]],"=x")</f>
        <v>0</v>
      </c>
      <c r="F1040" s="2">
        <f>SUM(contact[[#This Row],[?]:[x]])</f>
        <v>0</v>
      </c>
      <c r="G10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0" s="3" t="s">
        <v>3725</v>
      </c>
      <c r="K1040" s="1" t="s">
        <v>2</v>
      </c>
      <c r="L1040" s="1" t="s">
        <v>2</v>
      </c>
      <c r="M1040" s="1" t="s">
        <v>2</v>
      </c>
      <c r="O1040" s="2"/>
      <c r="P1040" s="2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</row>
    <row r="1041" spans="1:32" s="1" customFormat="1" ht="20.25" customHeight="1" x14ac:dyDescent="0.25">
      <c r="A1041" s="2"/>
      <c r="B1041" s="2"/>
      <c r="C1041" s="2"/>
      <c r="D1041" s="2">
        <f>COUNTIF(contact[[#This Row],[Bagossy]:[Szo
03:00 - 10:00]],"=~?")</f>
        <v>0</v>
      </c>
      <c r="E1041" s="2">
        <f>COUNTIF(contact[[#This Row],[Bagossy]:[Szo
03:00 - 10:00]],"=x")</f>
        <v>0</v>
      </c>
      <c r="F1041" s="2">
        <f>SUM(contact[[#This Row],[?]:[x]])</f>
        <v>0</v>
      </c>
      <c r="G10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1" s="3" t="s">
        <v>2579</v>
      </c>
      <c r="K1041" s="1" t="s">
        <v>388</v>
      </c>
      <c r="L1041" s="1" t="s">
        <v>2</v>
      </c>
      <c r="M1041" s="1" t="s">
        <v>2</v>
      </c>
      <c r="O1041" s="2"/>
      <c r="P1041" s="2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</row>
    <row r="1042" spans="1:32" s="1" customFormat="1" ht="20.25" customHeight="1" x14ac:dyDescent="0.25">
      <c r="A1042" s="2"/>
      <c r="B1042" s="2"/>
      <c r="C1042" s="2"/>
      <c r="D1042" s="2">
        <f>COUNTIF(contact[[#This Row],[Bagossy]:[Szo
03:00 - 10:00]],"=~?")</f>
        <v>0</v>
      </c>
      <c r="E1042" s="2">
        <f>COUNTIF(contact[[#This Row],[Bagossy]:[Szo
03:00 - 10:00]],"=x")</f>
        <v>0</v>
      </c>
      <c r="F1042" s="2">
        <f>SUM(contact[[#This Row],[?]:[x]])</f>
        <v>0</v>
      </c>
      <c r="G10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2" s="3" t="s">
        <v>3026</v>
      </c>
      <c r="K1042" s="1" t="s">
        <v>1546</v>
      </c>
      <c r="L1042" s="1" t="s">
        <v>2</v>
      </c>
      <c r="M1042" s="1" t="s">
        <v>2</v>
      </c>
      <c r="O1042" s="2"/>
      <c r="P1042" s="2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</row>
    <row r="1043" spans="1:32" s="1" customFormat="1" ht="20.25" customHeight="1" x14ac:dyDescent="0.25">
      <c r="A1043" s="2"/>
      <c r="B1043" s="2"/>
      <c r="C1043" s="2"/>
      <c r="D1043" s="2">
        <f>COUNTIF(contact[[#This Row],[Bagossy]:[Szo
03:00 - 10:00]],"=~?")</f>
        <v>0</v>
      </c>
      <c r="E1043" s="2">
        <f>COUNTIF(contact[[#This Row],[Bagossy]:[Szo
03:00 - 10:00]],"=x")</f>
        <v>0</v>
      </c>
      <c r="F1043" s="2">
        <f>SUM(contact[[#This Row],[?]:[x]])</f>
        <v>0</v>
      </c>
      <c r="G10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3" s="3" t="s">
        <v>2407</v>
      </c>
      <c r="K1043" s="1" t="s">
        <v>1401</v>
      </c>
      <c r="L1043" s="1" t="s">
        <v>2</v>
      </c>
      <c r="M1043" s="1" t="s">
        <v>2</v>
      </c>
      <c r="O1043" s="2"/>
      <c r="P1043" s="2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</row>
    <row r="1044" spans="1:32" s="1" customFormat="1" ht="20.25" customHeight="1" x14ac:dyDescent="0.25">
      <c r="A1044" s="2"/>
      <c r="B1044" s="2"/>
      <c r="C1044" s="2"/>
      <c r="D1044" s="2">
        <f>COUNTIF(contact[[#This Row],[Bagossy]:[Szo
03:00 - 10:00]],"=~?")</f>
        <v>0</v>
      </c>
      <c r="E1044" s="2">
        <f>COUNTIF(contact[[#This Row],[Bagossy]:[Szo
03:00 - 10:00]],"=x")</f>
        <v>0</v>
      </c>
      <c r="F1044" s="2">
        <f>SUM(contact[[#This Row],[?]:[x]])</f>
        <v>0</v>
      </c>
      <c r="G10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4" s="3" t="s">
        <v>2148</v>
      </c>
      <c r="K1044" s="1" t="s">
        <v>1347</v>
      </c>
      <c r="L1044" s="1" t="s">
        <v>2</v>
      </c>
      <c r="M1044" s="1" t="s">
        <v>2</v>
      </c>
      <c r="O1044" s="2"/>
      <c r="P1044" s="2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</row>
    <row r="1045" spans="1:32" s="1" customFormat="1" ht="20.25" customHeight="1" x14ac:dyDescent="0.25">
      <c r="A1045" s="2"/>
      <c r="B1045" s="2"/>
      <c r="C1045" s="2"/>
      <c r="D1045" s="2">
        <f>COUNTIF(contact[[#This Row],[Bagossy]:[Szo
03:00 - 10:00]],"=~?")</f>
        <v>0</v>
      </c>
      <c r="E1045" s="2">
        <f>COUNTIF(contact[[#This Row],[Bagossy]:[Szo
03:00 - 10:00]],"=x")</f>
        <v>0</v>
      </c>
      <c r="F1045" s="2">
        <f>SUM(contact[[#This Row],[?]:[x]])</f>
        <v>0</v>
      </c>
      <c r="G10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45" s="2"/>
      <c r="I1045" s="2"/>
      <c r="J1045" s="3" t="s">
        <v>2964</v>
      </c>
      <c r="K1045" s="1" t="s">
        <v>305</v>
      </c>
      <c r="L1045" s="1" t="s">
        <v>2</v>
      </c>
      <c r="M1045" s="1" t="s">
        <v>2</v>
      </c>
      <c r="O1045" s="2"/>
      <c r="P1045" s="2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</row>
    <row r="1046" spans="1:32" s="1" customFormat="1" ht="20.25" customHeight="1" x14ac:dyDescent="0.25">
      <c r="A1046" s="2"/>
      <c r="B1046" s="2"/>
      <c r="C1046" s="2"/>
      <c r="D1046" s="2">
        <f>COUNTIF(contact[[#This Row],[Bagossy]:[Szo
03:00 - 10:00]],"=~?")</f>
        <v>0</v>
      </c>
      <c r="E1046" s="2">
        <f>COUNTIF(contact[[#This Row],[Bagossy]:[Szo
03:00 - 10:00]],"=x")</f>
        <v>0</v>
      </c>
      <c r="F1046" s="2">
        <f>SUM(contact[[#This Row],[?]:[x]])</f>
        <v>0</v>
      </c>
      <c r="G10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6" s="3" t="s">
        <v>3649</v>
      </c>
      <c r="K1046" s="1" t="s">
        <v>1693</v>
      </c>
      <c r="L1046" s="1" t="s">
        <v>2</v>
      </c>
      <c r="M1046" s="1" t="s">
        <v>2</v>
      </c>
      <c r="O1046" s="2"/>
      <c r="P1046" s="2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</row>
    <row r="1047" spans="1:32" s="1" customFormat="1" ht="20.25" customHeight="1" x14ac:dyDescent="0.25">
      <c r="A1047" s="2"/>
      <c r="B1047" s="2"/>
      <c r="C1047" s="2"/>
      <c r="D1047" s="2">
        <f>COUNTIF(contact[[#This Row],[Bagossy]:[Szo
03:00 - 10:00]],"=~?")</f>
        <v>0</v>
      </c>
      <c r="E1047" s="2">
        <f>COUNTIF(contact[[#This Row],[Bagossy]:[Szo
03:00 - 10:00]],"=x")</f>
        <v>0</v>
      </c>
      <c r="F1047" s="2">
        <f>SUM(contact[[#This Row],[?]:[x]])</f>
        <v>0</v>
      </c>
      <c r="G10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47" s="3" t="s">
        <v>3649</v>
      </c>
      <c r="K1047" s="1" t="s">
        <v>885</v>
      </c>
      <c r="L1047" s="1" t="s">
        <v>2</v>
      </c>
      <c r="M1047" s="1" t="s">
        <v>2</v>
      </c>
      <c r="O1047" s="2"/>
      <c r="P1047" s="2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</row>
    <row r="1048" spans="1:32" s="1" customFormat="1" ht="20.25" customHeight="1" x14ac:dyDescent="0.25">
      <c r="A1048" s="2"/>
      <c r="B1048" s="2"/>
      <c r="C1048" s="2"/>
      <c r="D1048" s="2">
        <f>COUNTIF(contact[[#This Row],[Bagossy]:[Szo
03:00 - 10:00]],"=~?")</f>
        <v>0</v>
      </c>
      <c r="E1048" s="2">
        <f>COUNTIF(contact[[#This Row],[Bagossy]:[Szo
03:00 - 10:00]],"=x")</f>
        <v>0</v>
      </c>
      <c r="F1048" s="2">
        <f>SUM(contact[[#This Row],[?]:[x]])</f>
        <v>0</v>
      </c>
      <c r="G10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48" s="2"/>
      <c r="I1048" s="2"/>
      <c r="J1048" s="3" t="s">
        <v>2968</v>
      </c>
      <c r="K1048" s="1" t="s">
        <v>1528</v>
      </c>
      <c r="L1048" s="1" t="s">
        <v>2</v>
      </c>
      <c r="M1048" s="1" t="s">
        <v>2</v>
      </c>
      <c r="O1048" s="2"/>
      <c r="P1048" s="2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</row>
    <row r="1049" spans="1:32" s="1" customFormat="1" ht="20.25" customHeight="1" x14ac:dyDescent="0.25">
      <c r="A1049" s="2"/>
      <c r="B1049" s="2"/>
      <c r="C1049" s="2"/>
      <c r="D1049" s="2">
        <f>COUNTIF(contact[[#This Row],[Bagossy]:[Szo
03:00 - 10:00]],"=~?")</f>
        <v>0</v>
      </c>
      <c r="E1049" s="2">
        <f>COUNTIF(contact[[#This Row],[Bagossy]:[Szo
03:00 - 10:00]],"=x")</f>
        <v>0</v>
      </c>
      <c r="F1049" s="2">
        <f>SUM(contact[[#This Row],[?]:[x]])</f>
        <v>0</v>
      </c>
      <c r="G10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49" s="2"/>
      <c r="I1049" s="2"/>
      <c r="J1049" s="3" t="s">
        <v>2969</v>
      </c>
      <c r="K1049" s="1" t="s">
        <v>6</v>
      </c>
      <c r="L1049" s="1" t="s">
        <v>2</v>
      </c>
      <c r="M1049" s="1" t="s">
        <v>2</v>
      </c>
      <c r="O1049" s="2"/>
      <c r="P1049" s="2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</row>
    <row r="1050" spans="1:32" s="1" customFormat="1" ht="20.25" customHeight="1" x14ac:dyDescent="0.25">
      <c r="A1050" s="2"/>
      <c r="B1050" s="2"/>
      <c r="C1050" s="2"/>
      <c r="D1050" s="2">
        <f>COUNTIF(contact[[#This Row],[Bagossy]:[Szo
03:00 - 10:00]],"=~?")</f>
        <v>0</v>
      </c>
      <c r="E1050" s="2">
        <f>COUNTIF(contact[[#This Row],[Bagossy]:[Szo
03:00 - 10:00]],"=x")</f>
        <v>0</v>
      </c>
      <c r="F1050" s="2">
        <f>SUM(contact[[#This Row],[?]:[x]])</f>
        <v>0</v>
      </c>
      <c r="G10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0" s="3" t="s">
        <v>4066</v>
      </c>
      <c r="K1050" s="1" t="s">
        <v>2</v>
      </c>
      <c r="L1050" s="1" t="s">
        <v>2</v>
      </c>
      <c r="M1050" s="1" t="s">
        <v>2</v>
      </c>
      <c r="O1050" s="2"/>
      <c r="P1050" s="2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</row>
    <row r="1051" spans="1:32" s="1" customFormat="1" ht="20.25" customHeight="1" x14ac:dyDescent="0.25">
      <c r="A1051" s="2" t="s">
        <v>1285</v>
      </c>
      <c r="B1051" s="2" t="s">
        <v>1285</v>
      </c>
      <c r="C1051" s="2" t="s">
        <v>1285</v>
      </c>
      <c r="D1051" s="2">
        <f>COUNTIF(contact[[#This Row],[Bagossy]:[Szo
03:00 - 10:00]],"=~?")</f>
        <v>2</v>
      </c>
      <c r="E1051" s="2">
        <f>COUNTIF(contact[[#This Row],[Bagossy]:[Szo
03:00 - 10:00]],"=x")</f>
        <v>1</v>
      </c>
      <c r="F1051" s="2">
        <f>SUM(contact[[#This Row],[?]:[x]])</f>
        <v>3</v>
      </c>
      <c r="G10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51" s="2" t="s">
        <v>4620</v>
      </c>
      <c r="I1051" s="2"/>
      <c r="J1051" s="3" t="s">
        <v>2976</v>
      </c>
      <c r="K1051" s="1" t="s">
        <v>322</v>
      </c>
      <c r="L1051" s="1" t="s">
        <v>2</v>
      </c>
      <c r="M1051" s="1" t="s">
        <v>2</v>
      </c>
      <c r="N1051" s="2" t="s">
        <v>4612</v>
      </c>
      <c r="O1051" s="2" t="s">
        <v>1285</v>
      </c>
      <c r="P1051" s="2"/>
      <c r="Q1051" s="6"/>
      <c r="R1051" s="6"/>
      <c r="S1051" s="6"/>
      <c r="T1051" s="6"/>
      <c r="U1051" s="6"/>
      <c r="V1051" s="6"/>
      <c r="W1051" s="6" t="s">
        <v>4616</v>
      </c>
      <c r="X1051" s="6"/>
      <c r="Y1051" s="6"/>
      <c r="Z1051" s="6" t="s">
        <v>4616</v>
      </c>
      <c r="AA1051" s="6"/>
      <c r="AB1051" s="6"/>
      <c r="AC1051" s="6"/>
      <c r="AD1051" s="6"/>
      <c r="AE1051" s="6"/>
      <c r="AF1051" s="6"/>
    </row>
    <row r="1052" spans="1:32" s="1" customFormat="1" ht="20.25" customHeight="1" x14ac:dyDescent="0.25">
      <c r="A1052" s="2"/>
      <c r="B1052" s="2"/>
      <c r="C1052" s="2"/>
      <c r="D1052" s="2">
        <f>COUNTIF(contact[[#This Row],[Bagossy]:[Szo
03:00 - 10:00]],"=~?")</f>
        <v>0</v>
      </c>
      <c r="E1052" s="2">
        <f>COUNTIF(contact[[#This Row],[Bagossy]:[Szo
03:00 - 10:00]],"=x")</f>
        <v>0</v>
      </c>
      <c r="F1052" s="2">
        <f>SUM(contact[[#This Row],[?]:[x]])</f>
        <v>0</v>
      </c>
      <c r="G10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2" s="3" t="s">
        <v>2327</v>
      </c>
      <c r="K1052" s="1" t="s">
        <v>1391</v>
      </c>
      <c r="L1052" s="1" t="s">
        <v>2</v>
      </c>
      <c r="M1052" s="1" t="s">
        <v>2</v>
      </c>
      <c r="O1052" s="2"/>
      <c r="P1052" s="2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</row>
    <row r="1053" spans="1:32" s="1" customFormat="1" ht="20.25" customHeight="1" x14ac:dyDescent="0.25">
      <c r="A1053" s="2"/>
      <c r="B1053" s="2"/>
      <c r="C1053" s="2"/>
      <c r="D1053" s="2">
        <f>COUNTIF(contact[[#This Row],[Bagossy]:[Szo
03:00 - 10:00]],"=~?")</f>
        <v>0</v>
      </c>
      <c r="E1053" s="2">
        <f>COUNTIF(contact[[#This Row],[Bagossy]:[Szo
03:00 - 10:00]],"=x")</f>
        <v>0</v>
      </c>
      <c r="F1053" s="2">
        <f>SUM(contact[[#This Row],[?]:[x]])</f>
        <v>0</v>
      </c>
      <c r="G10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3" s="3" t="s">
        <v>4536</v>
      </c>
      <c r="K1053" s="1" t="s">
        <v>1889</v>
      </c>
      <c r="L1053" s="1" t="s">
        <v>2</v>
      </c>
      <c r="M1053" s="1" t="s">
        <v>2</v>
      </c>
      <c r="O1053" s="2"/>
      <c r="P1053" s="2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</row>
    <row r="1054" spans="1:32" s="1" customFormat="1" ht="20.25" customHeight="1" x14ac:dyDescent="0.25">
      <c r="A1054" s="2"/>
      <c r="B1054" s="2"/>
      <c r="C1054" s="2"/>
      <c r="D1054" s="2">
        <f>COUNTIF(contact[[#This Row],[Bagossy]:[Szo
03:00 - 10:00]],"=~?")</f>
        <v>0</v>
      </c>
      <c r="E1054" s="2">
        <f>COUNTIF(contact[[#This Row],[Bagossy]:[Szo
03:00 - 10:00]],"=x")</f>
        <v>0</v>
      </c>
      <c r="F1054" s="2">
        <f>SUM(contact[[#This Row],[?]:[x]])</f>
        <v>0</v>
      </c>
      <c r="G10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4" s="3" t="s">
        <v>2931</v>
      </c>
      <c r="K1054" s="1" t="s">
        <v>2</v>
      </c>
      <c r="L1054" s="1" t="s">
        <v>2</v>
      </c>
      <c r="M1054" s="1" t="s">
        <v>2</v>
      </c>
      <c r="O1054" s="2"/>
      <c r="P1054" s="2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</row>
    <row r="1055" spans="1:32" s="1" customFormat="1" ht="20.25" customHeight="1" x14ac:dyDescent="0.25">
      <c r="A1055" s="2"/>
      <c r="B1055" s="2"/>
      <c r="C1055" s="2"/>
      <c r="D1055" s="2">
        <f>COUNTIF(contact[[#This Row],[Bagossy]:[Szo
03:00 - 10:00]],"=~?")</f>
        <v>0</v>
      </c>
      <c r="E1055" s="2">
        <f>COUNTIF(contact[[#This Row],[Bagossy]:[Szo
03:00 - 10:00]],"=x")</f>
        <v>0</v>
      </c>
      <c r="F1055" s="2">
        <f>SUM(contact[[#This Row],[?]:[x]])</f>
        <v>0</v>
      </c>
      <c r="G10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5" s="3" t="s">
        <v>2042</v>
      </c>
      <c r="K1055" s="1" t="s">
        <v>2</v>
      </c>
      <c r="L1055" s="1" t="s">
        <v>2</v>
      </c>
      <c r="M1055" s="1" t="s">
        <v>2</v>
      </c>
      <c r="O1055" s="2"/>
      <c r="P1055" s="2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</row>
    <row r="1056" spans="1:32" s="1" customFormat="1" ht="20.25" customHeight="1" x14ac:dyDescent="0.25">
      <c r="A1056" s="2"/>
      <c r="B1056" s="2"/>
      <c r="C1056" s="2"/>
      <c r="D1056" s="2">
        <f>COUNTIF(contact[[#This Row],[Bagossy]:[Szo
03:00 - 10:00]],"=~?")</f>
        <v>0</v>
      </c>
      <c r="E1056" s="2">
        <f>COUNTIF(contact[[#This Row],[Bagossy]:[Szo
03:00 - 10:00]],"=x")</f>
        <v>0</v>
      </c>
      <c r="F1056" s="2">
        <f>SUM(contact[[#This Row],[?]:[x]])</f>
        <v>0</v>
      </c>
      <c r="G10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6" s="3" t="s">
        <v>2811</v>
      </c>
      <c r="K1056" s="1" t="s">
        <v>1491</v>
      </c>
      <c r="L1056" s="1" t="s">
        <v>2</v>
      </c>
      <c r="M1056" s="1" t="s">
        <v>2</v>
      </c>
      <c r="O1056" s="2"/>
      <c r="P1056" s="2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</row>
    <row r="1057" spans="1:32" s="1" customFormat="1" ht="20.25" customHeight="1" x14ac:dyDescent="0.25">
      <c r="A1057" s="2"/>
      <c r="B1057" s="2"/>
      <c r="C1057" s="2"/>
      <c r="D1057" s="2">
        <f>COUNTIF(contact[[#This Row],[Bagossy]:[Szo
03:00 - 10:00]],"=~?")</f>
        <v>0</v>
      </c>
      <c r="E1057" s="2">
        <f>COUNTIF(contact[[#This Row],[Bagossy]:[Szo
03:00 - 10:00]],"=x")</f>
        <v>0</v>
      </c>
      <c r="F1057" s="2">
        <f>SUM(contact[[#This Row],[?]:[x]])</f>
        <v>0</v>
      </c>
      <c r="G10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57" s="2"/>
      <c r="I1057" s="2"/>
      <c r="J1057" s="3" t="s">
        <v>2979</v>
      </c>
      <c r="K1057" s="1" t="s">
        <v>305</v>
      </c>
      <c r="L1057" s="1" t="s">
        <v>2</v>
      </c>
      <c r="M1057" s="1" t="s">
        <v>2</v>
      </c>
      <c r="O1057" s="2"/>
      <c r="P1057" s="2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</row>
    <row r="1058" spans="1:32" s="1" customFormat="1" ht="20.25" customHeight="1" x14ac:dyDescent="0.25">
      <c r="A1058" s="2"/>
      <c r="B1058" s="2"/>
      <c r="C1058" s="2"/>
      <c r="D1058" s="2">
        <f>COUNTIF(contact[[#This Row],[Bagossy]:[Szo
03:00 - 10:00]],"=~?")</f>
        <v>0</v>
      </c>
      <c r="E1058" s="2">
        <f>COUNTIF(contact[[#This Row],[Bagossy]:[Szo
03:00 - 10:00]],"=x")</f>
        <v>0</v>
      </c>
      <c r="F1058" s="2">
        <f>SUM(contact[[#This Row],[?]:[x]])</f>
        <v>0</v>
      </c>
      <c r="G10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58" s="2"/>
      <c r="I1058" s="2"/>
      <c r="J1058" s="3" t="s">
        <v>2982</v>
      </c>
      <c r="K1058" s="1" t="s">
        <v>89</v>
      </c>
      <c r="L1058" s="1" t="s">
        <v>2</v>
      </c>
      <c r="M1058" s="1" t="s">
        <v>2</v>
      </c>
      <c r="O1058" s="2"/>
      <c r="P1058" s="2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</row>
    <row r="1059" spans="1:32" s="1" customFormat="1" ht="20.25" customHeight="1" x14ac:dyDescent="0.25">
      <c r="A1059" s="2"/>
      <c r="B1059" s="2"/>
      <c r="C1059" s="2"/>
      <c r="D1059" s="2">
        <f>COUNTIF(contact[[#This Row],[Bagossy]:[Szo
03:00 - 10:00]],"=~?")</f>
        <v>0</v>
      </c>
      <c r="E1059" s="2">
        <f>COUNTIF(contact[[#This Row],[Bagossy]:[Szo
03:00 - 10:00]],"=x")</f>
        <v>0</v>
      </c>
      <c r="F1059" s="2">
        <f>SUM(contact[[#This Row],[?]:[x]])</f>
        <v>0</v>
      </c>
      <c r="G10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59" s="3" t="s">
        <v>598</v>
      </c>
      <c r="K1059" s="1" t="s">
        <v>2</v>
      </c>
      <c r="L1059" s="1" t="s">
        <v>2</v>
      </c>
      <c r="M1059" s="1" t="s">
        <v>2</v>
      </c>
      <c r="O1059" s="2"/>
      <c r="P1059" s="2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</row>
    <row r="1060" spans="1:32" s="1" customFormat="1" ht="20.25" customHeight="1" x14ac:dyDescent="0.25">
      <c r="A1060" s="2"/>
      <c r="B1060" s="2"/>
      <c r="C1060" s="2"/>
      <c r="D1060" s="2">
        <f>COUNTIF(contact[[#This Row],[Bagossy]:[Szo
03:00 - 10:00]],"=~?")</f>
        <v>0</v>
      </c>
      <c r="E1060" s="2">
        <f>COUNTIF(contact[[#This Row],[Bagossy]:[Szo
03:00 - 10:00]],"=x")</f>
        <v>0</v>
      </c>
      <c r="F1060" s="2">
        <f>SUM(contact[[#This Row],[?]:[x]])</f>
        <v>0</v>
      </c>
      <c r="G10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0" s="3" t="s">
        <v>4408</v>
      </c>
      <c r="K1060" s="1" t="s">
        <v>1228</v>
      </c>
      <c r="L1060" s="1" t="s">
        <v>2</v>
      </c>
      <c r="M1060" s="1" t="s">
        <v>2</v>
      </c>
      <c r="O1060" s="2"/>
      <c r="P1060" s="2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</row>
    <row r="1061" spans="1:32" s="1" customFormat="1" ht="20.25" customHeight="1" x14ac:dyDescent="0.25">
      <c r="A1061" s="2"/>
      <c r="B1061" s="2"/>
      <c r="C1061" s="2"/>
      <c r="D1061" s="2">
        <f>COUNTIF(contact[[#This Row],[Bagossy]:[Szo
03:00 - 10:00]],"=~?")</f>
        <v>0</v>
      </c>
      <c r="E1061" s="2">
        <f>COUNTIF(contact[[#This Row],[Bagossy]:[Szo
03:00 - 10:00]],"=x")</f>
        <v>0</v>
      </c>
      <c r="F1061" s="2">
        <f>SUM(contact[[#This Row],[?]:[x]])</f>
        <v>0</v>
      </c>
      <c r="G10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1" s="3" t="s">
        <v>4537</v>
      </c>
      <c r="K1061" s="1" t="s">
        <v>1890</v>
      </c>
      <c r="L1061" s="1" t="s">
        <v>2</v>
      </c>
      <c r="M1061" s="1" t="s">
        <v>2</v>
      </c>
      <c r="O1061" s="2"/>
      <c r="P1061" s="2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</row>
    <row r="1062" spans="1:32" s="1" customFormat="1" ht="20.25" customHeight="1" x14ac:dyDescent="0.25">
      <c r="A1062" s="2"/>
      <c r="B1062" s="2"/>
      <c r="C1062" s="2"/>
      <c r="D1062" s="2">
        <f>COUNTIF(contact[[#This Row],[Bagossy]:[Szo
03:00 - 10:00]],"=~?")</f>
        <v>0</v>
      </c>
      <c r="E1062" s="2">
        <f>COUNTIF(contact[[#This Row],[Bagossy]:[Szo
03:00 - 10:00]],"=x")</f>
        <v>0</v>
      </c>
      <c r="F1062" s="2">
        <f>SUM(contact[[#This Row],[?]:[x]])</f>
        <v>0</v>
      </c>
      <c r="G10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2" s="3" t="s">
        <v>3519</v>
      </c>
      <c r="K1062" s="1" t="s">
        <v>2</v>
      </c>
      <c r="L1062" s="1" t="s">
        <v>2</v>
      </c>
      <c r="M1062" s="1" t="s">
        <v>2</v>
      </c>
      <c r="O1062" s="2"/>
      <c r="P1062" s="2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</row>
    <row r="1063" spans="1:32" s="1" customFormat="1" ht="20.25" customHeight="1" x14ac:dyDescent="0.25">
      <c r="A1063" s="2"/>
      <c r="B1063" s="2"/>
      <c r="C1063" s="2"/>
      <c r="D1063" s="2">
        <f>COUNTIF(contact[[#This Row],[Bagossy]:[Szo
03:00 - 10:00]],"=~?")</f>
        <v>0</v>
      </c>
      <c r="E1063" s="2">
        <f>COUNTIF(contact[[#This Row],[Bagossy]:[Szo
03:00 - 10:00]],"=x")</f>
        <v>0</v>
      </c>
      <c r="F1063" s="2">
        <f>SUM(contact[[#This Row],[?]:[x]])</f>
        <v>0</v>
      </c>
      <c r="G10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3" s="3" t="s">
        <v>3883</v>
      </c>
      <c r="K1063" s="1" t="s">
        <v>997</v>
      </c>
      <c r="L1063" s="1" t="s">
        <v>2</v>
      </c>
      <c r="M1063" s="1" t="s">
        <v>2</v>
      </c>
      <c r="O1063" s="2"/>
      <c r="P1063" s="2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</row>
    <row r="1064" spans="1:32" s="1" customFormat="1" ht="20.25" customHeight="1" x14ac:dyDescent="0.25">
      <c r="A1064" s="2"/>
      <c r="B1064" s="2"/>
      <c r="C1064" s="2"/>
      <c r="D1064" s="2">
        <f>COUNTIF(contact[[#This Row],[Bagossy]:[Szo
03:00 - 10:00]],"=~?")</f>
        <v>0</v>
      </c>
      <c r="E1064" s="2">
        <f>COUNTIF(contact[[#This Row],[Bagossy]:[Szo
03:00 - 10:00]],"=x")</f>
        <v>0</v>
      </c>
      <c r="F1064" s="2">
        <f>SUM(contact[[#This Row],[?]:[x]])</f>
        <v>0</v>
      </c>
      <c r="G10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4" s="3" t="s">
        <v>2421</v>
      </c>
      <c r="K1064" s="1" t="s">
        <v>2</v>
      </c>
      <c r="L1064" s="1" t="s">
        <v>2</v>
      </c>
      <c r="M1064" s="1" t="s">
        <v>2</v>
      </c>
      <c r="O1064" s="2"/>
      <c r="P1064" s="2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</row>
    <row r="1065" spans="1:32" s="1" customFormat="1" ht="20.25" customHeight="1" x14ac:dyDescent="0.25">
      <c r="A1065" s="2"/>
      <c r="B1065" s="2"/>
      <c r="C1065" s="2"/>
      <c r="D1065" s="2">
        <f>COUNTIF(contact[[#This Row],[Bagossy]:[Szo
03:00 - 10:00]],"=~?")</f>
        <v>0</v>
      </c>
      <c r="E1065" s="2">
        <f>COUNTIF(contact[[#This Row],[Bagossy]:[Szo
03:00 - 10:00]],"=x")</f>
        <v>0</v>
      </c>
      <c r="F1065" s="2">
        <f>SUM(contact[[#This Row],[?]:[x]])</f>
        <v>0</v>
      </c>
      <c r="G10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5" s="3" t="s">
        <v>3395</v>
      </c>
      <c r="K1065" s="1" t="s">
        <v>55</v>
      </c>
      <c r="L1065" s="1" t="s">
        <v>2</v>
      </c>
      <c r="M1065" s="1" t="s">
        <v>2</v>
      </c>
      <c r="O1065" s="2"/>
      <c r="P1065" s="2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</row>
    <row r="1066" spans="1:32" s="1" customFormat="1" ht="20.25" customHeight="1" x14ac:dyDescent="0.25">
      <c r="A1066" s="2"/>
      <c r="B1066" s="2"/>
      <c r="C1066" s="2"/>
      <c r="D1066" s="2">
        <f>COUNTIF(contact[[#This Row],[Bagossy]:[Szo
03:00 - 10:00]],"=~?")</f>
        <v>0</v>
      </c>
      <c r="E1066" s="2">
        <f>COUNTIF(contact[[#This Row],[Bagossy]:[Szo
03:00 - 10:00]],"=x")</f>
        <v>0</v>
      </c>
      <c r="F1066" s="2">
        <f>SUM(contact[[#This Row],[?]:[x]])</f>
        <v>0</v>
      </c>
      <c r="G10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6" s="3" t="s">
        <v>2385</v>
      </c>
      <c r="K1066" s="1" t="s">
        <v>279</v>
      </c>
      <c r="L1066" s="1" t="s">
        <v>2</v>
      </c>
      <c r="M1066" s="1" t="s">
        <v>2</v>
      </c>
      <c r="O1066" s="2"/>
      <c r="P1066" s="2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</row>
    <row r="1067" spans="1:32" s="1" customFormat="1" ht="20.25" customHeight="1" x14ac:dyDescent="0.25">
      <c r="A1067" s="2"/>
      <c r="B1067" s="2"/>
      <c r="C1067" s="2"/>
      <c r="D1067" s="2">
        <f>COUNTIF(contact[[#This Row],[Bagossy]:[Szo
03:00 - 10:00]],"=~?")</f>
        <v>0</v>
      </c>
      <c r="E1067" s="2">
        <f>COUNTIF(contact[[#This Row],[Bagossy]:[Szo
03:00 - 10:00]],"=x")</f>
        <v>0</v>
      </c>
      <c r="F1067" s="2">
        <f>SUM(contact[[#This Row],[?]:[x]])</f>
        <v>0</v>
      </c>
      <c r="G10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7" s="3" t="s">
        <v>4324</v>
      </c>
      <c r="K1067" s="1" t="s">
        <v>1190</v>
      </c>
      <c r="L1067" s="1" t="s">
        <v>2</v>
      </c>
      <c r="M1067" s="1" t="s">
        <v>2</v>
      </c>
      <c r="O1067" s="2"/>
      <c r="P1067" s="2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</row>
    <row r="1068" spans="1:32" s="1" customFormat="1" ht="20.25" customHeight="1" x14ac:dyDescent="0.25">
      <c r="A1068" s="2"/>
      <c r="B1068" s="2"/>
      <c r="C1068" s="2"/>
      <c r="D1068" s="2">
        <f>COUNTIF(contact[[#This Row],[Bagossy]:[Szo
03:00 - 10:00]],"=~?")</f>
        <v>0</v>
      </c>
      <c r="E1068" s="2">
        <f>COUNTIF(contact[[#This Row],[Bagossy]:[Szo
03:00 - 10:00]],"=x")</f>
        <v>0</v>
      </c>
      <c r="F1068" s="2">
        <f>SUM(contact[[#This Row],[?]:[x]])</f>
        <v>0</v>
      </c>
      <c r="G10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68" s="2"/>
      <c r="I1068" s="2"/>
      <c r="J1068" s="3" t="s">
        <v>2984</v>
      </c>
      <c r="K1068" s="1" t="s">
        <v>6</v>
      </c>
      <c r="L1068" s="1" t="s">
        <v>2</v>
      </c>
      <c r="M1068" s="1" t="s">
        <v>2</v>
      </c>
      <c r="O1068" s="2"/>
      <c r="P1068" s="2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</row>
    <row r="1069" spans="1:32" s="1" customFormat="1" ht="20.25" customHeight="1" x14ac:dyDescent="0.25">
      <c r="A1069" s="2"/>
      <c r="B1069" s="2"/>
      <c r="C1069" s="2"/>
      <c r="D1069" s="2">
        <f>COUNTIF(contact[[#This Row],[Bagossy]:[Szo
03:00 - 10:00]],"=~?")</f>
        <v>0</v>
      </c>
      <c r="E1069" s="2">
        <f>COUNTIF(contact[[#This Row],[Bagossy]:[Szo
03:00 - 10:00]],"=x")</f>
        <v>0</v>
      </c>
      <c r="F1069" s="2">
        <f>SUM(contact[[#This Row],[?]:[x]])</f>
        <v>0</v>
      </c>
      <c r="G10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69" s="3" t="s">
        <v>4349</v>
      </c>
      <c r="K1069" s="1" t="s">
        <v>1207</v>
      </c>
      <c r="L1069" s="1" t="s">
        <v>2</v>
      </c>
      <c r="M1069" s="1" t="s">
        <v>2</v>
      </c>
      <c r="O1069" s="2"/>
      <c r="P1069" s="2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</row>
    <row r="1070" spans="1:32" s="1" customFormat="1" ht="20.25" customHeight="1" x14ac:dyDescent="0.25">
      <c r="A1070" s="2"/>
      <c r="B1070" s="2"/>
      <c r="C1070" s="2"/>
      <c r="D1070" s="2">
        <f>COUNTIF(contact[[#This Row],[Bagossy]:[Szo
03:00 - 10:00]],"=~?")</f>
        <v>0</v>
      </c>
      <c r="E1070" s="2">
        <f>COUNTIF(contact[[#This Row],[Bagossy]:[Szo
03:00 - 10:00]],"=x")</f>
        <v>0</v>
      </c>
      <c r="F1070" s="2">
        <f>SUM(contact[[#This Row],[?]:[x]])</f>
        <v>0</v>
      </c>
      <c r="G10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0" s="3" t="s">
        <v>1923</v>
      </c>
      <c r="K1070" s="1" t="s">
        <v>2</v>
      </c>
      <c r="L1070" s="1" t="s">
        <v>2</v>
      </c>
      <c r="M1070" s="1" t="s">
        <v>2</v>
      </c>
      <c r="O1070" s="2"/>
      <c r="P1070" s="2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</row>
    <row r="1071" spans="1:32" s="1" customFormat="1" ht="20.25" customHeight="1" x14ac:dyDescent="0.25">
      <c r="A1071" s="2"/>
      <c r="B1071" s="2"/>
      <c r="C1071" s="2"/>
      <c r="D1071" s="2">
        <f>COUNTIF(contact[[#This Row],[Bagossy]:[Szo
03:00 - 10:00]],"=~?")</f>
        <v>0</v>
      </c>
      <c r="E1071" s="2">
        <f>COUNTIF(contact[[#This Row],[Bagossy]:[Szo
03:00 - 10:00]],"=x")</f>
        <v>0</v>
      </c>
      <c r="F1071" s="2">
        <f>SUM(contact[[#This Row],[?]:[x]])</f>
        <v>0</v>
      </c>
      <c r="G10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1" s="3" t="s">
        <v>2083</v>
      </c>
      <c r="K1071" s="1" t="s">
        <v>110</v>
      </c>
      <c r="L1071" s="1" t="s">
        <v>2</v>
      </c>
      <c r="M1071" s="1" t="s">
        <v>2</v>
      </c>
      <c r="O1071" s="2"/>
      <c r="P1071" s="2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</row>
    <row r="1072" spans="1:32" s="1" customFormat="1" ht="20.25" customHeight="1" x14ac:dyDescent="0.25">
      <c r="A1072" s="2"/>
      <c r="B1072" s="2"/>
      <c r="C1072" s="2"/>
      <c r="D1072" s="2">
        <f>COUNTIF(contact[[#This Row],[Bagossy]:[Szo
03:00 - 10:00]],"=~?")</f>
        <v>0</v>
      </c>
      <c r="E1072" s="2">
        <f>COUNTIF(contact[[#This Row],[Bagossy]:[Szo
03:00 - 10:00]],"=x")</f>
        <v>0</v>
      </c>
      <c r="F1072" s="2">
        <f>SUM(contact[[#This Row],[?]:[x]])</f>
        <v>0</v>
      </c>
      <c r="G10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2" s="3" t="s">
        <v>2701</v>
      </c>
      <c r="K1072" s="1" t="s">
        <v>2</v>
      </c>
      <c r="L1072" s="1" t="s">
        <v>2</v>
      </c>
      <c r="M1072" s="1" t="s">
        <v>2</v>
      </c>
      <c r="O1072" s="2"/>
      <c r="P1072" s="2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</row>
    <row r="1073" spans="1:32" s="1" customFormat="1" ht="20.25" customHeight="1" x14ac:dyDescent="0.25">
      <c r="A1073" s="2"/>
      <c r="B1073" s="2"/>
      <c r="C1073" s="2"/>
      <c r="D1073" s="2">
        <f>COUNTIF(contact[[#This Row],[Bagossy]:[Szo
03:00 - 10:00]],"=~?")</f>
        <v>0</v>
      </c>
      <c r="E1073" s="2">
        <f>COUNTIF(contact[[#This Row],[Bagossy]:[Szo
03:00 - 10:00]],"=x")</f>
        <v>0</v>
      </c>
      <c r="F1073" s="2">
        <f>SUM(contact[[#This Row],[?]:[x]])</f>
        <v>0</v>
      </c>
      <c r="G10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3" s="3" t="s">
        <v>3087</v>
      </c>
      <c r="K1073" s="1" t="s">
        <v>639</v>
      </c>
      <c r="L1073" s="1" t="s">
        <v>2</v>
      </c>
      <c r="M1073" s="1" t="s">
        <v>2</v>
      </c>
      <c r="O1073" s="2"/>
      <c r="P1073" s="2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</row>
    <row r="1074" spans="1:32" s="1" customFormat="1" ht="20.25" customHeight="1" x14ac:dyDescent="0.25">
      <c r="A1074" s="2"/>
      <c r="B1074" s="2"/>
      <c r="C1074" s="2"/>
      <c r="D1074" s="2">
        <f>COUNTIF(contact[[#This Row],[Bagossy]:[Szo
03:00 - 10:00]],"=~?")</f>
        <v>0</v>
      </c>
      <c r="E1074" s="2">
        <f>COUNTIF(contact[[#This Row],[Bagossy]:[Szo
03:00 - 10:00]],"=x")</f>
        <v>0</v>
      </c>
      <c r="F1074" s="2">
        <f>SUM(contact[[#This Row],[?]:[x]])</f>
        <v>0</v>
      </c>
      <c r="G10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4" s="3" t="s">
        <v>3397</v>
      </c>
      <c r="K1074" s="1" t="s">
        <v>2</v>
      </c>
      <c r="L1074" s="1" t="s">
        <v>2</v>
      </c>
      <c r="M1074" s="1" t="s">
        <v>2</v>
      </c>
      <c r="O1074" s="2"/>
      <c r="P1074" s="2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</row>
    <row r="1075" spans="1:32" s="1" customFormat="1" ht="20.25" customHeight="1" x14ac:dyDescent="0.25">
      <c r="A1075" s="2"/>
      <c r="B1075" s="2"/>
      <c r="C1075" s="2"/>
      <c r="D1075" s="2">
        <f>COUNTIF(contact[[#This Row],[Bagossy]:[Szo
03:00 - 10:00]],"=~?")</f>
        <v>0</v>
      </c>
      <c r="E1075" s="2">
        <f>COUNTIF(contact[[#This Row],[Bagossy]:[Szo
03:00 - 10:00]],"=x")</f>
        <v>0</v>
      </c>
      <c r="F1075" s="2">
        <f>SUM(contact[[#This Row],[?]:[x]])</f>
        <v>0</v>
      </c>
      <c r="G10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5" s="3" t="s">
        <v>3396</v>
      </c>
      <c r="K1075" s="1" t="s">
        <v>2</v>
      </c>
      <c r="L1075" s="1" t="s">
        <v>2</v>
      </c>
      <c r="M1075" s="1" t="s">
        <v>2</v>
      </c>
      <c r="O1075" s="2"/>
      <c r="P1075" s="2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</row>
    <row r="1076" spans="1:32" s="1" customFormat="1" ht="20.25" customHeight="1" x14ac:dyDescent="0.25">
      <c r="A1076" s="2"/>
      <c r="B1076" s="2"/>
      <c r="C1076" s="2"/>
      <c r="D1076" s="2">
        <f>COUNTIF(contact[[#This Row],[Bagossy]:[Szo
03:00 - 10:00]],"=~?")</f>
        <v>0</v>
      </c>
      <c r="E1076" s="2">
        <f>COUNTIF(contact[[#This Row],[Bagossy]:[Szo
03:00 - 10:00]],"=x")</f>
        <v>0</v>
      </c>
      <c r="F1076" s="2">
        <f>SUM(contact[[#This Row],[?]:[x]])</f>
        <v>0</v>
      </c>
      <c r="G10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76" s="2"/>
      <c r="I1076" s="2"/>
      <c r="J1076" s="3" t="s">
        <v>2985</v>
      </c>
      <c r="K1076" s="1" t="s">
        <v>305</v>
      </c>
      <c r="L1076" s="1" t="s">
        <v>2</v>
      </c>
      <c r="M1076" s="1" t="s">
        <v>2</v>
      </c>
      <c r="O1076" s="2"/>
      <c r="P1076" s="2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</row>
    <row r="1077" spans="1:32" s="1" customFormat="1" ht="20.25" customHeight="1" x14ac:dyDescent="0.25">
      <c r="A1077" s="2"/>
      <c r="B1077" s="2"/>
      <c r="C1077" s="2"/>
      <c r="D1077" s="2">
        <f>COUNTIF(contact[[#This Row],[Bagossy]:[Szo
03:00 - 10:00]],"=~?")</f>
        <v>0</v>
      </c>
      <c r="E1077" s="2">
        <f>COUNTIF(contact[[#This Row],[Bagossy]:[Szo
03:00 - 10:00]],"=x")</f>
        <v>0</v>
      </c>
      <c r="F1077" s="2">
        <f>SUM(contact[[#This Row],[?]:[x]])</f>
        <v>0</v>
      </c>
      <c r="G10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77" s="2"/>
      <c r="I1077" s="2"/>
      <c r="J1077" s="3" t="s">
        <v>2987</v>
      </c>
      <c r="K1077" s="1" t="s">
        <v>1115</v>
      </c>
      <c r="L1077" s="1" t="s">
        <v>2</v>
      </c>
      <c r="M1077" s="1" t="s">
        <v>2</v>
      </c>
      <c r="O1077" s="2"/>
      <c r="P1077" s="2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</row>
    <row r="1078" spans="1:32" s="1" customFormat="1" ht="20.25" customHeight="1" x14ac:dyDescent="0.25">
      <c r="A1078" s="2"/>
      <c r="B1078" s="2"/>
      <c r="C1078" s="2"/>
      <c r="D1078" s="2">
        <f>COUNTIF(contact[[#This Row],[Bagossy]:[Szo
03:00 - 10:00]],"=~?")</f>
        <v>0</v>
      </c>
      <c r="E1078" s="2">
        <f>COUNTIF(contact[[#This Row],[Bagossy]:[Szo
03:00 - 10:00]],"=x")</f>
        <v>0</v>
      </c>
      <c r="F1078" s="2">
        <f>SUM(contact[[#This Row],[?]:[x]])</f>
        <v>0</v>
      </c>
      <c r="G10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8" s="3" t="s">
        <v>2661</v>
      </c>
      <c r="K1078" s="1" t="s">
        <v>391</v>
      </c>
      <c r="L1078" s="1" t="s">
        <v>2</v>
      </c>
      <c r="M1078" s="1" t="s">
        <v>2</v>
      </c>
      <c r="O1078" s="2"/>
      <c r="P1078" s="2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</row>
    <row r="1079" spans="1:32" s="1" customFormat="1" ht="20.25" customHeight="1" x14ac:dyDescent="0.25">
      <c r="A1079" s="2"/>
      <c r="B1079" s="2"/>
      <c r="C1079" s="2"/>
      <c r="D1079" s="2">
        <f>COUNTIF(contact[[#This Row],[Bagossy]:[Szo
03:00 - 10:00]],"=~?")</f>
        <v>0</v>
      </c>
      <c r="E1079" s="2">
        <f>COUNTIF(contact[[#This Row],[Bagossy]:[Szo
03:00 - 10:00]],"=x")</f>
        <v>0</v>
      </c>
      <c r="F1079" s="2">
        <f>SUM(contact[[#This Row],[?]:[x]])</f>
        <v>0</v>
      </c>
      <c r="G10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79" s="3" t="s">
        <v>2473</v>
      </c>
      <c r="K1079" s="1" t="s">
        <v>2</v>
      </c>
      <c r="L1079" s="1" t="s">
        <v>2</v>
      </c>
      <c r="M1079" s="1" t="s">
        <v>2</v>
      </c>
      <c r="O1079" s="2"/>
      <c r="P1079" s="2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</row>
    <row r="1080" spans="1:32" s="1" customFormat="1" ht="20.25" customHeight="1" x14ac:dyDescent="0.25">
      <c r="A1080" s="2"/>
      <c r="B1080" s="2"/>
      <c r="C1080" s="2"/>
      <c r="D1080" s="2">
        <f>COUNTIF(contact[[#This Row],[Bagossy]:[Szo
03:00 - 10:00]],"=~?")</f>
        <v>0</v>
      </c>
      <c r="E1080" s="2">
        <f>COUNTIF(contact[[#This Row],[Bagossy]:[Szo
03:00 - 10:00]],"=x")</f>
        <v>0</v>
      </c>
      <c r="F1080" s="2">
        <f>SUM(contact[[#This Row],[?]:[x]])</f>
        <v>0</v>
      </c>
      <c r="G10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0" s="3" t="s">
        <v>2264</v>
      </c>
      <c r="K1080" s="1" t="s">
        <v>2</v>
      </c>
      <c r="L1080" s="1" t="s">
        <v>2</v>
      </c>
      <c r="M1080" s="1" t="s">
        <v>2</v>
      </c>
      <c r="O1080" s="2"/>
      <c r="P1080" s="2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</row>
    <row r="1081" spans="1:32" s="1" customFormat="1" ht="20.25" customHeight="1" x14ac:dyDescent="0.25">
      <c r="A1081" s="2"/>
      <c r="B1081" s="2"/>
      <c r="C1081" s="2"/>
      <c r="D1081" s="2">
        <f>COUNTIF(contact[[#This Row],[Bagossy]:[Szo
03:00 - 10:00]],"=~?")</f>
        <v>0</v>
      </c>
      <c r="E1081" s="2">
        <f>COUNTIF(contact[[#This Row],[Bagossy]:[Szo
03:00 - 10:00]],"=x")</f>
        <v>0</v>
      </c>
      <c r="F1081" s="2">
        <f>SUM(contact[[#This Row],[?]:[x]])</f>
        <v>0</v>
      </c>
      <c r="G10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1" s="3" t="s">
        <v>3304</v>
      </c>
      <c r="K1081" s="1" t="s">
        <v>78</v>
      </c>
      <c r="L1081" s="1" t="s">
        <v>2</v>
      </c>
      <c r="M1081" s="1" t="s">
        <v>2</v>
      </c>
      <c r="O1081" s="2"/>
      <c r="P1081" s="2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</row>
    <row r="1082" spans="1:32" s="1" customFormat="1" ht="20.25" customHeight="1" x14ac:dyDescent="0.25">
      <c r="A1082" s="2"/>
      <c r="B1082" s="2"/>
      <c r="C1082" s="2"/>
      <c r="D1082" s="2">
        <f>COUNTIF(contact[[#This Row],[Bagossy]:[Szo
03:00 - 10:00]],"=~?")</f>
        <v>0</v>
      </c>
      <c r="E1082" s="2">
        <f>COUNTIF(contact[[#This Row],[Bagossy]:[Szo
03:00 - 10:00]],"=x")</f>
        <v>0</v>
      </c>
      <c r="F1082" s="2">
        <f>SUM(contact[[#This Row],[?]:[x]])</f>
        <v>0</v>
      </c>
      <c r="G10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2" s="3" t="s">
        <v>3162</v>
      </c>
      <c r="K1082" s="1" t="s">
        <v>671</v>
      </c>
      <c r="L1082" s="1" t="s">
        <v>2</v>
      </c>
      <c r="M1082" s="1" t="s">
        <v>2</v>
      </c>
      <c r="O1082" s="2"/>
      <c r="P1082" s="2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</row>
    <row r="1083" spans="1:32" s="1" customFormat="1" ht="20.25" customHeight="1" x14ac:dyDescent="0.25">
      <c r="A1083" s="2"/>
      <c r="B1083" s="2"/>
      <c r="C1083" s="2"/>
      <c r="D1083" s="2">
        <f>COUNTIF(contact[[#This Row],[Bagossy]:[Szo
03:00 - 10:00]],"=~?")</f>
        <v>0</v>
      </c>
      <c r="E1083" s="2">
        <f>COUNTIF(contact[[#This Row],[Bagossy]:[Szo
03:00 - 10:00]],"=x")</f>
        <v>0</v>
      </c>
      <c r="F1083" s="2">
        <f>SUM(contact[[#This Row],[?]:[x]])</f>
        <v>0</v>
      </c>
      <c r="G10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3" s="3" t="s">
        <v>2835</v>
      </c>
      <c r="K1083" s="1" t="s">
        <v>521</v>
      </c>
      <c r="L1083" s="1" t="s">
        <v>2</v>
      </c>
      <c r="M1083" s="1" t="s">
        <v>2</v>
      </c>
      <c r="O1083" s="2"/>
      <c r="P1083" s="2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</row>
    <row r="1084" spans="1:32" s="1" customFormat="1" ht="20.25" customHeight="1" x14ac:dyDescent="0.25">
      <c r="A1084" s="2"/>
      <c r="B1084" s="2"/>
      <c r="C1084" s="2"/>
      <c r="D1084" s="2">
        <f>COUNTIF(contact[[#This Row],[Bagossy]:[Szo
03:00 - 10:00]],"=~?")</f>
        <v>0</v>
      </c>
      <c r="E1084" s="2">
        <f>COUNTIF(contact[[#This Row],[Bagossy]:[Szo
03:00 - 10:00]],"=x")</f>
        <v>0</v>
      </c>
      <c r="F1084" s="2">
        <f>SUM(contact[[#This Row],[?]:[x]])</f>
        <v>0</v>
      </c>
      <c r="G10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4" s="3" t="s">
        <v>3038</v>
      </c>
      <c r="K1084" s="1" t="s">
        <v>2</v>
      </c>
      <c r="L1084" s="1" t="s">
        <v>2</v>
      </c>
      <c r="M1084" s="1" t="s">
        <v>2</v>
      </c>
      <c r="O1084" s="2"/>
      <c r="P1084" s="2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</row>
    <row r="1085" spans="1:32" s="1" customFormat="1" ht="20.25" customHeight="1" x14ac:dyDescent="0.25">
      <c r="A1085" s="2"/>
      <c r="B1085" s="2"/>
      <c r="C1085" s="2"/>
      <c r="D1085" s="2">
        <f>COUNTIF(contact[[#This Row],[Bagossy]:[Szo
03:00 - 10:00]],"=~?")</f>
        <v>0</v>
      </c>
      <c r="E1085" s="2">
        <f>COUNTIF(contact[[#This Row],[Bagossy]:[Szo
03:00 - 10:00]],"=x")</f>
        <v>0</v>
      </c>
      <c r="F1085" s="2">
        <f>SUM(contact[[#This Row],[?]:[x]])</f>
        <v>0</v>
      </c>
      <c r="G10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5" s="3" t="s">
        <v>3535</v>
      </c>
      <c r="K1085" s="1" t="s">
        <v>831</v>
      </c>
      <c r="L1085" s="1" t="s">
        <v>2</v>
      </c>
      <c r="M1085" s="1" t="s">
        <v>2</v>
      </c>
      <c r="O1085" s="2"/>
      <c r="P1085" s="2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</row>
    <row r="1086" spans="1:32" s="1" customFormat="1" ht="20.25" customHeight="1" x14ac:dyDescent="0.25">
      <c r="A1086" s="2"/>
      <c r="B1086" s="2"/>
      <c r="C1086" s="2"/>
      <c r="D1086" s="2">
        <f>COUNTIF(contact[[#This Row],[Bagossy]:[Szo
03:00 - 10:00]],"=~?")</f>
        <v>0</v>
      </c>
      <c r="E1086" s="2">
        <f>COUNTIF(contact[[#This Row],[Bagossy]:[Szo
03:00 - 10:00]],"=x")</f>
        <v>0</v>
      </c>
      <c r="F1086" s="2">
        <f>SUM(contact[[#This Row],[?]:[x]])</f>
        <v>0</v>
      </c>
      <c r="G10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6" s="3" t="s">
        <v>4580</v>
      </c>
      <c r="K1086" s="1" t="s">
        <v>1275</v>
      </c>
      <c r="L1086" s="1" t="s">
        <v>2</v>
      </c>
      <c r="M1086" s="1" t="s">
        <v>2</v>
      </c>
      <c r="O1086" s="2"/>
      <c r="P1086" s="2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</row>
    <row r="1087" spans="1:32" s="1" customFormat="1" ht="20.25" customHeight="1" x14ac:dyDescent="0.25">
      <c r="A1087" s="2"/>
      <c r="B1087" s="2"/>
      <c r="C1087" s="2"/>
      <c r="D1087" s="2">
        <f>COUNTIF(contact[[#This Row],[Bagossy]:[Szo
03:00 - 10:00]],"=~?")</f>
        <v>0</v>
      </c>
      <c r="E1087" s="2">
        <f>COUNTIF(contact[[#This Row],[Bagossy]:[Szo
03:00 - 10:00]],"=x")</f>
        <v>0</v>
      </c>
      <c r="F1087" s="2">
        <f>SUM(contact[[#This Row],[?]:[x]])</f>
        <v>0</v>
      </c>
      <c r="G10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7" s="3" t="s">
        <v>3628</v>
      </c>
      <c r="K1087" s="1" t="s">
        <v>334</v>
      </c>
      <c r="L1087" s="1" t="s">
        <v>2</v>
      </c>
      <c r="M1087" s="1" t="s">
        <v>2</v>
      </c>
      <c r="O1087" s="2"/>
      <c r="P1087" s="2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</row>
    <row r="1088" spans="1:32" s="1" customFormat="1" ht="20.25" customHeight="1" x14ac:dyDescent="0.25">
      <c r="A1088" s="2"/>
      <c r="B1088" s="2"/>
      <c r="C1088" s="2"/>
      <c r="D1088" s="2">
        <f>COUNTIF(contact[[#This Row],[Bagossy]:[Szo
03:00 - 10:00]],"=~?")</f>
        <v>0</v>
      </c>
      <c r="E1088" s="2">
        <f>COUNTIF(contact[[#This Row],[Bagossy]:[Szo
03:00 - 10:00]],"=x")</f>
        <v>0</v>
      </c>
      <c r="F1088" s="2">
        <f>SUM(contact[[#This Row],[?]:[x]])</f>
        <v>0</v>
      </c>
      <c r="G10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88" s="2"/>
      <c r="I1088" s="2"/>
      <c r="J1088" s="3" t="s">
        <v>2988</v>
      </c>
      <c r="K1088" s="1" t="s">
        <v>565</v>
      </c>
      <c r="L1088" s="1" t="s">
        <v>2</v>
      </c>
      <c r="M1088" s="1" t="s">
        <v>2</v>
      </c>
      <c r="O1088" s="2"/>
      <c r="P1088" s="2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</row>
    <row r="1089" spans="1:32" s="1" customFormat="1" ht="20.25" customHeight="1" x14ac:dyDescent="0.25">
      <c r="A1089" s="2"/>
      <c r="B1089" s="2"/>
      <c r="C1089" s="2"/>
      <c r="D1089" s="2">
        <f>COUNTIF(contact[[#This Row],[Bagossy]:[Szo
03:00 - 10:00]],"=~?")</f>
        <v>0</v>
      </c>
      <c r="E1089" s="2">
        <f>COUNTIF(contact[[#This Row],[Bagossy]:[Szo
03:00 - 10:00]],"=x")</f>
        <v>0</v>
      </c>
      <c r="F1089" s="2">
        <f>SUM(contact[[#This Row],[?]:[x]])</f>
        <v>0</v>
      </c>
      <c r="G10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89" s="3" t="s">
        <v>2891</v>
      </c>
      <c r="K1089" s="1" t="s">
        <v>2</v>
      </c>
      <c r="L1089" s="1" t="s">
        <v>2</v>
      </c>
      <c r="M1089" s="1" t="s">
        <v>2</v>
      </c>
      <c r="O1089" s="2"/>
      <c r="P1089" s="2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</row>
    <row r="1090" spans="1:32" s="1" customFormat="1" ht="20.25" customHeight="1" x14ac:dyDescent="0.25">
      <c r="A1090" s="2"/>
      <c r="B1090" s="2"/>
      <c r="C1090" s="2"/>
      <c r="D1090" s="2">
        <f>COUNTIF(contact[[#This Row],[Bagossy]:[Szo
03:00 - 10:00]],"=~?")</f>
        <v>0</v>
      </c>
      <c r="E1090" s="2">
        <f>COUNTIF(contact[[#This Row],[Bagossy]:[Szo
03:00 - 10:00]],"=x")</f>
        <v>0</v>
      </c>
      <c r="F1090" s="2">
        <f>SUM(contact[[#This Row],[?]:[x]])</f>
        <v>0</v>
      </c>
      <c r="G10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0" s="3" t="s">
        <v>2640</v>
      </c>
      <c r="K1090" s="1" t="s">
        <v>78</v>
      </c>
      <c r="L1090" s="1" t="s">
        <v>2</v>
      </c>
      <c r="M1090" s="1" t="s">
        <v>2</v>
      </c>
      <c r="O1090" s="2"/>
      <c r="P1090" s="2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</row>
    <row r="1091" spans="1:32" s="1" customFormat="1" ht="20.25" customHeight="1" x14ac:dyDescent="0.25">
      <c r="A1091" s="2"/>
      <c r="B1091" s="2"/>
      <c r="C1091" s="2"/>
      <c r="D1091" s="2">
        <f>COUNTIF(contact[[#This Row],[Bagossy]:[Szo
03:00 - 10:00]],"=~?")</f>
        <v>0</v>
      </c>
      <c r="E1091" s="2">
        <f>COUNTIF(contact[[#This Row],[Bagossy]:[Szo
03:00 - 10:00]],"=x")</f>
        <v>0</v>
      </c>
      <c r="F1091" s="2">
        <f>SUM(contact[[#This Row],[?]:[x]])</f>
        <v>0</v>
      </c>
      <c r="G10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91" s="2"/>
      <c r="I1091" s="2"/>
      <c r="J1091" s="3" t="s">
        <v>2990</v>
      </c>
      <c r="K1091" s="1" t="s">
        <v>1407</v>
      </c>
      <c r="L1091" s="1" t="s">
        <v>2</v>
      </c>
      <c r="M1091" s="1" t="s">
        <v>2</v>
      </c>
      <c r="O1091" s="2"/>
      <c r="P1091" s="2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</row>
    <row r="1092" spans="1:32" s="1" customFormat="1" ht="20.25" customHeight="1" x14ac:dyDescent="0.25">
      <c r="A1092" s="2"/>
      <c r="B1092" s="2"/>
      <c r="C1092" s="2"/>
      <c r="D1092" s="2">
        <f>COUNTIF(contact[[#This Row],[Bagossy]:[Szo
03:00 - 10:00]],"=~?")</f>
        <v>0</v>
      </c>
      <c r="E1092" s="2">
        <f>COUNTIF(contact[[#This Row],[Bagossy]:[Szo
03:00 - 10:00]],"=x")</f>
        <v>0</v>
      </c>
      <c r="F1092" s="2">
        <f>SUM(contact[[#This Row],[?]:[x]])</f>
        <v>0</v>
      </c>
      <c r="G10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2" s="3" t="s">
        <v>2760</v>
      </c>
      <c r="K1092" s="1" t="s">
        <v>479</v>
      </c>
      <c r="L1092" s="1" t="s">
        <v>2</v>
      </c>
      <c r="M1092" s="1" t="s">
        <v>2</v>
      </c>
      <c r="O1092" s="2"/>
      <c r="P1092" s="2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</row>
    <row r="1093" spans="1:32" s="1" customFormat="1" ht="20.25" customHeight="1" x14ac:dyDescent="0.25">
      <c r="A1093" s="2"/>
      <c r="B1093" s="2"/>
      <c r="C1093" s="2"/>
      <c r="D1093" s="2">
        <f>COUNTIF(contact[[#This Row],[Bagossy]:[Szo
03:00 - 10:00]],"=~?")</f>
        <v>0</v>
      </c>
      <c r="E1093" s="2">
        <f>COUNTIF(contact[[#This Row],[Bagossy]:[Szo
03:00 - 10:00]],"=x")</f>
        <v>0</v>
      </c>
      <c r="F1093" s="2">
        <f>SUM(contact[[#This Row],[?]:[x]])</f>
        <v>0</v>
      </c>
      <c r="G10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3" s="3" t="s">
        <v>2494</v>
      </c>
      <c r="K1093" s="1" t="s">
        <v>343</v>
      </c>
      <c r="L1093" s="1" t="s">
        <v>2</v>
      </c>
      <c r="M1093" s="1" t="s">
        <v>2</v>
      </c>
      <c r="O1093" s="2"/>
      <c r="P1093" s="2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</row>
    <row r="1094" spans="1:32" s="1" customFormat="1" ht="20.25" customHeight="1" x14ac:dyDescent="0.25">
      <c r="A1094" s="2"/>
      <c r="B1094" s="2"/>
      <c r="C1094" s="2"/>
      <c r="D1094" s="2">
        <f>COUNTIF(contact[[#This Row],[Bagossy]:[Szo
03:00 - 10:00]],"=~?")</f>
        <v>0</v>
      </c>
      <c r="E1094" s="2">
        <f>COUNTIF(contact[[#This Row],[Bagossy]:[Szo
03:00 - 10:00]],"=x")</f>
        <v>0</v>
      </c>
      <c r="F1094" s="2">
        <f>SUM(contact[[#This Row],[?]:[x]])</f>
        <v>0</v>
      </c>
      <c r="G10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4" s="3" t="s">
        <v>2567</v>
      </c>
      <c r="K1094" s="1" t="s">
        <v>380</v>
      </c>
      <c r="L1094" s="1" t="s">
        <v>2</v>
      </c>
      <c r="M1094" s="1" t="s">
        <v>2</v>
      </c>
      <c r="O1094" s="2"/>
      <c r="P1094" s="2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</row>
    <row r="1095" spans="1:32" s="1" customFormat="1" ht="20.25" customHeight="1" x14ac:dyDescent="0.25">
      <c r="A1095" s="2"/>
      <c r="B1095" s="2"/>
      <c r="C1095" s="2"/>
      <c r="D1095" s="2">
        <f>COUNTIF(contact[[#This Row],[Bagossy]:[Szo
03:00 - 10:00]],"=~?")</f>
        <v>0</v>
      </c>
      <c r="E1095" s="2">
        <f>COUNTIF(contact[[#This Row],[Bagossy]:[Szo
03:00 - 10:00]],"=x")</f>
        <v>0</v>
      </c>
      <c r="F1095" s="2">
        <f>SUM(contact[[#This Row],[?]:[x]])</f>
        <v>0</v>
      </c>
      <c r="G10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5" s="3" t="s">
        <v>2695</v>
      </c>
      <c r="K1095" s="1" t="s">
        <v>447</v>
      </c>
      <c r="L1095" s="1" t="s">
        <v>2</v>
      </c>
      <c r="M1095" s="1" t="s">
        <v>2</v>
      </c>
      <c r="O1095" s="2"/>
      <c r="P1095" s="2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</row>
    <row r="1096" spans="1:32" s="1" customFormat="1" ht="20.25" customHeight="1" x14ac:dyDescent="0.25">
      <c r="A1096" s="2"/>
      <c r="B1096" s="2"/>
      <c r="C1096" s="2"/>
      <c r="D1096" s="2">
        <f>COUNTIF(contact[[#This Row],[Bagossy]:[Szo
03:00 - 10:00]],"=~?")</f>
        <v>0</v>
      </c>
      <c r="E1096" s="2">
        <f>COUNTIF(contact[[#This Row],[Bagossy]:[Szo
03:00 - 10:00]],"=x")</f>
        <v>0</v>
      </c>
      <c r="F1096" s="2">
        <f>SUM(contact[[#This Row],[?]:[x]])</f>
        <v>0</v>
      </c>
      <c r="G10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6" s="3" t="s">
        <v>3676</v>
      </c>
      <c r="K1096" s="1" t="s">
        <v>2</v>
      </c>
      <c r="L1096" s="1" t="s">
        <v>2</v>
      </c>
      <c r="M1096" s="1" t="s">
        <v>2</v>
      </c>
      <c r="O1096" s="2"/>
      <c r="P1096" s="2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</row>
    <row r="1097" spans="1:32" s="1" customFormat="1" ht="20.25" customHeight="1" x14ac:dyDescent="0.25">
      <c r="A1097" s="2"/>
      <c r="B1097" s="2"/>
      <c r="C1097" s="2"/>
      <c r="D1097" s="2">
        <f>COUNTIF(contact[[#This Row],[Bagossy]:[Szo
03:00 - 10:00]],"=~?")</f>
        <v>0</v>
      </c>
      <c r="E1097" s="2">
        <f>COUNTIF(contact[[#This Row],[Bagossy]:[Szo
03:00 - 10:00]],"=x")</f>
        <v>0</v>
      </c>
      <c r="F1097" s="2">
        <f>SUM(contact[[#This Row],[?]:[x]])</f>
        <v>0</v>
      </c>
      <c r="G10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7" s="3" t="s">
        <v>3516</v>
      </c>
      <c r="K1097" s="1" t="s">
        <v>821</v>
      </c>
      <c r="L1097" s="1" t="s">
        <v>2</v>
      </c>
      <c r="M1097" s="1" t="s">
        <v>2</v>
      </c>
      <c r="O1097" s="2"/>
      <c r="P1097" s="2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</row>
    <row r="1098" spans="1:32" s="1" customFormat="1" ht="20.25" customHeight="1" x14ac:dyDescent="0.25">
      <c r="A1098" s="2"/>
      <c r="B1098" s="2"/>
      <c r="C1098" s="2"/>
      <c r="D1098" s="2">
        <f>COUNTIF(contact[[#This Row],[Bagossy]:[Szo
03:00 - 10:00]],"=~?")</f>
        <v>0</v>
      </c>
      <c r="E1098" s="2">
        <f>COUNTIF(contact[[#This Row],[Bagossy]:[Szo
03:00 - 10:00]],"=x")</f>
        <v>0</v>
      </c>
      <c r="F1098" s="2">
        <f>SUM(contact[[#This Row],[?]:[x]])</f>
        <v>0</v>
      </c>
      <c r="G10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098" s="2"/>
      <c r="I1098" s="2"/>
      <c r="J1098" s="3" t="s">
        <v>2992</v>
      </c>
      <c r="K1098" s="1" t="s">
        <v>305</v>
      </c>
      <c r="L1098" s="1" t="s">
        <v>2</v>
      </c>
      <c r="M1098" s="1" t="s">
        <v>2</v>
      </c>
      <c r="O1098" s="2"/>
      <c r="P1098" s="2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</row>
    <row r="1099" spans="1:32" s="1" customFormat="1" ht="20.25" customHeight="1" x14ac:dyDescent="0.25">
      <c r="A1099" s="2"/>
      <c r="B1099" s="2"/>
      <c r="C1099" s="2"/>
      <c r="D1099" s="2">
        <f>COUNTIF(contact[[#This Row],[Bagossy]:[Szo
03:00 - 10:00]],"=~?")</f>
        <v>0</v>
      </c>
      <c r="E1099" s="2">
        <f>COUNTIF(contact[[#This Row],[Bagossy]:[Szo
03:00 - 10:00]],"=x")</f>
        <v>0</v>
      </c>
      <c r="F1099" s="2">
        <f>SUM(contact[[#This Row],[?]:[x]])</f>
        <v>0</v>
      </c>
      <c r="G10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099" s="3" t="s">
        <v>3989</v>
      </c>
      <c r="K1099" s="1" t="s">
        <v>1753</v>
      </c>
      <c r="L1099" s="1" t="s">
        <v>2</v>
      </c>
      <c r="M1099" s="1" t="s">
        <v>2</v>
      </c>
      <c r="O1099" s="2"/>
      <c r="P1099" s="2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</row>
    <row r="1100" spans="1:32" s="1" customFormat="1" ht="20.25" customHeight="1" x14ac:dyDescent="0.25">
      <c r="A1100" s="2"/>
      <c r="B1100" s="2"/>
      <c r="C1100" s="2"/>
      <c r="D1100" s="2">
        <f>COUNTIF(contact[[#This Row],[Bagossy]:[Szo
03:00 - 10:00]],"=~?")</f>
        <v>0</v>
      </c>
      <c r="E1100" s="2">
        <f>COUNTIF(contact[[#This Row],[Bagossy]:[Szo
03:00 - 10:00]],"=x")</f>
        <v>0</v>
      </c>
      <c r="F1100" s="2">
        <f>SUM(contact[[#This Row],[?]:[x]])</f>
        <v>0</v>
      </c>
      <c r="G11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0" s="3" t="s">
        <v>4205</v>
      </c>
      <c r="K1100" s="1" t="s">
        <v>1141</v>
      </c>
      <c r="L1100" s="1" t="s">
        <v>2</v>
      </c>
      <c r="M1100" s="1" t="s">
        <v>2</v>
      </c>
      <c r="O1100" s="2"/>
      <c r="P1100" s="2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</row>
    <row r="1101" spans="1:32" s="1" customFormat="1" ht="20.25" customHeight="1" x14ac:dyDescent="0.25">
      <c r="A1101" s="2"/>
      <c r="B1101" s="2"/>
      <c r="C1101" s="2"/>
      <c r="D1101" s="2">
        <f>COUNTIF(contact[[#This Row],[Bagossy]:[Szo
03:00 - 10:00]],"=~?")</f>
        <v>0</v>
      </c>
      <c r="E1101" s="2">
        <f>COUNTIF(contact[[#This Row],[Bagossy]:[Szo
03:00 - 10:00]],"=x")</f>
        <v>0</v>
      </c>
      <c r="F1101" s="2">
        <f>SUM(contact[[#This Row],[?]:[x]])</f>
        <v>0</v>
      </c>
      <c r="G11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1" s="3" t="s">
        <v>4459</v>
      </c>
      <c r="K1101" s="1" t="s">
        <v>2</v>
      </c>
      <c r="L1101" s="1" t="s">
        <v>2</v>
      </c>
      <c r="M1101" s="1" t="s">
        <v>2</v>
      </c>
      <c r="O1101" s="2"/>
      <c r="P1101" s="2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</row>
    <row r="1102" spans="1:32" s="1" customFormat="1" ht="20.25" customHeight="1" x14ac:dyDescent="0.25">
      <c r="A1102" s="2"/>
      <c r="B1102" s="2"/>
      <c r="C1102" s="2"/>
      <c r="D1102" s="2">
        <f>COUNTIF(contact[[#This Row],[Bagossy]:[Szo
03:00 - 10:00]],"=~?")</f>
        <v>0</v>
      </c>
      <c r="E1102" s="2">
        <f>COUNTIF(contact[[#This Row],[Bagossy]:[Szo
03:00 - 10:00]],"=x")</f>
        <v>0</v>
      </c>
      <c r="F1102" s="2">
        <f>SUM(contact[[#This Row],[?]:[x]])</f>
        <v>0</v>
      </c>
      <c r="G11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2" s="3" t="s">
        <v>606</v>
      </c>
      <c r="K1102" s="1" t="s">
        <v>2</v>
      </c>
      <c r="L1102" s="1" t="s">
        <v>2</v>
      </c>
      <c r="M1102" s="1" t="s">
        <v>2</v>
      </c>
      <c r="O1102" s="2"/>
      <c r="P1102" s="2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</row>
    <row r="1103" spans="1:32" s="1" customFormat="1" ht="20.25" customHeight="1" x14ac:dyDescent="0.25">
      <c r="A1103" s="2"/>
      <c r="B1103" s="2"/>
      <c r="C1103" s="2"/>
      <c r="D1103" s="2">
        <f>COUNTIF(contact[[#This Row],[Bagossy]:[Szo
03:00 - 10:00]],"=~?")</f>
        <v>0</v>
      </c>
      <c r="E1103" s="2">
        <f>COUNTIF(contact[[#This Row],[Bagossy]:[Szo
03:00 - 10:00]],"=x")</f>
        <v>0</v>
      </c>
      <c r="F1103" s="2">
        <f>SUM(contact[[#This Row],[?]:[x]])</f>
        <v>0</v>
      </c>
      <c r="G11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03" s="2"/>
      <c r="I1103" s="2"/>
      <c r="J1103" s="3" t="s">
        <v>3007</v>
      </c>
      <c r="K1103" s="1" t="s">
        <v>1534</v>
      </c>
      <c r="L1103" s="1" t="s">
        <v>2</v>
      </c>
      <c r="M1103" s="1" t="s">
        <v>2</v>
      </c>
      <c r="O1103" s="2"/>
      <c r="P1103" s="2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</row>
    <row r="1104" spans="1:32" s="1" customFormat="1" ht="20.25" customHeight="1" x14ac:dyDescent="0.25">
      <c r="A1104" s="2"/>
      <c r="B1104" s="2"/>
      <c r="C1104" s="2"/>
      <c r="D1104" s="2">
        <f>COUNTIF(contact[[#This Row],[Bagossy]:[Szo
03:00 - 10:00]],"=~?")</f>
        <v>0</v>
      </c>
      <c r="E1104" s="2">
        <f>COUNTIF(contact[[#This Row],[Bagossy]:[Szo
03:00 - 10:00]],"=x")</f>
        <v>0</v>
      </c>
      <c r="F1104" s="2">
        <f>SUM(contact[[#This Row],[?]:[x]])</f>
        <v>0</v>
      </c>
      <c r="G11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4" s="3" t="s">
        <v>2074</v>
      </c>
      <c r="K1104" s="1" t="s">
        <v>2</v>
      </c>
      <c r="L1104" s="1" t="s">
        <v>2</v>
      </c>
      <c r="M1104" s="1" t="s">
        <v>2</v>
      </c>
      <c r="O1104" s="2"/>
      <c r="P1104" s="2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</row>
    <row r="1105" spans="1:32" s="1" customFormat="1" ht="20.25" customHeight="1" x14ac:dyDescent="0.25">
      <c r="A1105" s="2"/>
      <c r="B1105" s="2"/>
      <c r="C1105" s="2"/>
      <c r="D1105" s="2">
        <f>COUNTIF(contact[[#This Row],[Bagossy]:[Szo
03:00 - 10:00]],"=~?")</f>
        <v>0</v>
      </c>
      <c r="E1105" s="2">
        <f>COUNTIF(contact[[#This Row],[Bagossy]:[Szo
03:00 - 10:00]],"=x")</f>
        <v>0</v>
      </c>
      <c r="F1105" s="2">
        <f>SUM(contact[[#This Row],[?]:[x]])</f>
        <v>0</v>
      </c>
      <c r="G11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5" s="3" t="s">
        <v>3017</v>
      </c>
      <c r="K1105" s="1" t="s">
        <v>2</v>
      </c>
      <c r="L1105" s="1" t="s">
        <v>2</v>
      </c>
      <c r="M1105" s="1" t="s">
        <v>2</v>
      </c>
      <c r="O1105" s="2"/>
      <c r="P1105" s="2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</row>
    <row r="1106" spans="1:32" s="1" customFormat="1" ht="20.25" customHeight="1" x14ac:dyDescent="0.25">
      <c r="A1106" s="2"/>
      <c r="B1106" s="2"/>
      <c r="C1106" s="2"/>
      <c r="D1106" s="2">
        <f>COUNTIF(contact[[#This Row],[Bagossy]:[Szo
03:00 - 10:00]],"=~?")</f>
        <v>0</v>
      </c>
      <c r="E1106" s="2">
        <f>COUNTIF(contact[[#This Row],[Bagossy]:[Szo
03:00 - 10:00]],"=x")</f>
        <v>0</v>
      </c>
      <c r="F1106" s="2">
        <f>SUM(contact[[#This Row],[?]:[x]])</f>
        <v>0</v>
      </c>
      <c r="G11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6" s="3" t="s">
        <v>4588</v>
      </c>
      <c r="K1106" s="1" t="s">
        <v>1280</v>
      </c>
      <c r="L1106" s="1" t="s">
        <v>2</v>
      </c>
      <c r="M1106" s="1" t="s">
        <v>2</v>
      </c>
      <c r="O1106" s="2"/>
      <c r="P1106" s="2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</row>
    <row r="1107" spans="1:32" s="1" customFormat="1" ht="20.25" customHeight="1" x14ac:dyDescent="0.25">
      <c r="A1107" s="2"/>
      <c r="B1107" s="2"/>
      <c r="C1107" s="2"/>
      <c r="D1107" s="2">
        <f>COUNTIF(contact[[#This Row],[Bagossy]:[Szo
03:00 - 10:00]],"=~?")</f>
        <v>0</v>
      </c>
      <c r="E1107" s="2">
        <f>COUNTIF(contact[[#This Row],[Bagossy]:[Szo
03:00 - 10:00]],"=x")</f>
        <v>0</v>
      </c>
      <c r="F1107" s="2">
        <f>SUM(contact[[#This Row],[?]:[x]])</f>
        <v>0</v>
      </c>
      <c r="G11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7" s="3" t="s">
        <v>2836</v>
      </c>
      <c r="K1107" s="1" t="s">
        <v>1496</v>
      </c>
      <c r="L1107" s="1" t="s">
        <v>2</v>
      </c>
      <c r="M1107" s="1" t="s">
        <v>2</v>
      </c>
      <c r="O1107" s="2"/>
      <c r="P1107" s="2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</row>
    <row r="1108" spans="1:32" s="1" customFormat="1" ht="20.25" customHeight="1" x14ac:dyDescent="0.25">
      <c r="A1108" s="2"/>
      <c r="B1108" s="2"/>
      <c r="C1108" s="2"/>
      <c r="D1108" s="2">
        <f>COUNTIF(contact[[#This Row],[Bagossy]:[Szo
03:00 - 10:00]],"=~?")</f>
        <v>0</v>
      </c>
      <c r="E1108" s="2">
        <f>COUNTIF(contact[[#This Row],[Bagossy]:[Szo
03:00 - 10:00]],"=x")</f>
        <v>0</v>
      </c>
      <c r="F1108" s="2">
        <f>SUM(contact[[#This Row],[?]:[x]])</f>
        <v>0</v>
      </c>
      <c r="G11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8" s="3" t="s">
        <v>4381</v>
      </c>
      <c r="K1108" s="1" t="s">
        <v>1042</v>
      </c>
      <c r="L1108" s="1" t="s">
        <v>2</v>
      </c>
      <c r="M1108" s="1" t="s">
        <v>2</v>
      </c>
      <c r="O1108" s="2"/>
      <c r="P1108" s="2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</row>
    <row r="1109" spans="1:32" s="1" customFormat="1" ht="20.25" customHeight="1" x14ac:dyDescent="0.25">
      <c r="A1109" s="2"/>
      <c r="B1109" s="2"/>
      <c r="C1109" s="2"/>
      <c r="D1109" s="2">
        <f>COUNTIF(contact[[#This Row],[Bagossy]:[Szo
03:00 - 10:00]],"=~?")</f>
        <v>0</v>
      </c>
      <c r="E1109" s="2">
        <f>COUNTIF(contact[[#This Row],[Bagossy]:[Szo
03:00 - 10:00]],"=x")</f>
        <v>0</v>
      </c>
      <c r="F1109" s="2">
        <f>SUM(contact[[#This Row],[?]:[x]])</f>
        <v>0</v>
      </c>
      <c r="G11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09" s="3" t="s">
        <v>1922</v>
      </c>
      <c r="K1109" s="1" t="s">
        <v>1292</v>
      </c>
      <c r="L1109" s="1" t="s">
        <v>2</v>
      </c>
      <c r="M1109" s="1" t="s">
        <v>2</v>
      </c>
      <c r="O1109" s="2"/>
      <c r="P1109" s="2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</row>
    <row r="1110" spans="1:32" s="1" customFormat="1" ht="20.25" customHeight="1" x14ac:dyDescent="0.25">
      <c r="A1110" s="2"/>
      <c r="B1110" s="2"/>
      <c r="C1110" s="2"/>
      <c r="D1110" s="2">
        <f>COUNTIF(contact[[#This Row],[Bagossy]:[Szo
03:00 - 10:00]],"=~?")</f>
        <v>0</v>
      </c>
      <c r="E1110" s="2">
        <f>COUNTIF(contact[[#This Row],[Bagossy]:[Szo
03:00 - 10:00]],"=x")</f>
        <v>0</v>
      </c>
      <c r="F1110" s="2">
        <f>SUM(contact[[#This Row],[?]:[x]])</f>
        <v>0</v>
      </c>
      <c r="G11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0" s="3" t="s">
        <v>2037</v>
      </c>
      <c r="K1110" s="1" t="s">
        <v>1293</v>
      </c>
      <c r="L1110" s="1" t="s">
        <v>2</v>
      </c>
      <c r="M1110" s="1" t="s">
        <v>2</v>
      </c>
      <c r="O1110" s="2"/>
      <c r="P1110" s="2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</row>
    <row r="1111" spans="1:32" s="1" customFormat="1" ht="20.25" customHeight="1" x14ac:dyDescent="0.25">
      <c r="A1111" s="2"/>
      <c r="B1111" s="2"/>
      <c r="C1111" s="2"/>
      <c r="D1111" s="2">
        <f>COUNTIF(contact[[#This Row],[Bagossy]:[Szo
03:00 - 10:00]],"=~?")</f>
        <v>0</v>
      </c>
      <c r="E1111" s="2">
        <f>COUNTIF(contact[[#This Row],[Bagossy]:[Szo
03:00 - 10:00]],"=x")</f>
        <v>0</v>
      </c>
      <c r="F1111" s="2">
        <f>SUM(contact[[#This Row],[?]:[x]])</f>
        <v>0</v>
      </c>
      <c r="G11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1" s="3" t="s">
        <v>2112</v>
      </c>
      <c r="K1111" s="1" t="s">
        <v>118</v>
      </c>
      <c r="L1111" s="1" t="s">
        <v>2</v>
      </c>
      <c r="M1111" s="1" t="s">
        <v>2</v>
      </c>
      <c r="O1111" s="2"/>
      <c r="P1111" s="2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</row>
    <row r="1112" spans="1:32" s="1" customFormat="1" ht="20.25" customHeight="1" x14ac:dyDescent="0.25">
      <c r="A1112" s="2"/>
      <c r="B1112" s="2"/>
      <c r="C1112" s="2"/>
      <c r="D1112" s="2">
        <f>COUNTIF(contact[[#This Row],[Bagossy]:[Szo
03:00 - 10:00]],"=~?")</f>
        <v>0</v>
      </c>
      <c r="E1112" s="2">
        <f>COUNTIF(contact[[#This Row],[Bagossy]:[Szo
03:00 - 10:00]],"=x")</f>
        <v>0</v>
      </c>
      <c r="F1112" s="2">
        <f>SUM(contact[[#This Row],[?]:[x]])</f>
        <v>0</v>
      </c>
      <c r="G11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2" s="3" t="s">
        <v>2265</v>
      </c>
      <c r="K1112" s="1" t="s">
        <v>213</v>
      </c>
      <c r="L1112" s="1" t="s">
        <v>2</v>
      </c>
      <c r="M1112" s="1" t="s">
        <v>2</v>
      </c>
      <c r="O1112" s="2"/>
      <c r="P1112" s="2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</row>
    <row r="1113" spans="1:32" s="1" customFormat="1" ht="20.25" customHeight="1" x14ac:dyDescent="0.25">
      <c r="A1113" s="2"/>
      <c r="B1113" s="2"/>
      <c r="C1113" s="2"/>
      <c r="D1113" s="2">
        <f>COUNTIF(contact[[#This Row],[Bagossy]:[Szo
03:00 - 10:00]],"=~?")</f>
        <v>0</v>
      </c>
      <c r="E1113" s="2">
        <f>COUNTIF(contact[[#This Row],[Bagossy]:[Szo
03:00 - 10:00]],"=x")</f>
        <v>0</v>
      </c>
      <c r="F1113" s="2">
        <f>SUM(contact[[#This Row],[?]:[x]])</f>
        <v>0</v>
      </c>
      <c r="G11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3" s="3" t="s">
        <v>2285</v>
      </c>
      <c r="K1113" s="1" t="s">
        <v>1327</v>
      </c>
      <c r="L1113" s="1" t="s">
        <v>2</v>
      </c>
      <c r="M1113" s="1" t="s">
        <v>2</v>
      </c>
      <c r="O1113" s="2"/>
      <c r="P1113" s="2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</row>
    <row r="1114" spans="1:32" s="1" customFormat="1" ht="20.25" customHeight="1" x14ac:dyDescent="0.25">
      <c r="A1114" s="2"/>
      <c r="B1114" s="2"/>
      <c r="C1114" s="2"/>
      <c r="D1114" s="2">
        <f>COUNTIF(contact[[#This Row],[Bagossy]:[Szo
03:00 - 10:00]],"=~?")</f>
        <v>0</v>
      </c>
      <c r="E1114" s="2">
        <f>COUNTIF(contact[[#This Row],[Bagossy]:[Szo
03:00 - 10:00]],"=x")</f>
        <v>0</v>
      </c>
      <c r="F1114" s="2">
        <f>SUM(contact[[#This Row],[?]:[x]])</f>
        <v>0</v>
      </c>
      <c r="G11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4" s="3" t="s">
        <v>2328</v>
      </c>
      <c r="K1114" s="1" t="s">
        <v>244</v>
      </c>
      <c r="L1114" s="1" t="s">
        <v>2</v>
      </c>
      <c r="M1114" s="1" t="s">
        <v>2</v>
      </c>
      <c r="O1114" s="2"/>
      <c r="P1114" s="2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</row>
    <row r="1115" spans="1:32" s="1" customFormat="1" ht="20.25" customHeight="1" x14ac:dyDescent="0.25">
      <c r="A1115" s="2"/>
      <c r="B1115" s="2"/>
      <c r="C1115" s="2"/>
      <c r="D1115" s="2">
        <f>COUNTIF(contact[[#This Row],[Bagossy]:[Szo
03:00 - 10:00]],"=~?")</f>
        <v>0</v>
      </c>
      <c r="E1115" s="2">
        <f>COUNTIF(contact[[#This Row],[Bagossy]:[Szo
03:00 - 10:00]],"=x")</f>
        <v>0</v>
      </c>
      <c r="F1115" s="2">
        <f>SUM(contact[[#This Row],[?]:[x]])</f>
        <v>0</v>
      </c>
      <c r="G11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5" s="3" t="s">
        <v>2394</v>
      </c>
      <c r="K1115" s="1" t="s">
        <v>283</v>
      </c>
      <c r="L1115" s="1" t="s">
        <v>2</v>
      </c>
      <c r="M1115" s="1" t="s">
        <v>2</v>
      </c>
      <c r="O1115" s="2"/>
      <c r="P1115" s="2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</row>
    <row r="1116" spans="1:32" s="1" customFormat="1" ht="20.25" customHeight="1" x14ac:dyDescent="0.25">
      <c r="A1116" s="2"/>
      <c r="B1116" s="2"/>
      <c r="C1116" s="2"/>
      <c r="D1116" s="2">
        <f>COUNTIF(contact[[#This Row],[Bagossy]:[Szo
03:00 - 10:00]],"=~?")</f>
        <v>0</v>
      </c>
      <c r="E1116" s="2">
        <f>COUNTIF(contact[[#This Row],[Bagossy]:[Szo
03:00 - 10:00]],"=x")</f>
        <v>0</v>
      </c>
      <c r="F1116" s="2">
        <f>SUM(contact[[#This Row],[?]:[x]])</f>
        <v>0</v>
      </c>
      <c r="G11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6" s="3" t="s">
        <v>2442</v>
      </c>
      <c r="K1116" s="1" t="s">
        <v>310</v>
      </c>
      <c r="L1116" s="1" t="s">
        <v>2</v>
      </c>
      <c r="M1116" s="1" t="s">
        <v>2</v>
      </c>
      <c r="O1116" s="2"/>
      <c r="P1116" s="2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</row>
    <row r="1117" spans="1:32" s="1" customFormat="1" ht="20.25" customHeight="1" x14ac:dyDescent="0.25">
      <c r="A1117" s="2"/>
      <c r="B1117" s="2"/>
      <c r="C1117" s="2"/>
      <c r="D1117" s="2">
        <f>COUNTIF(contact[[#This Row],[Bagossy]:[Szo
03:00 - 10:00]],"=~?")</f>
        <v>0</v>
      </c>
      <c r="E1117" s="2">
        <f>COUNTIF(contact[[#This Row],[Bagossy]:[Szo
03:00 - 10:00]],"=x")</f>
        <v>0</v>
      </c>
      <c r="F1117" s="2">
        <f>SUM(contact[[#This Row],[?]:[x]])</f>
        <v>0</v>
      </c>
      <c r="G11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7" s="3" t="s">
        <v>2528</v>
      </c>
      <c r="K1117" s="1" t="s">
        <v>1437</v>
      </c>
      <c r="L1117" s="1" t="s">
        <v>2</v>
      </c>
      <c r="M1117" s="1" t="s">
        <v>2</v>
      </c>
      <c r="O1117" s="2"/>
      <c r="P1117" s="2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</row>
    <row r="1118" spans="1:32" s="1" customFormat="1" ht="20.25" customHeight="1" x14ac:dyDescent="0.25">
      <c r="A1118" s="2"/>
      <c r="B1118" s="2"/>
      <c r="C1118" s="2"/>
      <c r="D1118" s="2">
        <f>COUNTIF(contact[[#This Row],[Bagossy]:[Szo
03:00 - 10:00]],"=~?")</f>
        <v>0</v>
      </c>
      <c r="E1118" s="2">
        <f>COUNTIF(contact[[#This Row],[Bagossy]:[Szo
03:00 - 10:00]],"=x")</f>
        <v>0</v>
      </c>
      <c r="F1118" s="2">
        <f>SUM(contact[[#This Row],[?]:[x]])</f>
        <v>0</v>
      </c>
      <c r="G11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8" s="3" t="s">
        <v>2528</v>
      </c>
      <c r="K1118" s="1" t="s">
        <v>1438</v>
      </c>
      <c r="L1118" s="1" t="s">
        <v>2</v>
      </c>
      <c r="M1118" s="1" t="s">
        <v>2</v>
      </c>
      <c r="O1118" s="2"/>
      <c r="P1118" s="2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</row>
    <row r="1119" spans="1:32" s="1" customFormat="1" ht="20.25" customHeight="1" x14ac:dyDescent="0.25">
      <c r="A1119" s="2"/>
      <c r="B1119" s="2"/>
      <c r="C1119" s="2"/>
      <c r="D1119" s="2">
        <f>COUNTIF(contact[[#This Row],[Bagossy]:[Szo
03:00 - 10:00]],"=~?")</f>
        <v>0</v>
      </c>
      <c r="E1119" s="2">
        <f>COUNTIF(contact[[#This Row],[Bagossy]:[Szo
03:00 - 10:00]],"=x")</f>
        <v>0</v>
      </c>
      <c r="F1119" s="2">
        <f>SUM(contact[[#This Row],[?]:[x]])</f>
        <v>0</v>
      </c>
      <c r="G11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19" s="3" t="s">
        <v>2650</v>
      </c>
      <c r="K1119" s="1" t="s">
        <v>2</v>
      </c>
      <c r="L1119" s="1" t="s">
        <v>2</v>
      </c>
      <c r="M1119" s="1" t="s">
        <v>2</v>
      </c>
      <c r="O1119" s="2"/>
      <c r="P1119" s="2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</row>
    <row r="1120" spans="1:32" s="1" customFormat="1" ht="20.25" customHeight="1" x14ac:dyDescent="0.25">
      <c r="A1120" s="2"/>
      <c r="B1120" s="2"/>
      <c r="C1120" s="2"/>
      <c r="D1120" s="2">
        <f>COUNTIF(contact[[#This Row],[Bagossy]:[Szo
03:00 - 10:00]],"=~?")</f>
        <v>0</v>
      </c>
      <c r="E1120" s="2">
        <f>COUNTIF(contact[[#This Row],[Bagossy]:[Szo
03:00 - 10:00]],"=x")</f>
        <v>0</v>
      </c>
      <c r="F1120" s="2">
        <f>SUM(contact[[#This Row],[?]:[x]])</f>
        <v>0</v>
      </c>
      <c r="G11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0" s="3" t="s">
        <v>2837</v>
      </c>
      <c r="K1120" s="1" t="s">
        <v>465</v>
      </c>
      <c r="L1120" s="1" t="s">
        <v>2</v>
      </c>
      <c r="M1120" s="1" t="s">
        <v>2</v>
      </c>
      <c r="O1120" s="2"/>
      <c r="P1120" s="2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</row>
    <row r="1121" spans="1:32" s="1" customFormat="1" ht="20.25" customHeight="1" x14ac:dyDescent="0.25">
      <c r="A1121" s="2"/>
      <c r="B1121" s="2"/>
      <c r="C1121" s="2"/>
      <c r="D1121" s="2">
        <f>COUNTIF(contact[[#This Row],[Bagossy]:[Szo
03:00 - 10:00]],"=~?")</f>
        <v>0</v>
      </c>
      <c r="E1121" s="2">
        <f>COUNTIF(contact[[#This Row],[Bagossy]:[Szo
03:00 - 10:00]],"=x")</f>
        <v>0</v>
      </c>
      <c r="F1121" s="2">
        <f>SUM(contact[[#This Row],[?]:[x]])</f>
        <v>0</v>
      </c>
      <c r="G11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1" s="3" t="s">
        <v>3089</v>
      </c>
      <c r="K1121" s="1" t="s">
        <v>1561</v>
      </c>
      <c r="L1121" s="1" t="s">
        <v>2</v>
      </c>
      <c r="M1121" s="1" t="s">
        <v>2</v>
      </c>
      <c r="O1121" s="2"/>
      <c r="P1121" s="2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</row>
    <row r="1122" spans="1:32" s="1" customFormat="1" ht="20.25" customHeight="1" x14ac:dyDescent="0.25">
      <c r="A1122" s="2"/>
      <c r="B1122" s="2"/>
      <c r="C1122" s="2"/>
      <c r="D1122" s="2">
        <f>COUNTIF(contact[[#This Row],[Bagossy]:[Szo
03:00 - 10:00]],"=~?")</f>
        <v>0</v>
      </c>
      <c r="E1122" s="2">
        <f>COUNTIF(contact[[#This Row],[Bagossy]:[Szo
03:00 - 10:00]],"=x")</f>
        <v>0</v>
      </c>
      <c r="F1122" s="2">
        <f>SUM(contact[[#This Row],[?]:[x]])</f>
        <v>0</v>
      </c>
      <c r="G11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2" s="3" t="s">
        <v>3145</v>
      </c>
      <c r="K1122" s="1" t="s">
        <v>666</v>
      </c>
      <c r="L1122" s="1" t="s">
        <v>2</v>
      </c>
      <c r="M1122" s="1" t="s">
        <v>2</v>
      </c>
      <c r="O1122" s="2"/>
      <c r="P1122" s="2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</row>
    <row r="1123" spans="1:32" s="1" customFormat="1" ht="20.25" customHeight="1" x14ac:dyDescent="0.25">
      <c r="A1123" s="2"/>
      <c r="B1123" s="2"/>
      <c r="C1123" s="2"/>
      <c r="D1123" s="2">
        <f>COUNTIF(contact[[#This Row],[Bagossy]:[Szo
03:00 - 10:00]],"=~?")</f>
        <v>0</v>
      </c>
      <c r="E1123" s="2">
        <f>COUNTIF(contact[[#This Row],[Bagossy]:[Szo
03:00 - 10:00]],"=x")</f>
        <v>0</v>
      </c>
      <c r="F1123" s="2">
        <f>SUM(contact[[#This Row],[?]:[x]])</f>
        <v>0</v>
      </c>
      <c r="G11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3" s="3" t="s">
        <v>3357</v>
      </c>
      <c r="K1123" s="1" t="s">
        <v>770</v>
      </c>
      <c r="L1123" s="1" t="s">
        <v>2</v>
      </c>
      <c r="M1123" s="1" t="s">
        <v>2</v>
      </c>
      <c r="O1123" s="2"/>
      <c r="P1123" s="2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</row>
    <row r="1124" spans="1:32" s="1" customFormat="1" ht="20.25" customHeight="1" x14ac:dyDescent="0.25">
      <c r="A1124" s="2"/>
      <c r="B1124" s="2"/>
      <c r="C1124" s="2"/>
      <c r="D1124" s="2">
        <f>COUNTIF(contact[[#This Row],[Bagossy]:[Szo
03:00 - 10:00]],"=~?")</f>
        <v>0</v>
      </c>
      <c r="E1124" s="2">
        <f>COUNTIF(contact[[#This Row],[Bagossy]:[Szo
03:00 - 10:00]],"=x")</f>
        <v>0</v>
      </c>
      <c r="F1124" s="2">
        <f>SUM(contact[[#This Row],[?]:[x]])</f>
        <v>0</v>
      </c>
      <c r="G11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4" s="3" t="s">
        <v>3636</v>
      </c>
      <c r="K1124" s="1" t="s">
        <v>639</v>
      </c>
      <c r="L1124" s="1" t="s">
        <v>2</v>
      </c>
      <c r="M1124" s="1" t="s">
        <v>2</v>
      </c>
      <c r="O1124" s="2"/>
      <c r="P1124" s="2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</row>
    <row r="1125" spans="1:32" s="1" customFormat="1" ht="20.25" customHeight="1" x14ac:dyDescent="0.25">
      <c r="A1125" s="2"/>
      <c r="B1125" s="2"/>
      <c r="C1125" s="2"/>
      <c r="D1125" s="2">
        <f>COUNTIF(contact[[#This Row],[Bagossy]:[Szo
03:00 - 10:00]],"=~?")</f>
        <v>0</v>
      </c>
      <c r="E1125" s="2">
        <f>COUNTIF(contact[[#This Row],[Bagossy]:[Szo
03:00 - 10:00]],"=x")</f>
        <v>0</v>
      </c>
      <c r="F1125" s="2">
        <f>SUM(contact[[#This Row],[?]:[x]])</f>
        <v>0</v>
      </c>
      <c r="G11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5" s="3" t="s">
        <v>3964</v>
      </c>
      <c r="K1125" s="1" t="s">
        <v>2</v>
      </c>
      <c r="L1125" s="1" t="s">
        <v>2</v>
      </c>
      <c r="M1125" s="1" t="s">
        <v>2</v>
      </c>
      <c r="O1125" s="2"/>
      <c r="P1125" s="2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</row>
    <row r="1126" spans="1:32" s="1" customFormat="1" ht="20.25" customHeight="1" x14ac:dyDescent="0.25">
      <c r="A1126" s="2"/>
      <c r="B1126" s="2"/>
      <c r="C1126" s="2"/>
      <c r="D1126" s="2">
        <f>COUNTIF(contact[[#This Row],[Bagossy]:[Szo
03:00 - 10:00]],"=~?")</f>
        <v>0</v>
      </c>
      <c r="E1126" s="2">
        <f>COUNTIF(contact[[#This Row],[Bagossy]:[Szo
03:00 - 10:00]],"=x")</f>
        <v>0</v>
      </c>
      <c r="F1126" s="2">
        <f>SUM(contact[[#This Row],[?]:[x]])</f>
        <v>0</v>
      </c>
      <c r="G11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6" s="3" t="s">
        <v>4009</v>
      </c>
      <c r="K1126" s="1" t="s">
        <v>1063</v>
      </c>
      <c r="L1126" s="1" t="s">
        <v>2</v>
      </c>
      <c r="M1126" s="1" t="s">
        <v>2</v>
      </c>
      <c r="O1126" s="2"/>
      <c r="P1126" s="2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</row>
    <row r="1127" spans="1:32" s="1" customFormat="1" ht="20.25" customHeight="1" x14ac:dyDescent="0.25">
      <c r="A1127" s="2"/>
      <c r="B1127" s="2"/>
      <c r="C1127" s="2"/>
      <c r="D1127" s="2">
        <f>COUNTIF(contact[[#This Row],[Bagossy]:[Szo
03:00 - 10:00]],"=~?")</f>
        <v>0</v>
      </c>
      <c r="E1127" s="2">
        <f>COUNTIF(contact[[#This Row],[Bagossy]:[Szo
03:00 - 10:00]],"=x")</f>
        <v>0</v>
      </c>
      <c r="F1127" s="2">
        <f>SUM(contact[[#This Row],[?]:[x]])</f>
        <v>0</v>
      </c>
      <c r="G11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7" s="3" t="s">
        <v>4022</v>
      </c>
      <c r="K1127" s="1" t="s">
        <v>1763</v>
      </c>
      <c r="L1127" s="1" t="s">
        <v>2</v>
      </c>
      <c r="M1127" s="1" t="s">
        <v>2</v>
      </c>
      <c r="O1127" s="2"/>
      <c r="P1127" s="2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</row>
    <row r="1128" spans="1:32" s="1" customFormat="1" ht="20.25" customHeight="1" x14ac:dyDescent="0.25">
      <c r="A1128" s="2"/>
      <c r="B1128" s="2"/>
      <c r="C1128" s="2"/>
      <c r="D1128" s="2">
        <f>COUNTIF(contact[[#This Row],[Bagossy]:[Szo
03:00 - 10:00]],"=~?")</f>
        <v>0</v>
      </c>
      <c r="E1128" s="2">
        <f>COUNTIF(contact[[#This Row],[Bagossy]:[Szo
03:00 - 10:00]],"=x")</f>
        <v>0</v>
      </c>
      <c r="F1128" s="2">
        <f>SUM(contact[[#This Row],[?]:[x]])</f>
        <v>0</v>
      </c>
      <c r="G11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28" s="3" t="s">
        <v>4047</v>
      </c>
      <c r="K1128" s="1" t="s">
        <v>1770</v>
      </c>
      <c r="L1128" s="1" t="s">
        <v>2</v>
      </c>
      <c r="M1128" s="1" t="s">
        <v>2</v>
      </c>
      <c r="O1128" s="2"/>
      <c r="P1128" s="2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</row>
    <row r="1129" spans="1:32" s="1" customFormat="1" ht="20.25" customHeight="1" x14ac:dyDescent="0.25">
      <c r="A1129" s="2"/>
      <c r="B1129" s="2"/>
      <c r="C1129" s="2"/>
      <c r="D1129" s="2">
        <f>COUNTIF(contact[[#This Row],[Bagossy]:[Szo
03:00 - 10:00]],"=~?")</f>
        <v>0</v>
      </c>
      <c r="E1129" s="2">
        <f>COUNTIF(contact[[#This Row],[Bagossy]:[Szo
03:00 - 10:00]],"=x")</f>
        <v>0</v>
      </c>
      <c r="F1129" s="2">
        <f>SUM(contact[[#This Row],[?]:[x]])</f>
        <v>0</v>
      </c>
      <c r="G11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29" s="2"/>
      <c r="I1129" s="2"/>
      <c r="J1129" s="3" t="s">
        <v>3019</v>
      </c>
      <c r="K1129" s="1" t="s">
        <v>1540</v>
      </c>
      <c r="L1129" s="1" t="s">
        <v>2</v>
      </c>
      <c r="M1129" s="1" t="s">
        <v>2</v>
      </c>
      <c r="O1129" s="2"/>
      <c r="P1129" s="2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</row>
    <row r="1130" spans="1:32" s="1" customFormat="1" ht="20.25" customHeight="1" x14ac:dyDescent="0.25">
      <c r="A1130" s="2"/>
      <c r="B1130" s="2"/>
      <c r="C1130" s="2"/>
      <c r="D1130" s="2">
        <f>COUNTIF(contact[[#This Row],[Bagossy]:[Szo
03:00 - 10:00]],"=~?")</f>
        <v>0</v>
      </c>
      <c r="E1130" s="2">
        <f>COUNTIF(contact[[#This Row],[Bagossy]:[Szo
03:00 - 10:00]],"=x")</f>
        <v>0</v>
      </c>
      <c r="F1130" s="2">
        <f>SUM(contact[[#This Row],[?]:[x]])</f>
        <v>0</v>
      </c>
      <c r="G11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30" s="2"/>
      <c r="I1130" s="2"/>
      <c r="J1130" s="3" t="s">
        <v>3024</v>
      </c>
      <c r="K1130" s="1" t="s">
        <v>1545</v>
      </c>
      <c r="L1130" s="1" t="s">
        <v>2</v>
      </c>
      <c r="M1130" s="1" t="s">
        <v>2</v>
      </c>
      <c r="O1130" s="2"/>
      <c r="P1130" s="2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</row>
    <row r="1131" spans="1:32" s="1" customFormat="1" ht="20.25" customHeight="1" x14ac:dyDescent="0.25">
      <c r="A1131" s="2"/>
      <c r="B1131" s="2"/>
      <c r="C1131" s="2"/>
      <c r="D1131" s="2">
        <f>COUNTIF(contact[[#This Row],[Bagossy]:[Szo
03:00 - 10:00]],"=~?")</f>
        <v>0</v>
      </c>
      <c r="E1131" s="2">
        <f>COUNTIF(contact[[#This Row],[Bagossy]:[Szo
03:00 - 10:00]],"=x")</f>
        <v>0</v>
      </c>
      <c r="F1131" s="2">
        <f>SUM(contact[[#This Row],[?]:[x]])</f>
        <v>0</v>
      </c>
      <c r="G11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1" s="3" t="s">
        <v>4362</v>
      </c>
      <c r="K1131" s="1" t="s">
        <v>1212</v>
      </c>
      <c r="L1131" s="1" t="s">
        <v>2</v>
      </c>
      <c r="M1131" s="1" t="s">
        <v>2</v>
      </c>
      <c r="O1131" s="2"/>
      <c r="P1131" s="2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</row>
    <row r="1132" spans="1:32" s="1" customFormat="1" ht="20.25" customHeight="1" x14ac:dyDescent="0.25">
      <c r="A1132" s="2"/>
      <c r="B1132" s="2"/>
      <c r="C1132" s="2"/>
      <c r="D1132" s="2">
        <f>COUNTIF(contact[[#This Row],[Bagossy]:[Szo
03:00 - 10:00]],"=~?")</f>
        <v>0</v>
      </c>
      <c r="E1132" s="2">
        <f>COUNTIF(contact[[#This Row],[Bagossy]:[Szo
03:00 - 10:00]],"=x")</f>
        <v>0</v>
      </c>
      <c r="F1132" s="2">
        <f>SUM(contact[[#This Row],[?]:[x]])</f>
        <v>0</v>
      </c>
      <c r="G11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2" s="3" t="s">
        <v>4362</v>
      </c>
      <c r="K1132" s="1" t="s">
        <v>1327</v>
      </c>
      <c r="L1132" s="1" t="s">
        <v>2</v>
      </c>
      <c r="M1132" s="1" t="s">
        <v>2</v>
      </c>
      <c r="O1132" s="2"/>
      <c r="P1132" s="2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</row>
    <row r="1133" spans="1:32" s="1" customFormat="1" ht="20.25" customHeight="1" x14ac:dyDescent="0.25">
      <c r="A1133" s="2"/>
      <c r="B1133" s="2"/>
      <c r="C1133" s="2"/>
      <c r="D1133" s="2">
        <f>COUNTIF(contact[[#This Row],[Bagossy]:[Szo
03:00 - 10:00]],"=~?")</f>
        <v>0</v>
      </c>
      <c r="E1133" s="2">
        <f>COUNTIF(contact[[#This Row],[Bagossy]:[Szo
03:00 - 10:00]],"=x")</f>
        <v>0</v>
      </c>
      <c r="F1133" s="2">
        <f>SUM(contact[[#This Row],[?]:[x]])</f>
        <v>0</v>
      </c>
      <c r="G11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3" s="3" t="s">
        <v>4460</v>
      </c>
      <c r="K1133" s="1" t="s">
        <v>1865</v>
      </c>
      <c r="L1133" s="1" t="s">
        <v>2</v>
      </c>
      <c r="M1133" s="1" t="s">
        <v>2</v>
      </c>
      <c r="O1133" s="2"/>
      <c r="P1133" s="2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</row>
    <row r="1134" spans="1:32" s="1" customFormat="1" ht="20.25" customHeight="1" x14ac:dyDescent="0.25">
      <c r="A1134" s="2"/>
      <c r="B1134" s="2"/>
      <c r="C1134" s="2"/>
      <c r="D1134" s="2">
        <f>COUNTIF(contact[[#This Row],[Bagossy]:[Szo
03:00 - 10:00]],"=~?")</f>
        <v>0</v>
      </c>
      <c r="E1134" s="2">
        <f>COUNTIF(contact[[#This Row],[Bagossy]:[Szo
03:00 - 10:00]],"=x")</f>
        <v>0</v>
      </c>
      <c r="F1134" s="2">
        <f>SUM(contact[[#This Row],[?]:[x]])</f>
        <v>0</v>
      </c>
      <c r="G11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4" s="3" t="s">
        <v>4505</v>
      </c>
      <c r="K1134" s="1" t="s">
        <v>2</v>
      </c>
      <c r="L1134" s="1" t="s">
        <v>2</v>
      </c>
      <c r="M1134" s="1" t="s">
        <v>2</v>
      </c>
      <c r="O1134" s="2"/>
      <c r="P1134" s="2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</row>
    <row r="1135" spans="1:32" s="1" customFormat="1" ht="20.25" customHeight="1" x14ac:dyDescent="0.25">
      <c r="A1135" s="2"/>
      <c r="B1135" s="2"/>
      <c r="C1135" s="2"/>
      <c r="D1135" s="2">
        <f>COUNTIF(contact[[#This Row],[Bagossy]:[Szo
03:00 - 10:00]],"=~?")</f>
        <v>0</v>
      </c>
      <c r="E1135" s="2">
        <f>COUNTIF(contact[[#This Row],[Bagossy]:[Szo
03:00 - 10:00]],"=x")</f>
        <v>0</v>
      </c>
      <c r="F1135" s="2">
        <f>SUM(contact[[#This Row],[?]:[x]])</f>
        <v>0</v>
      </c>
      <c r="G11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35" s="2"/>
      <c r="I1135" s="2"/>
      <c r="J1135" s="3" t="s">
        <v>3035</v>
      </c>
      <c r="K1135" s="1" t="s">
        <v>1550</v>
      </c>
      <c r="L1135" s="1" t="s">
        <v>2</v>
      </c>
      <c r="M1135" s="1" t="s">
        <v>2</v>
      </c>
      <c r="O1135" s="2"/>
      <c r="P1135" s="2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</row>
    <row r="1136" spans="1:32" s="1" customFormat="1" ht="20.25" customHeight="1" x14ac:dyDescent="0.25">
      <c r="A1136" s="2"/>
      <c r="B1136" s="2"/>
      <c r="C1136" s="2"/>
      <c r="D1136" s="2">
        <f>COUNTIF(contact[[#This Row],[Bagossy]:[Szo
03:00 - 10:00]],"=~?")</f>
        <v>0</v>
      </c>
      <c r="E1136" s="2">
        <f>COUNTIF(contact[[#This Row],[Bagossy]:[Szo
03:00 - 10:00]],"=x")</f>
        <v>0</v>
      </c>
      <c r="F1136" s="2">
        <f>SUM(contact[[#This Row],[?]:[x]])</f>
        <v>0</v>
      </c>
      <c r="G11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6" s="3" t="s">
        <v>608</v>
      </c>
      <c r="K1136" s="1" t="s">
        <v>2</v>
      </c>
      <c r="L1136" s="1" t="s">
        <v>2</v>
      </c>
      <c r="M1136" s="1" t="s">
        <v>2</v>
      </c>
      <c r="O1136" s="2"/>
      <c r="P1136" s="2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</row>
    <row r="1137" spans="1:32" s="1" customFormat="1" ht="20.25" customHeight="1" x14ac:dyDescent="0.25">
      <c r="A1137" s="2"/>
      <c r="B1137" s="2"/>
      <c r="C1137" s="2"/>
      <c r="D1137" s="2">
        <f>COUNTIF(contact[[#This Row],[Bagossy]:[Szo
03:00 - 10:00]],"=~?")</f>
        <v>0</v>
      </c>
      <c r="E1137" s="2">
        <f>COUNTIF(contact[[#This Row],[Bagossy]:[Szo
03:00 - 10:00]],"=x")</f>
        <v>0</v>
      </c>
      <c r="F1137" s="2">
        <f>SUM(contact[[#This Row],[?]:[x]])</f>
        <v>0</v>
      </c>
      <c r="G11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7" s="3" t="s">
        <v>3629</v>
      </c>
      <c r="K1137" s="1" t="s">
        <v>1690</v>
      </c>
      <c r="L1137" s="1" t="s">
        <v>2</v>
      </c>
      <c r="M1137" s="1" t="s">
        <v>2</v>
      </c>
      <c r="O1137" s="2"/>
      <c r="P1137" s="2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</row>
    <row r="1138" spans="1:32" s="1" customFormat="1" ht="20.25" customHeight="1" x14ac:dyDescent="0.25">
      <c r="A1138" s="2"/>
      <c r="B1138" s="2"/>
      <c r="C1138" s="2"/>
      <c r="D1138" s="2">
        <f>COUNTIF(contact[[#This Row],[Bagossy]:[Szo
03:00 - 10:00]],"=~?")</f>
        <v>0</v>
      </c>
      <c r="E1138" s="2">
        <f>COUNTIF(contact[[#This Row],[Bagossy]:[Szo
03:00 - 10:00]],"=x")</f>
        <v>0</v>
      </c>
      <c r="F1138" s="2">
        <f>SUM(contact[[#This Row],[?]:[x]])</f>
        <v>0</v>
      </c>
      <c r="G11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8" s="3" t="s">
        <v>4363</v>
      </c>
      <c r="K1138" s="1" t="s">
        <v>66</v>
      </c>
      <c r="L1138" s="1" t="s">
        <v>2</v>
      </c>
      <c r="M1138" s="1" t="s">
        <v>2</v>
      </c>
      <c r="O1138" s="2"/>
      <c r="P1138" s="2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</row>
    <row r="1139" spans="1:32" s="1" customFormat="1" ht="20.25" customHeight="1" x14ac:dyDescent="0.25">
      <c r="A1139" s="2"/>
      <c r="B1139" s="2"/>
      <c r="C1139" s="2"/>
      <c r="D1139" s="2">
        <f>COUNTIF(contact[[#This Row],[Bagossy]:[Szo
03:00 - 10:00]],"=~?")</f>
        <v>0</v>
      </c>
      <c r="E1139" s="2">
        <f>COUNTIF(contact[[#This Row],[Bagossy]:[Szo
03:00 - 10:00]],"=x")</f>
        <v>0</v>
      </c>
      <c r="F1139" s="2">
        <f>SUM(contact[[#This Row],[?]:[x]])</f>
        <v>0</v>
      </c>
      <c r="G11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39" s="3" t="s">
        <v>3018</v>
      </c>
      <c r="K1139" s="1" t="s">
        <v>1539</v>
      </c>
      <c r="L1139" s="1" t="s">
        <v>2</v>
      </c>
      <c r="M1139" s="1" t="s">
        <v>2</v>
      </c>
      <c r="O1139" s="2"/>
      <c r="P1139" s="2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</row>
    <row r="1140" spans="1:32" s="1" customFormat="1" ht="20.25" customHeight="1" x14ac:dyDescent="0.25">
      <c r="A1140" s="2"/>
      <c r="B1140" s="2"/>
      <c r="C1140" s="2"/>
      <c r="D1140" s="2">
        <f>COUNTIF(contact[[#This Row],[Bagossy]:[Szo
03:00 - 10:00]],"=~?")</f>
        <v>0</v>
      </c>
      <c r="E1140" s="2">
        <f>COUNTIF(contact[[#This Row],[Bagossy]:[Szo
03:00 - 10:00]],"=x")</f>
        <v>0</v>
      </c>
      <c r="F1140" s="2">
        <f>SUM(contact[[#This Row],[?]:[x]])</f>
        <v>0</v>
      </c>
      <c r="G11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40" s="3" t="s">
        <v>3637</v>
      </c>
      <c r="K1140" s="1" t="s">
        <v>874</v>
      </c>
      <c r="L1140" s="1" t="s">
        <v>2</v>
      </c>
      <c r="M1140" s="1" t="s">
        <v>2</v>
      </c>
      <c r="O1140" s="2"/>
      <c r="P1140" s="2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</row>
    <row r="1141" spans="1:32" s="1" customFormat="1" ht="20.25" customHeight="1" x14ac:dyDescent="0.25">
      <c r="A1141" s="2"/>
      <c r="B1141" s="2" t="s">
        <v>1285</v>
      </c>
      <c r="C1141" s="2" t="s">
        <v>1285</v>
      </c>
      <c r="D1141" s="2">
        <f>COUNTIF(contact[[#This Row],[Bagossy]:[Szo
03:00 - 10:00]],"=~?")</f>
        <v>0</v>
      </c>
      <c r="E1141" s="2">
        <f>COUNTIF(contact[[#This Row],[Bagossy]:[Szo
03:00 - 10:00]],"=x")</f>
        <v>0</v>
      </c>
      <c r="F1141" s="2">
        <f>SUM(contact[[#This Row],[?]:[x]])</f>
        <v>0</v>
      </c>
      <c r="G11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41" s="2" t="s">
        <v>4616</v>
      </c>
      <c r="I1141" s="2"/>
      <c r="J1141" s="3" t="s">
        <v>3037</v>
      </c>
      <c r="K1141" s="1" t="s">
        <v>365</v>
      </c>
      <c r="L1141" s="1" t="s">
        <v>2</v>
      </c>
      <c r="M1141" s="1" t="s">
        <v>2</v>
      </c>
      <c r="O1141" s="2"/>
      <c r="P1141" s="2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</row>
    <row r="1142" spans="1:32" s="1" customFormat="1" ht="20.25" customHeight="1" x14ac:dyDescent="0.25">
      <c r="A1142" s="2"/>
      <c r="B1142" s="2"/>
      <c r="C1142" s="2"/>
      <c r="D1142" s="2">
        <f>COUNTIF(contact[[#This Row],[Bagossy]:[Szo
03:00 - 10:00]],"=~?")</f>
        <v>0</v>
      </c>
      <c r="E1142" s="2">
        <f>COUNTIF(contact[[#This Row],[Bagossy]:[Szo
03:00 - 10:00]],"=x")</f>
        <v>0</v>
      </c>
      <c r="F1142" s="2">
        <f>SUM(contact[[#This Row],[?]:[x]])</f>
        <v>0</v>
      </c>
      <c r="G11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42" s="2"/>
      <c r="I1142" s="2"/>
      <c r="J1142" s="3" t="s">
        <v>3048</v>
      </c>
      <c r="K1142" s="1" t="s">
        <v>1296</v>
      </c>
      <c r="L1142" s="1" t="s">
        <v>2</v>
      </c>
      <c r="M1142" s="1" t="s">
        <v>2</v>
      </c>
      <c r="O1142" s="2"/>
      <c r="P1142" s="2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</row>
    <row r="1143" spans="1:32" s="1" customFormat="1" ht="20.25" customHeight="1" x14ac:dyDescent="0.25">
      <c r="A1143" s="2"/>
      <c r="B1143" s="2"/>
      <c r="C1143" s="2"/>
      <c r="D1143" s="2">
        <f>COUNTIF(contact[[#This Row],[Bagossy]:[Szo
03:00 - 10:00]],"=~?")</f>
        <v>0</v>
      </c>
      <c r="E1143" s="2">
        <f>COUNTIF(contact[[#This Row],[Bagossy]:[Szo
03:00 - 10:00]],"=x")</f>
        <v>0</v>
      </c>
      <c r="F1143" s="2">
        <f>SUM(contact[[#This Row],[?]:[x]])</f>
        <v>0</v>
      </c>
      <c r="G11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43" s="3" t="s">
        <v>3808</v>
      </c>
      <c r="K1143" s="1" t="s">
        <v>2</v>
      </c>
      <c r="L1143" s="1" t="s">
        <v>2</v>
      </c>
      <c r="M1143" s="1" t="s">
        <v>2</v>
      </c>
      <c r="O1143" s="2"/>
      <c r="P1143" s="2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</row>
    <row r="1144" spans="1:32" s="1" customFormat="1" ht="20.25" customHeight="1" x14ac:dyDescent="0.25">
      <c r="A1144" s="2"/>
      <c r="B1144" s="2"/>
      <c r="C1144" s="2"/>
      <c r="D1144" s="2">
        <f>COUNTIF(contact[[#This Row],[Bagossy]:[Szo
03:00 - 10:00]],"=~?")</f>
        <v>0</v>
      </c>
      <c r="E1144" s="2">
        <f>COUNTIF(contact[[#This Row],[Bagossy]:[Szo
03:00 - 10:00]],"=x")</f>
        <v>0</v>
      </c>
      <c r="F1144" s="2">
        <f>SUM(contact[[#This Row],[?]:[x]])</f>
        <v>0</v>
      </c>
      <c r="G11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44" s="3" t="s">
        <v>3455</v>
      </c>
      <c r="K1144" s="1" t="s">
        <v>2</v>
      </c>
      <c r="L1144" s="1" t="s">
        <v>2</v>
      </c>
      <c r="M1144" s="1" t="s">
        <v>2</v>
      </c>
      <c r="O1144" s="2"/>
      <c r="P1144" s="2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</row>
    <row r="1145" spans="1:32" s="1" customFormat="1" ht="20.25" customHeight="1" x14ac:dyDescent="0.25">
      <c r="A1145" s="2"/>
      <c r="B1145" s="2"/>
      <c r="C1145" s="2"/>
      <c r="D1145" s="2">
        <f>COUNTIF(contact[[#This Row],[Bagossy]:[Szo
03:00 - 10:00]],"=~?")</f>
        <v>0</v>
      </c>
      <c r="E1145" s="2">
        <f>COUNTIF(contact[[#This Row],[Bagossy]:[Szo
03:00 - 10:00]],"=x")</f>
        <v>0</v>
      </c>
      <c r="F1145" s="2">
        <f>SUM(contact[[#This Row],[?]:[x]])</f>
        <v>0</v>
      </c>
      <c r="G11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45" s="3" t="s">
        <v>3598</v>
      </c>
      <c r="K1145" s="1" t="s">
        <v>333</v>
      </c>
      <c r="L1145" s="1" t="s">
        <v>2</v>
      </c>
      <c r="M1145" s="1" t="s">
        <v>2</v>
      </c>
      <c r="O1145" s="2"/>
      <c r="P1145" s="2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</row>
    <row r="1146" spans="1:32" s="1" customFormat="1" ht="20.25" customHeight="1" x14ac:dyDescent="0.25">
      <c r="A1146" s="2" t="s">
        <v>1285</v>
      </c>
      <c r="B1146" s="2" t="s">
        <v>1285</v>
      </c>
      <c r="C1146" s="2" t="s">
        <v>1285</v>
      </c>
      <c r="D1146" s="2">
        <f>COUNTIF(contact[[#This Row],[Bagossy]:[Szo
03:00 - 10:00]],"=~?")</f>
        <v>0</v>
      </c>
      <c r="E1146" s="2">
        <f>COUNTIF(contact[[#This Row],[Bagossy]:[Szo
03:00 - 10:00]],"=x")</f>
        <v>5</v>
      </c>
      <c r="F1146" s="2">
        <f>SUM(contact[[#This Row],[?]:[x]])</f>
        <v>5</v>
      </c>
      <c r="G1146" s="2">
        <f>COUNTIF(contact[[#This Row],[Sze
10:00 - 22:00]:[Cs
03:00 - 08:00]],"=x")+COUNTIF(contact[[#This Row],[P
08:00 - 12:00]:[P
03:00 - 08:00]],"=x")+COUNTIF(contact[[#This Row],[Szo
08:00 - 12:00]:[Szo
03:00 - 10:00]],"=x")</f>
        <v>4</v>
      </c>
      <c r="H1146" s="2" t="s">
        <v>4623</v>
      </c>
      <c r="I1146" s="2"/>
      <c r="J1146" s="3" t="s">
        <v>4639</v>
      </c>
      <c r="K1146" s="1" t="s">
        <v>522</v>
      </c>
      <c r="L1146" s="1" t="s">
        <v>2</v>
      </c>
      <c r="M1146" s="1" t="s">
        <v>2</v>
      </c>
      <c r="O1146" s="2"/>
      <c r="P1146" s="2"/>
      <c r="Q1146" s="6"/>
      <c r="R1146" s="6"/>
      <c r="S1146" s="6"/>
      <c r="T1146" s="6"/>
      <c r="U1146" s="6"/>
      <c r="V1146" s="6"/>
      <c r="W1146" s="6" t="s">
        <v>1285</v>
      </c>
      <c r="X1146" s="6"/>
      <c r="Y1146" s="6" t="s">
        <v>1285</v>
      </c>
      <c r="Z1146" s="6" t="s">
        <v>1285</v>
      </c>
      <c r="AA1146" s="6"/>
      <c r="AB1146" s="6"/>
      <c r="AC1146" s="6"/>
      <c r="AD1146" s="6" t="s">
        <v>1285</v>
      </c>
      <c r="AE1146" s="6" t="s">
        <v>1285</v>
      </c>
      <c r="AF1146" s="6"/>
    </row>
    <row r="1147" spans="1:32" s="1" customFormat="1" ht="20.25" customHeight="1" x14ac:dyDescent="0.25">
      <c r="A1147" s="2"/>
      <c r="B1147" s="2"/>
      <c r="C1147" s="2"/>
      <c r="D1147" s="2">
        <f>COUNTIF(contact[[#This Row],[Bagossy]:[Szo
03:00 - 10:00]],"=~?")</f>
        <v>0</v>
      </c>
      <c r="E1147" s="2">
        <f>COUNTIF(contact[[#This Row],[Bagossy]:[Szo
03:00 - 10:00]],"=x")</f>
        <v>0</v>
      </c>
      <c r="F1147" s="2">
        <f>SUM(contact[[#This Row],[?]:[x]])</f>
        <v>0</v>
      </c>
      <c r="G11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47" s="3" t="s">
        <v>2184</v>
      </c>
      <c r="K1147" s="1" t="s">
        <v>10</v>
      </c>
      <c r="L1147" s="1" t="s">
        <v>2</v>
      </c>
      <c r="M1147" s="1" t="s">
        <v>2</v>
      </c>
      <c r="O1147" s="2"/>
      <c r="P1147" s="2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</row>
    <row r="1148" spans="1:32" s="1" customFormat="1" ht="20.25" customHeight="1" x14ac:dyDescent="0.25">
      <c r="A1148" s="2"/>
      <c r="B1148" s="2"/>
      <c r="C1148" s="2"/>
      <c r="D1148" s="2">
        <f>COUNTIF(contact[[#This Row],[Bagossy]:[Szo
03:00 - 10:00]],"=~?")</f>
        <v>0</v>
      </c>
      <c r="E1148" s="2">
        <f>COUNTIF(contact[[#This Row],[Bagossy]:[Szo
03:00 - 10:00]],"=x")</f>
        <v>0</v>
      </c>
      <c r="F1148" s="2">
        <f>SUM(contact[[#This Row],[?]:[x]])</f>
        <v>0</v>
      </c>
      <c r="G11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48" s="3" t="s">
        <v>4069</v>
      </c>
      <c r="K1148" s="1" t="s">
        <v>1327</v>
      </c>
      <c r="L1148" s="1" t="s">
        <v>2</v>
      </c>
      <c r="M1148" s="1" t="s">
        <v>2</v>
      </c>
      <c r="O1148" s="2"/>
      <c r="P1148" s="2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</row>
    <row r="1149" spans="1:32" s="1" customFormat="1" ht="20.25" customHeight="1" x14ac:dyDescent="0.25">
      <c r="A1149" s="2"/>
      <c r="B1149" s="2"/>
      <c r="C1149" s="2"/>
      <c r="D1149" s="2">
        <f>COUNTIF(contact[[#This Row],[Bagossy]:[Szo
03:00 - 10:00]],"=~?")</f>
        <v>0</v>
      </c>
      <c r="E1149" s="2">
        <f>COUNTIF(contact[[#This Row],[Bagossy]:[Szo
03:00 - 10:00]],"=x")</f>
        <v>0</v>
      </c>
      <c r="F1149" s="2">
        <f>SUM(contact[[#This Row],[?]:[x]])</f>
        <v>0</v>
      </c>
      <c r="G11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49" s="3" t="s">
        <v>3633</v>
      </c>
      <c r="K1149" s="1" t="s">
        <v>872</v>
      </c>
      <c r="L1149" s="1" t="s">
        <v>2</v>
      </c>
      <c r="M1149" s="1" t="s">
        <v>2</v>
      </c>
      <c r="O1149" s="2"/>
      <c r="P1149" s="2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</row>
    <row r="1150" spans="1:32" s="1" customFormat="1" ht="20.25" customHeight="1" x14ac:dyDescent="0.25">
      <c r="A1150" s="2"/>
      <c r="B1150" s="2"/>
      <c r="C1150" s="2"/>
      <c r="D1150" s="2">
        <f>COUNTIF(contact[[#This Row],[Bagossy]:[Szo
03:00 - 10:00]],"=~?")</f>
        <v>0</v>
      </c>
      <c r="E1150" s="2">
        <f>COUNTIF(contact[[#This Row],[Bagossy]:[Szo
03:00 - 10:00]],"=x")</f>
        <v>0</v>
      </c>
      <c r="F1150" s="2">
        <f>SUM(contact[[#This Row],[?]:[x]])</f>
        <v>0</v>
      </c>
      <c r="G11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0" s="3" t="s">
        <v>3820</v>
      </c>
      <c r="K1150" s="1" t="s">
        <v>1721</v>
      </c>
      <c r="L1150" s="1" t="s">
        <v>2</v>
      </c>
      <c r="M1150" s="1" t="s">
        <v>2</v>
      </c>
      <c r="O1150" s="2"/>
      <c r="P1150" s="2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</row>
    <row r="1151" spans="1:32" s="1" customFormat="1" ht="20.25" customHeight="1" x14ac:dyDescent="0.25">
      <c r="A1151" s="2"/>
      <c r="B1151" s="2"/>
      <c r="C1151" s="2"/>
      <c r="D1151" s="2">
        <f>COUNTIF(contact[[#This Row],[Bagossy]:[Szo
03:00 - 10:00]],"=~?")</f>
        <v>0</v>
      </c>
      <c r="E1151" s="2">
        <f>COUNTIF(contact[[#This Row],[Bagossy]:[Szo
03:00 - 10:00]],"=x")</f>
        <v>0</v>
      </c>
      <c r="F1151" s="2">
        <f>SUM(contact[[#This Row],[?]:[x]])</f>
        <v>0</v>
      </c>
      <c r="G11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1" s="3" t="s">
        <v>4568</v>
      </c>
      <c r="K1151" s="1" t="s">
        <v>2</v>
      </c>
      <c r="L1151" s="1" t="s">
        <v>2</v>
      </c>
      <c r="M1151" s="1" t="s">
        <v>2</v>
      </c>
      <c r="O1151" s="2"/>
      <c r="P1151" s="2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</row>
    <row r="1152" spans="1:32" s="1" customFormat="1" ht="20.25" customHeight="1" x14ac:dyDescent="0.25">
      <c r="A1152" s="2"/>
      <c r="B1152" s="2"/>
      <c r="C1152" s="2"/>
      <c r="D1152" s="2">
        <f>COUNTIF(contact[[#This Row],[Bagossy]:[Szo
03:00 - 10:00]],"=~?")</f>
        <v>0</v>
      </c>
      <c r="E1152" s="2">
        <f>COUNTIF(contact[[#This Row],[Bagossy]:[Szo
03:00 - 10:00]],"=x")</f>
        <v>0</v>
      </c>
      <c r="F1152" s="2">
        <f>SUM(contact[[#This Row],[?]:[x]])</f>
        <v>0</v>
      </c>
      <c r="G11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2" s="3" t="s">
        <v>610</v>
      </c>
      <c r="K1152" s="1" t="s">
        <v>2</v>
      </c>
      <c r="L1152" s="1" t="s">
        <v>2</v>
      </c>
      <c r="M1152" s="1" t="s">
        <v>2</v>
      </c>
      <c r="O1152" s="2"/>
      <c r="P1152" s="2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</row>
    <row r="1153" spans="1:32" s="1" customFormat="1" ht="20.25" customHeight="1" x14ac:dyDescent="0.25">
      <c r="A1153" s="2"/>
      <c r="B1153" s="2"/>
      <c r="C1153" s="2"/>
      <c r="D1153" s="2">
        <f>COUNTIF(contact[[#This Row],[Bagossy]:[Szo
03:00 - 10:00]],"=~?")</f>
        <v>0</v>
      </c>
      <c r="E1153" s="2">
        <f>COUNTIF(contact[[#This Row],[Bagossy]:[Szo
03:00 - 10:00]],"=x")</f>
        <v>0</v>
      </c>
      <c r="F1153" s="2">
        <f>SUM(contact[[#This Row],[?]:[x]])</f>
        <v>0</v>
      </c>
      <c r="G11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3" s="3" t="s">
        <v>611</v>
      </c>
      <c r="K1153" s="1" t="s">
        <v>2</v>
      </c>
      <c r="L1153" s="1" t="s">
        <v>2</v>
      </c>
      <c r="M1153" s="1" t="s">
        <v>2</v>
      </c>
      <c r="O1153" s="2"/>
      <c r="P1153" s="2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</row>
    <row r="1154" spans="1:32" s="1" customFormat="1" ht="20.25" customHeight="1" x14ac:dyDescent="0.25">
      <c r="A1154" s="2"/>
      <c r="B1154" s="2"/>
      <c r="C1154" s="2"/>
      <c r="D1154" s="2">
        <f>COUNTIF(contact[[#This Row],[Bagossy]:[Szo
03:00 - 10:00]],"=~?")</f>
        <v>0</v>
      </c>
      <c r="E1154" s="2">
        <f>COUNTIF(contact[[#This Row],[Bagossy]:[Szo
03:00 - 10:00]],"=x")</f>
        <v>0</v>
      </c>
      <c r="F1154" s="2">
        <f>SUM(contact[[#This Row],[?]:[x]])</f>
        <v>0</v>
      </c>
      <c r="G11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4" s="3" t="s">
        <v>2514</v>
      </c>
      <c r="K1154" s="1" t="s">
        <v>2</v>
      </c>
      <c r="L1154" s="1" t="s">
        <v>2</v>
      </c>
      <c r="M1154" s="1" t="s">
        <v>2</v>
      </c>
      <c r="O1154" s="2"/>
      <c r="P1154" s="2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</row>
    <row r="1155" spans="1:32" s="1" customFormat="1" ht="20.25" customHeight="1" x14ac:dyDescent="0.25">
      <c r="A1155" s="2"/>
      <c r="B1155" s="2"/>
      <c r="C1155" s="2"/>
      <c r="D1155" s="2">
        <f>COUNTIF(contact[[#This Row],[Bagossy]:[Szo
03:00 - 10:00]],"=~?")</f>
        <v>0</v>
      </c>
      <c r="E1155" s="2">
        <f>COUNTIF(contact[[#This Row],[Bagossy]:[Szo
03:00 - 10:00]],"=x")</f>
        <v>0</v>
      </c>
      <c r="F1155" s="2">
        <f>SUM(contact[[#This Row],[?]:[x]])</f>
        <v>0</v>
      </c>
      <c r="G11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55" s="2"/>
      <c r="I1155" s="2"/>
      <c r="J1155" s="3" t="s">
        <v>3063</v>
      </c>
      <c r="K1155" s="1" t="s">
        <v>406</v>
      </c>
      <c r="L1155" s="1" t="s">
        <v>2</v>
      </c>
      <c r="M1155" s="1" t="s">
        <v>2</v>
      </c>
      <c r="O1155" s="2"/>
      <c r="P1155" s="2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</row>
    <row r="1156" spans="1:32" s="1" customFormat="1" ht="20.25" customHeight="1" x14ac:dyDescent="0.25">
      <c r="A1156" s="2"/>
      <c r="B1156" s="2"/>
      <c r="C1156" s="2"/>
      <c r="D1156" s="2">
        <f>COUNTIF(contact[[#This Row],[Bagossy]:[Szo
03:00 - 10:00]],"=~?")</f>
        <v>0</v>
      </c>
      <c r="E1156" s="2">
        <f>COUNTIF(contact[[#This Row],[Bagossy]:[Szo
03:00 - 10:00]],"=x")</f>
        <v>0</v>
      </c>
      <c r="F1156" s="2">
        <f>SUM(contact[[#This Row],[?]:[x]])</f>
        <v>0</v>
      </c>
      <c r="G11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56" s="2"/>
      <c r="I1156" s="2"/>
      <c r="J1156" s="3" t="s">
        <v>3064</v>
      </c>
      <c r="K1156" s="1" t="s">
        <v>1112</v>
      </c>
      <c r="L1156" s="1" t="s">
        <v>2</v>
      </c>
      <c r="M1156" s="1" t="s">
        <v>2</v>
      </c>
      <c r="O1156" s="2"/>
      <c r="P1156" s="2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</row>
    <row r="1157" spans="1:32" s="1" customFormat="1" ht="20.25" customHeight="1" x14ac:dyDescent="0.25">
      <c r="A1157" s="2"/>
      <c r="B1157" s="2"/>
      <c r="C1157" s="2"/>
      <c r="D1157" s="2">
        <f>COUNTIF(contact[[#This Row],[Bagossy]:[Szo
03:00 - 10:00]],"=~?")</f>
        <v>0</v>
      </c>
      <c r="E1157" s="2">
        <f>COUNTIF(contact[[#This Row],[Bagossy]:[Szo
03:00 - 10:00]],"=x")</f>
        <v>0</v>
      </c>
      <c r="F1157" s="2">
        <f>SUM(contact[[#This Row],[?]:[x]])</f>
        <v>0</v>
      </c>
      <c r="G11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7" s="3" t="s">
        <v>4350</v>
      </c>
      <c r="K1157" s="1" t="s">
        <v>2</v>
      </c>
      <c r="L1157" s="1" t="s">
        <v>2</v>
      </c>
      <c r="M1157" s="1" t="s">
        <v>2</v>
      </c>
      <c r="O1157" s="2"/>
      <c r="P1157" s="2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</row>
    <row r="1158" spans="1:32" s="1" customFormat="1" ht="20.25" customHeight="1" x14ac:dyDescent="0.25">
      <c r="A1158" s="2"/>
      <c r="B1158" s="2"/>
      <c r="C1158" s="2"/>
      <c r="D1158" s="2">
        <f>COUNTIF(contact[[#This Row],[Bagossy]:[Szo
03:00 - 10:00]],"=~?")</f>
        <v>0</v>
      </c>
      <c r="E1158" s="2">
        <f>COUNTIF(contact[[#This Row],[Bagossy]:[Szo
03:00 - 10:00]],"=x")</f>
        <v>0</v>
      </c>
      <c r="F1158" s="2">
        <f>SUM(contact[[#This Row],[?]:[x]])</f>
        <v>0</v>
      </c>
      <c r="G11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8" s="3" t="s">
        <v>3358</v>
      </c>
      <c r="K1158" s="1" t="s">
        <v>771</v>
      </c>
      <c r="L1158" s="1" t="s">
        <v>2</v>
      </c>
      <c r="M1158" s="1" t="s">
        <v>2</v>
      </c>
      <c r="O1158" s="2"/>
      <c r="P1158" s="2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</row>
    <row r="1159" spans="1:32" s="1" customFormat="1" ht="20.25" customHeight="1" x14ac:dyDescent="0.25">
      <c r="A1159" s="2"/>
      <c r="B1159" s="2"/>
      <c r="C1159" s="2"/>
      <c r="D1159" s="2">
        <f>COUNTIF(contact[[#This Row],[Bagossy]:[Szo
03:00 - 10:00]],"=~?")</f>
        <v>0</v>
      </c>
      <c r="E1159" s="2">
        <f>COUNTIF(contact[[#This Row],[Bagossy]:[Szo
03:00 - 10:00]],"=x")</f>
        <v>0</v>
      </c>
      <c r="F1159" s="2">
        <f>SUM(contact[[#This Row],[?]:[x]])</f>
        <v>0</v>
      </c>
      <c r="G11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59" s="3" t="s">
        <v>3456</v>
      </c>
      <c r="K1159" s="1" t="s">
        <v>801</v>
      </c>
      <c r="L1159" s="1" t="s">
        <v>2</v>
      </c>
      <c r="M1159" s="1" t="s">
        <v>2</v>
      </c>
      <c r="O1159" s="2"/>
      <c r="P1159" s="2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</row>
    <row r="1160" spans="1:32" s="1" customFormat="1" ht="20.25" customHeight="1" x14ac:dyDescent="0.25">
      <c r="A1160" s="2"/>
      <c r="B1160" s="2"/>
      <c r="C1160" s="2"/>
      <c r="D1160" s="2">
        <f>COUNTIF(contact[[#This Row],[Bagossy]:[Szo
03:00 - 10:00]],"=~?")</f>
        <v>0</v>
      </c>
      <c r="E1160" s="2">
        <f>COUNTIF(contact[[#This Row],[Bagossy]:[Szo
03:00 - 10:00]],"=x")</f>
        <v>0</v>
      </c>
      <c r="F1160" s="2">
        <f>SUM(contact[[#This Row],[?]:[x]])</f>
        <v>0</v>
      </c>
      <c r="G11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0" s="3" t="s">
        <v>618</v>
      </c>
      <c r="K1160" s="1" t="s">
        <v>2</v>
      </c>
      <c r="L1160" s="1" t="s">
        <v>2</v>
      </c>
      <c r="M1160" s="1" t="s">
        <v>2</v>
      </c>
      <c r="O1160" s="2"/>
      <c r="P1160" s="2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</row>
    <row r="1161" spans="1:32" s="1" customFormat="1" ht="20.25" customHeight="1" x14ac:dyDescent="0.25">
      <c r="A1161" s="2"/>
      <c r="B1161" s="2"/>
      <c r="C1161" s="2"/>
      <c r="D1161" s="2">
        <f>COUNTIF(contact[[#This Row],[Bagossy]:[Szo
03:00 - 10:00]],"=~?")</f>
        <v>0</v>
      </c>
      <c r="E1161" s="2">
        <f>COUNTIF(contact[[#This Row],[Bagossy]:[Szo
03:00 - 10:00]],"=x")</f>
        <v>0</v>
      </c>
      <c r="F1161" s="2">
        <f>SUM(contact[[#This Row],[?]:[x]])</f>
        <v>0</v>
      </c>
      <c r="G11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1" s="3" t="s">
        <v>2668</v>
      </c>
      <c r="K1161" s="1" t="s">
        <v>1467</v>
      </c>
      <c r="L1161" s="1" t="s">
        <v>2</v>
      </c>
      <c r="M1161" s="1" t="s">
        <v>2</v>
      </c>
      <c r="O1161" s="2"/>
      <c r="P1161" s="2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</row>
    <row r="1162" spans="1:32" s="1" customFormat="1" ht="20.25" customHeight="1" x14ac:dyDescent="0.25">
      <c r="A1162" s="2"/>
      <c r="B1162" s="2"/>
      <c r="C1162" s="2"/>
      <c r="D1162" s="2">
        <f>COUNTIF(contact[[#This Row],[Bagossy]:[Szo
03:00 - 10:00]],"=~?")</f>
        <v>0</v>
      </c>
      <c r="E1162" s="2">
        <f>COUNTIF(contact[[#This Row],[Bagossy]:[Szo
03:00 - 10:00]],"=x")</f>
        <v>0</v>
      </c>
      <c r="F1162" s="2">
        <f>SUM(contact[[#This Row],[?]:[x]])</f>
        <v>0</v>
      </c>
      <c r="G11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2" s="3" t="s">
        <v>3692</v>
      </c>
      <c r="K1162" s="1" t="s">
        <v>1701</v>
      </c>
      <c r="L1162" s="1" t="s">
        <v>2</v>
      </c>
      <c r="M1162" s="1" t="s">
        <v>2</v>
      </c>
      <c r="O1162" s="2"/>
      <c r="P1162" s="2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</row>
    <row r="1163" spans="1:32" s="1" customFormat="1" ht="20.25" customHeight="1" x14ac:dyDescent="0.25">
      <c r="A1163" s="2"/>
      <c r="B1163" s="2"/>
      <c r="C1163" s="2"/>
      <c r="D1163" s="2">
        <f>COUNTIF(contact[[#This Row],[Bagossy]:[Szo
03:00 - 10:00]],"=~?")</f>
        <v>0</v>
      </c>
      <c r="E1163" s="2">
        <f>COUNTIF(contact[[#This Row],[Bagossy]:[Szo
03:00 - 10:00]],"=x")</f>
        <v>0</v>
      </c>
      <c r="F1163" s="2">
        <f>SUM(contact[[#This Row],[?]:[x]])</f>
        <v>0</v>
      </c>
      <c r="G11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3" s="3" t="s">
        <v>2631</v>
      </c>
      <c r="K1163" s="1" t="s">
        <v>418</v>
      </c>
      <c r="L1163" s="1" t="s">
        <v>2</v>
      </c>
      <c r="M1163" s="1" t="s">
        <v>2</v>
      </c>
      <c r="O1163" s="2"/>
      <c r="P1163" s="2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</row>
    <row r="1164" spans="1:32" s="1" customFormat="1" ht="20.25" customHeight="1" x14ac:dyDescent="0.25">
      <c r="A1164" s="2"/>
      <c r="B1164" s="2"/>
      <c r="C1164" s="2"/>
      <c r="D1164" s="2">
        <f>COUNTIF(contact[[#This Row],[Bagossy]:[Szo
03:00 - 10:00]],"=~?")</f>
        <v>0</v>
      </c>
      <c r="E1164" s="2">
        <f>COUNTIF(contact[[#This Row],[Bagossy]:[Szo
03:00 - 10:00]],"=x")</f>
        <v>0</v>
      </c>
      <c r="F1164" s="2">
        <f>SUM(contact[[#This Row],[?]:[x]])</f>
        <v>0</v>
      </c>
      <c r="G11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4" s="3" t="s">
        <v>4207</v>
      </c>
      <c r="K1164" s="1" t="s">
        <v>2</v>
      </c>
      <c r="L1164" s="1" t="s">
        <v>2</v>
      </c>
      <c r="M1164" s="1" t="s">
        <v>2</v>
      </c>
      <c r="O1164" s="2"/>
      <c r="P1164" s="2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</row>
    <row r="1165" spans="1:32" s="1" customFormat="1" ht="20.25" customHeight="1" x14ac:dyDescent="0.25">
      <c r="A1165" s="2"/>
      <c r="B1165" s="2"/>
      <c r="C1165" s="2"/>
      <c r="D1165" s="2">
        <f>COUNTIF(contact[[#This Row],[Bagossy]:[Szo
03:00 - 10:00]],"=~?")</f>
        <v>0</v>
      </c>
      <c r="E1165" s="2">
        <f>COUNTIF(contact[[#This Row],[Bagossy]:[Szo
03:00 - 10:00]],"=x")</f>
        <v>0</v>
      </c>
      <c r="F1165" s="2">
        <f>SUM(contact[[#This Row],[?]:[x]])</f>
        <v>0</v>
      </c>
      <c r="G11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5" s="3" t="s">
        <v>625</v>
      </c>
      <c r="K1165" s="1" t="s">
        <v>2</v>
      </c>
      <c r="L1165" s="1" t="s">
        <v>2</v>
      </c>
      <c r="M1165" s="1" t="s">
        <v>2</v>
      </c>
      <c r="O1165" s="2"/>
      <c r="P1165" s="2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</row>
    <row r="1166" spans="1:32" s="1" customFormat="1" ht="20.25" customHeight="1" x14ac:dyDescent="0.25">
      <c r="A1166" s="2"/>
      <c r="B1166" s="2"/>
      <c r="C1166" s="2"/>
      <c r="D1166" s="2">
        <f>COUNTIF(contact[[#This Row],[Bagossy]:[Szo
03:00 - 10:00]],"=~?")</f>
        <v>0</v>
      </c>
      <c r="E1166" s="2">
        <f>COUNTIF(contact[[#This Row],[Bagossy]:[Szo
03:00 - 10:00]],"=x")</f>
        <v>0</v>
      </c>
      <c r="F1166" s="2">
        <f>SUM(contact[[#This Row],[?]:[x]])</f>
        <v>0</v>
      </c>
      <c r="G11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6" s="3" t="s">
        <v>2725</v>
      </c>
      <c r="K1166" s="1" t="s">
        <v>462</v>
      </c>
      <c r="L1166" s="1" t="s">
        <v>2</v>
      </c>
      <c r="M1166" s="1" t="s">
        <v>2</v>
      </c>
      <c r="O1166" s="2"/>
      <c r="P1166" s="2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</row>
    <row r="1167" spans="1:32" s="1" customFormat="1" ht="20.25" customHeight="1" x14ac:dyDescent="0.25">
      <c r="A1167" s="2"/>
      <c r="B1167" s="2"/>
      <c r="C1167" s="2"/>
      <c r="D1167" s="2">
        <f>COUNTIF(contact[[#This Row],[Bagossy]:[Szo
03:00 - 10:00]],"=~?")</f>
        <v>0</v>
      </c>
      <c r="E1167" s="2">
        <f>COUNTIF(contact[[#This Row],[Bagossy]:[Szo
03:00 - 10:00]],"=x")</f>
        <v>0</v>
      </c>
      <c r="F1167" s="2">
        <f>SUM(contact[[#This Row],[?]:[x]])</f>
        <v>0</v>
      </c>
      <c r="G11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7" s="3" t="s">
        <v>2945</v>
      </c>
      <c r="K1167" s="1" t="s">
        <v>1525</v>
      </c>
      <c r="L1167" s="1" t="s">
        <v>2</v>
      </c>
      <c r="M1167" s="1" t="s">
        <v>2</v>
      </c>
      <c r="O1167" s="2"/>
      <c r="P1167" s="2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</row>
    <row r="1168" spans="1:32" s="1" customFormat="1" ht="20.25" customHeight="1" x14ac:dyDescent="0.25">
      <c r="A1168" s="2"/>
      <c r="B1168" s="2"/>
      <c r="C1168" s="2"/>
      <c r="D1168" s="2">
        <f>COUNTIF(contact[[#This Row],[Bagossy]:[Szo
03:00 - 10:00]],"=~?")</f>
        <v>0</v>
      </c>
      <c r="E1168" s="2">
        <f>COUNTIF(contact[[#This Row],[Bagossy]:[Szo
03:00 - 10:00]],"=x")</f>
        <v>0</v>
      </c>
      <c r="F1168" s="2">
        <f>SUM(contact[[#This Row],[?]:[x]])</f>
        <v>0</v>
      </c>
      <c r="G11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8" s="3" t="s">
        <v>626</v>
      </c>
      <c r="K1168" s="1" t="s">
        <v>2</v>
      </c>
      <c r="L1168" s="1" t="s">
        <v>2</v>
      </c>
      <c r="M1168" s="1" t="s">
        <v>2</v>
      </c>
      <c r="O1168" s="2"/>
      <c r="P1168" s="2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</row>
    <row r="1169" spans="1:32" s="1" customFormat="1" ht="20.25" customHeight="1" x14ac:dyDescent="0.25">
      <c r="A1169" s="2"/>
      <c r="B1169" s="2"/>
      <c r="C1169" s="2"/>
      <c r="D1169" s="2">
        <f>COUNTIF(contact[[#This Row],[Bagossy]:[Szo
03:00 - 10:00]],"=~?")</f>
        <v>0</v>
      </c>
      <c r="E1169" s="2">
        <f>COUNTIF(contact[[#This Row],[Bagossy]:[Szo
03:00 - 10:00]],"=x")</f>
        <v>0</v>
      </c>
      <c r="F1169" s="2">
        <f>SUM(contact[[#This Row],[?]:[x]])</f>
        <v>0</v>
      </c>
      <c r="G11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69" s="3" t="s">
        <v>627</v>
      </c>
      <c r="K1169" s="1" t="s">
        <v>2</v>
      </c>
      <c r="L1169" s="1" t="s">
        <v>2</v>
      </c>
      <c r="M1169" s="1" t="s">
        <v>2</v>
      </c>
      <c r="O1169" s="2"/>
      <c r="P1169" s="2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</row>
    <row r="1170" spans="1:32" s="1" customFormat="1" ht="20.25" customHeight="1" x14ac:dyDescent="0.25">
      <c r="A1170" s="2"/>
      <c r="B1170" s="2"/>
      <c r="C1170" s="2"/>
      <c r="D1170" s="2">
        <f>COUNTIF(contact[[#This Row],[Bagossy]:[Szo
03:00 - 10:00]],"=~?")</f>
        <v>0</v>
      </c>
      <c r="E1170" s="2">
        <f>COUNTIF(contact[[#This Row],[Bagossy]:[Szo
03:00 - 10:00]],"=x")</f>
        <v>0</v>
      </c>
      <c r="F1170" s="2">
        <f>SUM(contact[[#This Row],[?]:[x]])</f>
        <v>0</v>
      </c>
      <c r="G11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0" s="3" t="s">
        <v>3457</v>
      </c>
      <c r="K1170" s="1" t="s">
        <v>1327</v>
      </c>
      <c r="L1170" s="1" t="s">
        <v>2</v>
      </c>
      <c r="M1170" s="1" t="s">
        <v>2</v>
      </c>
      <c r="O1170" s="2"/>
      <c r="P1170" s="2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</row>
    <row r="1171" spans="1:32" s="1" customFormat="1" ht="20.25" customHeight="1" x14ac:dyDescent="0.25">
      <c r="A1171" s="2"/>
      <c r="B1171" s="2"/>
      <c r="C1171" s="2"/>
      <c r="D1171" s="2">
        <f>COUNTIF(contact[[#This Row],[Bagossy]:[Szo
03:00 - 10:00]],"=~?")</f>
        <v>0</v>
      </c>
      <c r="E1171" s="2">
        <f>COUNTIF(contact[[#This Row],[Bagossy]:[Szo
03:00 - 10:00]],"=x")</f>
        <v>0</v>
      </c>
      <c r="F1171" s="2">
        <f>SUM(contact[[#This Row],[?]:[x]])</f>
        <v>0</v>
      </c>
      <c r="G11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1" s="3" t="s">
        <v>628</v>
      </c>
      <c r="K1171" s="1" t="s">
        <v>2</v>
      </c>
      <c r="L1171" s="1" t="s">
        <v>2</v>
      </c>
      <c r="M1171" s="1" t="s">
        <v>2</v>
      </c>
      <c r="O1171" s="2"/>
      <c r="P1171" s="2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</row>
    <row r="1172" spans="1:32" s="1" customFormat="1" ht="20.25" customHeight="1" x14ac:dyDescent="0.25">
      <c r="A1172" s="2"/>
      <c r="B1172" s="2"/>
      <c r="C1172" s="2"/>
      <c r="D1172" s="2">
        <f>COUNTIF(contact[[#This Row],[Bagossy]:[Szo
03:00 - 10:00]],"=~?")</f>
        <v>0</v>
      </c>
      <c r="E1172" s="2">
        <f>COUNTIF(contact[[#This Row],[Bagossy]:[Szo
03:00 - 10:00]],"=x")</f>
        <v>0</v>
      </c>
      <c r="F1172" s="2">
        <f>SUM(contact[[#This Row],[?]:[x]])</f>
        <v>0</v>
      </c>
      <c r="G11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2" s="3" t="s">
        <v>4152</v>
      </c>
      <c r="K1172" s="1" t="s">
        <v>2</v>
      </c>
      <c r="L1172" s="1" t="s">
        <v>2</v>
      </c>
      <c r="M1172" s="1" t="s">
        <v>2</v>
      </c>
      <c r="O1172" s="2"/>
      <c r="P1172" s="2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</row>
    <row r="1173" spans="1:32" s="1" customFormat="1" ht="20.25" customHeight="1" x14ac:dyDescent="0.25">
      <c r="A1173" s="2"/>
      <c r="B1173" s="2"/>
      <c r="C1173" s="2"/>
      <c r="D1173" s="2">
        <f>COUNTIF(contact[[#This Row],[Bagossy]:[Szo
03:00 - 10:00]],"=~?")</f>
        <v>0</v>
      </c>
      <c r="E1173" s="2">
        <f>COUNTIF(contact[[#This Row],[Bagossy]:[Szo
03:00 - 10:00]],"=x")</f>
        <v>0</v>
      </c>
      <c r="F1173" s="2">
        <f>SUM(contact[[#This Row],[?]:[x]])</f>
        <v>0</v>
      </c>
      <c r="G11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73" s="2"/>
      <c r="I1173" s="2"/>
      <c r="J1173" s="3" t="s">
        <v>3065</v>
      </c>
      <c r="K1173" s="1" t="s">
        <v>29</v>
      </c>
      <c r="L1173" s="1" t="s">
        <v>2</v>
      </c>
      <c r="M1173" s="1" t="s">
        <v>2</v>
      </c>
      <c r="O1173" s="2"/>
      <c r="P1173" s="2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</row>
    <row r="1174" spans="1:32" s="1" customFormat="1" ht="20.25" customHeight="1" x14ac:dyDescent="0.25">
      <c r="A1174" s="2"/>
      <c r="B1174" s="2"/>
      <c r="C1174" s="2"/>
      <c r="D1174" s="2">
        <f>COUNTIF(contact[[#This Row],[Bagossy]:[Szo
03:00 - 10:00]],"=~?")</f>
        <v>0</v>
      </c>
      <c r="E1174" s="2">
        <f>COUNTIF(contact[[#This Row],[Bagossy]:[Szo
03:00 - 10:00]],"=x")</f>
        <v>0</v>
      </c>
      <c r="F1174" s="2">
        <f>SUM(contact[[#This Row],[?]:[x]])</f>
        <v>0</v>
      </c>
      <c r="G11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4" s="3" t="s">
        <v>3281</v>
      </c>
      <c r="K1174" s="1" t="s">
        <v>731</v>
      </c>
      <c r="L1174" s="1" t="s">
        <v>2</v>
      </c>
      <c r="M1174" s="1" t="s">
        <v>2</v>
      </c>
      <c r="O1174" s="2"/>
      <c r="P1174" s="2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</row>
    <row r="1175" spans="1:32" s="1" customFormat="1" ht="20.25" customHeight="1" x14ac:dyDescent="0.25">
      <c r="A1175" s="2"/>
      <c r="B1175" s="2"/>
      <c r="C1175" s="2"/>
      <c r="D1175" s="2">
        <f>COUNTIF(contact[[#This Row],[Bagossy]:[Szo
03:00 - 10:00]],"=~?")</f>
        <v>0</v>
      </c>
      <c r="E1175" s="2">
        <f>COUNTIF(contact[[#This Row],[Bagossy]:[Szo
03:00 - 10:00]],"=x")</f>
        <v>0</v>
      </c>
      <c r="F1175" s="2">
        <f>SUM(contact[[#This Row],[?]:[x]])</f>
        <v>0</v>
      </c>
      <c r="G11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5" s="3" t="s">
        <v>3720</v>
      </c>
      <c r="K1175" s="1" t="s">
        <v>2</v>
      </c>
      <c r="L1175" s="1" t="s">
        <v>2</v>
      </c>
      <c r="M1175" s="1" t="s">
        <v>2</v>
      </c>
      <c r="O1175" s="2"/>
      <c r="P1175" s="2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</row>
    <row r="1176" spans="1:32" s="1" customFormat="1" ht="20.25" customHeight="1" x14ac:dyDescent="0.25">
      <c r="A1176" s="2"/>
      <c r="B1176" s="2"/>
      <c r="C1176" s="2"/>
      <c r="D1176" s="2">
        <f>COUNTIF(contact[[#This Row],[Bagossy]:[Szo
03:00 - 10:00]],"=~?")</f>
        <v>0</v>
      </c>
      <c r="E1176" s="2">
        <f>COUNTIF(contact[[#This Row],[Bagossy]:[Szo
03:00 - 10:00]],"=x")</f>
        <v>0</v>
      </c>
      <c r="F1176" s="2">
        <f>SUM(contact[[#This Row],[?]:[x]])</f>
        <v>0</v>
      </c>
      <c r="G11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6" s="3" t="s">
        <v>4342</v>
      </c>
      <c r="K1176" s="1" t="s">
        <v>1204</v>
      </c>
      <c r="L1176" s="1" t="s">
        <v>2</v>
      </c>
      <c r="M1176" s="1" t="s">
        <v>2</v>
      </c>
      <c r="O1176" s="2"/>
      <c r="P1176" s="2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</row>
    <row r="1177" spans="1:32" s="1" customFormat="1" ht="20.25" customHeight="1" x14ac:dyDescent="0.25">
      <c r="A1177" s="2" t="s">
        <v>1285</v>
      </c>
      <c r="B1177" s="2" t="s">
        <v>1285</v>
      </c>
      <c r="C1177" s="2" t="s">
        <v>1285</v>
      </c>
      <c r="D1177" s="2">
        <f>COUNTIF(contact[[#This Row],[Bagossy]:[Szo
03:00 - 10:00]],"=~?")</f>
        <v>0</v>
      </c>
      <c r="E1177" s="2">
        <f>COUNTIF(contact[[#This Row],[Bagossy]:[Szo
03:00 - 10:00]],"=x")</f>
        <v>0</v>
      </c>
      <c r="F1177" s="2">
        <f>SUM(contact[[#This Row],[?]:[x]])</f>
        <v>0</v>
      </c>
      <c r="G11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77" s="2" t="s">
        <v>4623</v>
      </c>
      <c r="I1177" s="2" t="s">
        <v>4627</v>
      </c>
      <c r="J1177" s="3" t="s">
        <v>3066</v>
      </c>
      <c r="K1177" s="1" t="s">
        <v>1554</v>
      </c>
      <c r="L1177" s="1" t="s">
        <v>2</v>
      </c>
      <c r="M1177" s="1" t="s">
        <v>2</v>
      </c>
      <c r="N1177" s="2" t="s">
        <v>4612</v>
      </c>
      <c r="O1177" s="2"/>
      <c r="P1177" s="2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</row>
    <row r="1178" spans="1:32" s="1" customFormat="1" ht="20.25" customHeight="1" x14ac:dyDescent="0.25">
      <c r="A1178" s="2"/>
      <c r="B1178" s="2"/>
      <c r="C1178" s="2"/>
      <c r="D1178" s="2">
        <f>COUNTIF(contact[[#This Row],[Bagossy]:[Szo
03:00 - 10:00]],"=~?")</f>
        <v>0</v>
      </c>
      <c r="E1178" s="2">
        <f>COUNTIF(contact[[#This Row],[Bagossy]:[Szo
03:00 - 10:00]],"=x")</f>
        <v>0</v>
      </c>
      <c r="F1178" s="2">
        <f>SUM(contact[[#This Row],[?]:[x]])</f>
        <v>0</v>
      </c>
      <c r="G11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8" s="3" t="s">
        <v>4325</v>
      </c>
      <c r="K1178" s="1" t="s">
        <v>1191</v>
      </c>
      <c r="L1178" s="1" t="s">
        <v>2</v>
      </c>
      <c r="M1178" s="1" t="s">
        <v>2</v>
      </c>
      <c r="O1178" s="2"/>
      <c r="P1178" s="2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</row>
    <row r="1179" spans="1:32" s="1" customFormat="1" ht="20.25" customHeight="1" x14ac:dyDescent="0.25">
      <c r="A1179" s="2"/>
      <c r="B1179" s="2"/>
      <c r="C1179" s="2"/>
      <c r="D1179" s="2">
        <f>COUNTIF(contact[[#This Row],[Bagossy]:[Szo
03:00 - 10:00]],"=~?")</f>
        <v>0</v>
      </c>
      <c r="E1179" s="2">
        <f>COUNTIF(contact[[#This Row],[Bagossy]:[Szo
03:00 - 10:00]],"=x")</f>
        <v>0</v>
      </c>
      <c r="F1179" s="2">
        <f>SUM(contact[[#This Row],[?]:[x]])</f>
        <v>0</v>
      </c>
      <c r="G11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79" s="3" t="s">
        <v>3731</v>
      </c>
      <c r="K1179" s="1" t="s">
        <v>2</v>
      </c>
      <c r="L1179" s="1" t="s">
        <v>2</v>
      </c>
      <c r="M1179" s="1" t="s">
        <v>2</v>
      </c>
      <c r="O1179" s="2"/>
      <c r="P1179" s="2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</row>
    <row r="1180" spans="1:32" s="1" customFormat="1" ht="20.25" customHeight="1" x14ac:dyDescent="0.25">
      <c r="A1180" s="2"/>
      <c r="B1180" s="2"/>
      <c r="C1180" s="2"/>
      <c r="D1180" s="2">
        <f>COUNTIF(contact[[#This Row],[Bagossy]:[Szo
03:00 - 10:00]],"=~?")</f>
        <v>0</v>
      </c>
      <c r="E1180" s="2">
        <f>COUNTIF(contact[[#This Row],[Bagossy]:[Szo
03:00 - 10:00]],"=x")</f>
        <v>0</v>
      </c>
      <c r="F1180" s="2">
        <f>SUM(contact[[#This Row],[?]:[x]])</f>
        <v>0</v>
      </c>
      <c r="G11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0" s="3" t="s">
        <v>2946</v>
      </c>
      <c r="K1180" s="1" t="s">
        <v>1327</v>
      </c>
      <c r="L1180" s="1" t="s">
        <v>2</v>
      </c>
      <c r="M1180" s="1" t="s">
        <v>2</v>
      </c>
      <c r="O1180" s="2"/>
      <c r="P1180" s="2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</row>
    <row r="1181" spans="1:32" s="1" customFormat="1" ht="20.25" customHeight="1" x14ac:dyDescent="0.25">
      <c r="A1181" s="2"/>
      <c r="B1181" s="2"/>
      <c r="C1181" s="2" t="s">
        <v>1285</v>
      </c>
      <c r="D1181" s="2">
        <f>COUNTIF(contact[[#This Row],[Bagossy]:[Szo
03:00 - 10:00]],"=~?")</f>
        <v>0</v>
      </c>
      <c r="E1181" s="2">
        <f>COUNTIF(contact[[#This Row],[Bagossy]:[Szo
03:00 - 10:00]],"=x")</f>
        <v>0</v>
      </c>
      <c r="F1181" s="2">
        <f>SUM(contact[[#This Row],[?]:[x]])</f>
        <v>0</v>
      </c>
      <c r="G11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81" s="2"/>
      <c r="I1181" s="2"/>
      <c r="J1181" s="3" t="s">
        <v>3070</v>
      </c>
      <c r="K1181" s="1" t="s">
        <v>6</v>
      </c>
      <c r="L1181" s="1" t="s">
        <v>2</v>
      </c>
      <c r="M1181" s="1" t="s">
        <v>2</v>
      </c>
      <c r="O1181" s="2"/>
      <c r="P1181" s="2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</row>
    <row r="1182" spans="1:32" s="1" customFormat="1" ht="20.25" customHeight="1" x14ac:dyDescent="0.25">
      <c r="A1182" s="2"/>
      <c r="B1182" s="2"/>
      <c r="C1182" s="2"/>
      <c r="D1182" s="2">
        <f>COUNTIF(contact[[#This Row],[Bagossy]:[Szo
03:00 - 10:00]],"=~?")</f>
        <v>0</v>
      </c>
      <c r="E1182" s="2">
        <f>COUNTIF(contact[[#This Row],[Bagossy]:[Szo
03:00 - 10:00]],"=x")</f>
        <v>0</v>
      </c>
      <c r="F1182" s="2">
        <f>SUM(contact[[#This Row],[?]:[x]])</f>
        <v>0</v>
      </c>
      <c r="G11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2" s="3" t="s">
        <v>657</v>
      </c>
      <c r="K1182" s="1" t="s">
        <v>2</v>
      </c>
      <c r="L1182" s="1" t="s">
        <v>2</v>
      </c>
      <c r="M1182" s="1" t="s">
        <v>2</v>
      </c>
      <c r="O1182" s="2"/>
      <c r="P1182" s="2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</row>
    <row r="1183" spans="1:32" s="1" customFormat="1" ht="20.25" customHeight="1" x14ac:dyDescent="0.25">
      <c r="A1183" s="2"/>
      <c r="B1183" s="2"/>
      <c r="C1183" s="2"/>
      <c r="D1183" s="2">
        <f>COUNTIF(contact[[#This Row],[Bagossy]:[Szo
03:00 - 10:00]],"=~?")</f>
        <v>0</v>
      </c>
      <c r="E1183" s="2">
        <f>COUNTIF(contact[[#This Row],[Bagossy]:[Szo
03:00 - 10:00]],"=x")</f>
        <v>0</v>
      </c>
      <c r="F1183" s="2">
        <f>SUM(contact[[#This Row],[?]:[x]])</f>
        <v>0</v>
      </c>
      <c r="G11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3" s="3" t="s">
        <v>2055</v>
      </c>
      <c r="K1183" s="1" t="s">
        <v>1326</v>
      </c>
      <c r="L1183" s="1" t="s">
        <v>2</v>
      </c>
      <c r="M1183" s="1" t="s">
        <v>2</v>
      </c>
      <c r="O1183" s="2"/>
      <c r="P1183" s="2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</row>
    <row r="1184" spans="1:32" s="1" customFormat="1" ht="20.25" customHeight="1" x14ac:dyDescent="0.25">
      <c r="A1184" s="2"/>
      <c r="B1184" s="2"/>
      <c r="C1184" s="2"/>
      <c r="D1184" s="2">
        <f>COUNTIF(contact[[#This Row],[Bagossy]:[Szo
03:00 - 10:00]],"=~?")</f>
        <v>0</v>
      </c>
      <c r="E1184" s="2">
        <f>COUNTIF(contact[[#This Row],[Bagossy]:[Szo
03:00 - 10:00]],"=x")</f>
        <v>0</v>
      </c>
      <c r="F1184" s="2">
        <f>SUM(contact[[#This Row],[?]:[x]])</f>
        <v>0</v>
      </c>
      <c r="G11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4" s="3" t="s">
        <v>2768</v>
      </c>
      <c r="K1184" s="1" t="s">
        <v>2</v>
      </c>
      <c r="L1184" s="1" t="s">
        <v>2</v>
      </c>
      <c r="M1184" s="1" t="s">
        <v>2</v>
      </c>
      <c r="O1184" s="2"/>
      <c r="P1184" s="2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</row>
    <row r="1185" spans="1:32" s="1" customFormat="1" ht="20.25" customHeight="1" x14ac:dyDescent="0.25">
      <c r="A1185" s="2"/>
      <c r="B1185" s="2"/>
      <c r="C1185" s="2"/>
      <c r="D1185" s="2">
        <f>COUNTIF(contact[[#This Row],[Bagossy]:[Szo
03:00 - 10:00]],"=~?")</f>
        <v>0</v>
      </c>
      <c r="E1185" s="2">
        <f>COUNTIF(contact[[#This Row],[Bagossy]:[Szo
03:00 - 10:00]],"=x")</f>
        <v>0</v>
      </c>
      <c r="F1185" s="2">
        <f>SUM(contact[[#This Row],[?]:[x]])</f>
        <v>0</v>
      </c>
      <c r="G11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5" s="3" t="s">
        <v>661</v>
      </c>
      <c r="K1185" s="1" t="s">
        <v>2</v>
      </c>
      <c r="L1185" s="1" t="s">
        <v>2</v>
      </c>
      <c r="M1185" s="1" t="s">
        <v>2</v>
      </c>
      <c r="O1185" s="2"/>
      <c r="P1185" s="2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</row>
    <row r="1186" spans="1:32" s="1" customFormat="1" ht="20.25" customHeight="1" x14ac:dyDescent="0.25">
      <c r="A1186" s="2"/>
      <c r="B1186" s="2"/>
      <c r="C1186" s="2"/>
      <c r="D1186" s="2">
        <f>COUNTIF(contact[[#This Row],[Bagossy]:[Szo
03:00 - 10:00]],"=~?")</f>
        <v>0</v>
      </c>
      <c r="E1186" s="2">
        <f>COUNTIF(contact[[#This Row],[Bagossy]:[Szo
03:00 - 10:00]],"=x")</f>
        <v>0</v>
      </c>
      <c r="F1186" s="2">
        <f>SUM(contact[[#This Row],[?]:[x]])</f>
        <v>0</v>
      </c>
      <c r="G11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6" s="3" t="s">
        <v>2186</v>
      </c>
      <c r="K1186" s="1" t="s">
        <v>158</v>
      </c>
      <c r="L1186" s="1" t="s">
        <v>2</v>
      </c>
      <c r="M1186" s="1" t="s">
        <v>2</v>
      </c>
      <c r="O1186" s="2"/>
      <c r="P1186" s="2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</row>
    <row r="1187" spans="1:32" s="1" customFormat="1" ht="20.25" customHeight="1" x14ac:dyDescent="0.25">
      <c r="A1187" s="2"/>
      <c r="B1187" s="2"/>
      <c r="C1187" s="2"/>
      <c r="D1187" s="2">
        <f>COUNTIF(contact[[#This Row],[Bagossy]:[Szo
03:00 - 10:00]],"=~?")</f>
        <v>0</v>
      </c>
      <c r="E1187" s="2">
        <f>COUNTIF(contact[[#This Row],[Bagossy]:[Szo
03:00 - 10:00]],"=x")</f>
        <v>0</v>
      </c>
      <c r="F1187" s="2">
        <f>SUM(contact[[#This Row],[?]:[x]])</f>
        <v>0</v>
      </c>
      <c r="G11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87" s="2"/>
      <c r="I1187" s="2"/>
      <c r="J1187" s="3" t="s">
        <v>3071</v>
      </c>
      <c r="K1187" s="1" t="s">
        <v>6</v>
      </c>
      <c r="L1187" s="1" t="s">
        <v>2</v>
      </c>
      <c r="M1187" s="1" t="s">
        <v>2</v>
      </c>
      <c r="O1187" s="2"/>
      <c r="P1187" s="2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</row>
    <row r="1188" spans="1:32" s="1" customFormat="1" ht="20.25" customHeight="1" x14ac:dyDescent="0.25">
      <c r="A1188" s="2"/>
      <c r="B1188" s="2"/>
      <c r="C1188" s="2"/>
      <c r="D1188" s="2">
        <f>COUNTIF(contact[[#This Row],[Bagossy]:[Szo
03:00 - 10:00]],"=~?")</f>
        <v>0</v>
      </c>
      <c r="E1188" s="2">
        <f>COUNTIF(contact[[#This Row],[Bagossy]:[Szo
03:00 - 10:00]],"=x")</f>
        <v>0</v>
      </c>
      <c r="F1188" s="2">
        <f>SUM(contact[[#This Row],[?]:[x]])</f>
        <v>0</v>
      </c>
      <c r="G11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88" s="2"/>
      <c r="I1188" s="2"/>
      <c r="J1188" s="3" t="s">
        <v>3078</v>
      </c>
      <c r="K1188" s="1" t="s">
        <v>482</v>
      </c>
      <c r="L1188" s="1" t="s">
        <v>2</v>
      </c>
      <c r="M1188" s="1" t="s">
        <v>2</v>
      </c>
      <c r="O1188" s="2"/>
      <c r="P1188" s="2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</row>
    <row r="1189" spans="1:32" s="1" customFormat="1" ht="20.25" customHeight="1" x14ac:dyDescent="0.25">
      <c r="A1189" s="2"/>
      <c r="B1189" s="2"/>
      <c r="C1189" s="2"/>
      <c r="D1189" s="2">
        <f>COUNTIF(contact[[#This Row],[Bagossy]:[Szo
03:00 - 10:00]],"=~?")</f>
        <v>0</v>
      </c>
      <c r="E1189" s="2">
        <f>COUNTIF(contact[[#This Row],[Bagossy]:[Szo
03:00 - 10:00]],"=x")</f>
        <v>0</v>
      </c>
      <c r="F1189" s="2">
        <f>SUM(contact[[#This Row],[?]:[x]])</f>
        <v>0</v>
      </c>
      <c r="G11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89" s="3" t="s">
        <v>3371</v>
      </c>
      <c r="K1189" s="1" t="s">
        <v>30</v>
      </c>
      <c r="L1189" s="1" t="s">
        <v>2</v>
      </c>
      <c r="M1189" s="1" t="s">
        <v>2</v>
      </c>
      <c r="O1189" s="2"/>
      <c r="P1189" s="2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</row>
    <row r="1190" spans="1:32" s="1" customFormat="1" ht="20.25" customHeight="1" x14ac:dyDescent="0.25">
      <c r="A1190" s="2"/>
      <c r="B1190" s="2"/>
      <c r="C1190" s="2"/>
      <c r="D1190" s="2">
        <f>COUNTIF(contact[[#This Row],[Bagossy]:[Szo
03:00 - 10:00]],"=~?")</f>
        <v>0</v>
      </c>
      <c r="E1190" s="2">
        <f>COUNTIF(contact[[#This Row],[Bagossy]:[Szo
03:00 - 10:00]],"=x")</f>
        <v>0</v>
      </c>
      <c r="F1190" s="2">
        <f>SUM(contact[[#This Row],[?]:[x]])</f>
        <v>0</v>
      </c>
      <c r="G11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90" s="2"/>
      <c r="I1190" s="2"/>
      <c r="J1190" s="3" t="s">
        <v>3080</v>
      </c>
      <c r="K1190" s="1" t="s">
        <v>159</v>
      </c>
      <c r="L1190" s="1" t="s">
        <v>2</v>
      </c>
      <c r="M1190" s="1" t="s">
        <v>2</v>
      </c>
      <c r="O1190" s="2"/>
      <c r="P1190" s="2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</row>
    <row r="1191" spans="1:32" s="1" customFormat="1" ht="20.25" customHeight="1" x14ac:dyDescent="0.25">
      <c r="A1191" s="2"/>
      <c r="B1191" s="2"/>
      <c r="C1191" s="2"/>
      <c r="D1191" s="2">
        <f>COUNTIF(contact[[#This Row],[Bagossy]:[Szo
03:00 - 10:00]],"=~?")</f>
        <v>0</v>
      </c>
      <c r="E1191" s="2">
        <f>COUNTIF(contact[[#This Row],[Bagossy]:[Szo
03:00 - 10:00]],"=x")</f>
        <v>0</v>
      </c>
      <c r="F1191" s="2">
        <f>SUM(contact[[#This Row],[?]:[x]])</f>
        <v>0</v>
      </c>
      <c r="G11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91" s="3" t="s">
        <v>4538</v>
      </c>
      <c r="K1191" s="1" t="s">
        <v>1327</v>
      </c>
      <c r="L1191" s="1" t="s">
        <v>2</v>
      </c>
      <c r="M1191" s="1" t="s">
        <v>2</v>
      </c>
      <c r="O1191" s="2"/>
      <c r="P1191" s="2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</row>
    <row r="1192" spans="1:32" s="1" customFormat="1" ht="20.25" customHeight="1" x14ac:dyDescent="0.25">
      <c r="A1192" s="2"/>
      <c r="B1192" s="2"/>
      <c r="C1192" s="2"/>
      <c r="D1192" s="2">
        <f>COUNTIF(contact[[#This Row],[Bagossy]:[Szo
03:00 - 10:00]],"=~?")</f>
        <v>0</v>
      </c>
      <c r="E1192" s="2">
        <f>COUNTIF(contact[[#This Row],[Bagossy]:[Szo
03:00 - 10:00]],"=x")</f>
        <v>0</v>
      </c>
      <c r="F1192" s="2">
        <f>SUM(contact[[#This Row],[?]:[x]])</f>
        <v>0</v>
      </c>
      <c r="G11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92" s="3" t="s">
        <v>1965</v>
      </c>
      <c r="K1192" s="1" t="s">
        <v>41</v>
      </c>
      <c r="L1192" s="1" t="s">
        <v>2</v>
      </c>
      <c r="M1192" s="1" t="s">
        <v>2</v>
      </c>
      <c r="O1192" s="2"/>
      <c r="P1192" s="2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</row>
    <row r="1193" spans="1:32" s="1" customFormat="1" ht="20.25" customHeight="1" x14ac:dyDescent="0.25">
      <c r="A1193" s="2"/>
      <c r="B1193" s="2"/>
      <c r="C1193" s="2"/>
      <c r="D1193" s="2">
        <f>COUNTIF(contact[[#This Row],[Bagossy]:[Szo
03:00 - 10:00]],"=~?")</f>
        <v>0</v>
      </c>
      <c r="E1193" s="2">
        <f>COUNTIF(contact[[#This Row],[Bagossy]:[Szo
03:00 - 10:00]],"=x")</f>
        <v>0</v>
      </c>
      <c r="F1193" s="2">
        <f>SUM(contact[[#This Row],[?]:[x]])</f>
        <v>0</v>
      </c>
      <c r="G11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93" s="2"/>
      <c r="I1193" s="2"/>
      <c r="J1193" s="3" t="s">
        <v>3082</v>
      </c>
      <c r="K1193" s="1" t="s">
        <v>689</v>
      </c>
      <c r="L1193" s="1" t="s">
        <v>2</v>
      </c>
      <c r="M1193" s="1" t="s">
        <v>2</v>
      </c>
      <c r="O1193" s="2"/>
      <c r="P1193" s="2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</row>
    <row r="1194" spans="1:32" s="1" customFormat="1" ht="20.25" customHeight="1" x14ac:dyDescent="0.25">
      <c r="A1194" s="2"/>
      <c r="B1194" s="2"/>
      <c r="C1194" s="2"/>
      <c r="D1194" s="2">
        <f>COUNTIF(contact[[#This Row],[Bagossy]:[Szo
03:00 - 10:00]],"=~?")</f>
        <v>0</v>
      </c>
      <c r="E1194" s="2">
        <f>COUNTIF(contact[[#This Row],[Bagossy]:[Szo
03:00 - 10:00]],"=x")</f>
        <v>0</v>
      </c>
      <c r="F1194" s="2">
        <f>SUM(contact[[#This Row],[?]:[x]])</f>
        <v>0</v>
      </c>
      <c r="G11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94" s="2"/>
      <c r="I1194" s="2"/>
      <c r="J1194" s="3" t="s">
        <v>3083</v>
      </c>
      <c r="K1194" s="1" t="s">
        <v>305</v>
      </c>
      <c r="L1194" s="1" t="s">
        <v>2</v>
      </c>
      <c r="M1194" s="1" t="s">
        <v>2</v>
      </c>
      <c r="O1194" s="2"/>
      <c r="P1194" s="2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</row>
    <row r="1195" spans="1:32" s="1" customFormat="1" ht="20.25" customHeight="1" x14ac:dyDescent="0.25">
      <c r="A1195" s="2"/>
      <c r="B1195" s="2"/>
      <c r="C1195" s="2"/>
      <c r="D1195" s="2">
        <f>COUNTIF(contact[[#This Row],[Bagossy]:[Szo
03:00 - 10:00]],"=~?")</f>
        <v>0</v>
      </c>
      <c r="E1195" s="2">
        <f>COUNTIF(contact[[#This Row],[Bagossy]:[Szo
03:00 - 10:00]],"=x")</f>
        <v>0</v>
      </c>
      <c r="F1195" s="2">
        <f>SUM(contact[[#This Row],[?]:[x]])</f>
        <v>0</v>
      </c>
      <c r="G11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195" s="2"/>
      <c r="I1195" s="2"/>
      <c r="J1195" s="3" t="s">
        <v>3084</v>
      </c>
      <c r="K1195" s="1" t="s">
        <v>1559</v>
      </c>
      <c r="L1195" s="1" t="s">
        <v>2</v>
      </c>
      <c r="M1195" s="1" t="s">
        <v>2</v>
      </c>
      <c r="O1195" s="2"/>
      <c r="P1195" s="2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</row>
    <row r="1196" spans="1:32" s="1" customFormat="1" ht="20.25" customHeight="1" x14ac:dyDescent="0.25">
      <c r="A1196" s="2"/>
      <c r="B1196" s="2"/>
      <c r="C1196" s="2"/>
      <c r="D1196" s="2">
        <f>COUNTIF(contact[[#This Row],[Bagossy]:[Szo
03:00 - 10:00]],"=~?")</f>
        <v>0</v>
      </c>
      <c r="E1196" s="2">
        <f>COUNTIF(contact[[#This Row],[Bagossy]:[Szo
03:00 - 10:00]],"=x")</f>
        <v>0</v>
      </c>
      <c r="F1196" s="2">
        <f>SUM(contact[[#This Row],[?]:[x]])</f>
        <v>0</v>
      </c>
      <c r="G11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96" s="3" t="s">
        <v>3766</v>
      </c>
      <c r="K1196" s="1" t="s">
        <v>2</v>
      </c>
      <c r="L1196" s="1" t="s">
        <v>2</v>
      </c>
      <c r="M1196" s="1" t="s">
        <v>2</v>
      </c>
      <c r="O1196" s="2"/>
      <c r="P1196" s="2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</row>
    <row r="1197" spans="1:32" s="1" customFormat="1" ht="20.25" customHeight="1" x14ac:dyDescent="0.25">
      <c r="A1197" s="2"/>
      <c r="B1197" s="2"/>
      <c r="C1197" s="2"/>
      <c r="D1197" s="2">
        <f>COUNTIF(contact[[#This Row],[Bagossy]:[Szo
03:00 - 10:00]],"=~?")</f>
        <v>0</v>
      </c>
      <c r="E1197" s="2">
        <f>COUNTIF(contact[[#This Row],[Bagossy]:[Szo
03:00 - 10:00]],"=x")</f>
        <v>0</v>
      </c>
      <c r="F1197" s="2">
        <f>SUM(contact[[#This Row],[?]:[x]])</f>
        <v>0</v>
      </c>
      <c r="G11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97" s="3" t="s">
        <v>3885</v>
      </c>
      <c r="K1197" s="1" t="s">
        <v>998</v>
      </c>
      <c r="L1197" s="1" t="s">
        <v>2</v>
      </c>
      <c r="M1197" s="1" t="s">
        <v>2</v>
      </c>
      <c r="O1197" s="2"/>
      <c r="P1197" s="2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</row>
    <row r="1198" spans="1:32" s="1" customFormat="1" ht="20.25" customHeight="1" x14ac:dyDescent="0.25">
      <c r="A1198" s="2"/>
      <c r="B1198" s="2"/>
      <c r="C1198" s="2"/>
      <c r="D1198" s="2">
        <f>COUNTIF(contact[[#This Row],[Bagossy]:[Szo
03:00 - 10:00]],"=~?")</f>
        <v>0</v>
      </c>
      <c r="E1198" s="2">
        <f>COUNTIF(contact[[#This Row],[Bagossy]:[Szo
03:00 - 10:00]],"=x")</f>
        <v>0</v>
      </c>
      <c r="F1198" s="2">
        <f>SUM(contact[[#This Row],[?]:[x]])</f>
        <v>0</v>
      </c>
      <c r="G11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98" s="3" t="s">
        <v>4131</v>
      </c>
      <c r="K1198" s="1" t="s">
        <v>1113</v>
      </c>
      <c r="L1198" s="1" t="s">
        <v>2</v>
      </c>
      <c r="M1198" s="1" t="s">
        <v>2</v>
      </c>
      <c r="O1198" s="2"/>
      <c r="P1198" s="2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</row>
    <row r="1199" spans="1:32" s="1" customFormat="1" ht="20.25" customHeight="1" x14ac:dyDescent="0.25">
      <c r="A1199" s="2"/>
      <c r="B1199" s="2"/>
      <c r="C1199" s="2"/>
      <c r="D1199" s="2">
        <f>COUNTIF(contact[[#This Row],[Bagossy]:[Szo
03:00 - 10:00]],"=~?")</f>
        <v>0</v>
      </c>
      <c r="E1199" s="2">
        <f>COUNTIF(contact[[#This Row],[Bagossy]:[Szo
03:00 - 10:00]],"=x")</f>
        <v>0</v>
      </c>
      <c r="F1199" s="2">
        <f>SUM(contact[[#This Row],[?]:[x]])</f>
        <v>0</v>
      </c>
      <c r="G11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199" s="3" t="s">
        <v>4391</v>
      </c>
      <c r="K1199" s="1" t="s">
        <v>1223</v>
      </c>
      <c r="L1199" s="1" t="s">
        <v>2</v>
      </c>
      <c r="M1199" s="1" t="s">
        <v>2</v>
      </c>
      <c r="O1199" s="2"/>
      <c r="P1199" s="2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</row>
    <row r="1200" spans="1:32" s="1" customFormat="1" ht="20.25" customHeight="1" x14ac:dyDescent="0.25">
      <c r="A1200" s="2"/>
      <c r="B1200" s="2"/>
      <c r="C1200" s="2"/>
      <c r="D1200" s="2">
        <f>COUNTIF(contact[[#This Row],[Bagossy]:[Szo
03:00 - 10:00]],"=~?")</f>
        <v>0</v>
      </c>
      <c r="E1200" s="2">
        <f>COUNTIF(contact[[#This Row],[Bagossy]:[Szo
03:00 - 10:00]],"=x")</f>
        <v>0</v>
      </c>
      <c r="F1200" s="2">
        <f>SUM(contact[[#This Row],[?]:[x]])</f>
        <v>0</v>
      </c>
      <c r="G12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00" s="2"/>
      <c r="I1200" s="2"/>
      <c r="J1200" s="3" t="s">
        <v>3086</v>
      </c>
      <c r="K1200" s="1" t="s">
        <v>1246</v>
      </c>
      <c r="L1200" s="1" t="s">
        <v>2</v>
      </c>
      <c r="M1200" s="1" t="s">
        <v>2</v>
      </c>
      <c r="O1200" s="2"/>
      <c r="P1200" s="2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</row>
    <row r="1201" spans="1:32" s="1" customFormat="1" ht="20.25" customHeight="1" x14ac:dyDescent="0.25">
      <c r="A1201" s="2"/>
      <c r="B1201" s="2"/>
      <c r="C1201" s="2"/>
      <c r="D1201" s="2">
        <f>COUNTIF(contact[[#This Row],[Bagossy]:[Szo
03:00 - 10:00]],"=~?")</f>
        <v>0</v>
      </c>
      <c r="E1201" s="2">
        <f>COUNTIF(contact[[#This Row],[Bagossy]:[Szo
03:00 - 10:00]],"=x")</f>
        <v>0</v>
      </c>
      <c r="F1201" s="2">
        <f>SUM(contact[[#This Row],[?]:[x]])</f>
        <v>0</v>
      </c>
      <c r="G12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01" s="2"/>
      <c r="I1201" s="2"/>
      <c r="J1201" s="3" t="s">
        <v>3088</v>
      </c>
      <c r="K1201" s="1" t="s">
        <v>1560</v>
      </c>
      <c r="L1201" s="1" t="s">
        <v>2</v>
      </c>
      <c r="M1201" s="1" t="s">
        <v>2</v>
      </c>
      <c r="O1201" s="2"/>
      <c r="P1201" s="2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</row>
    <row r="1202" spans="1:32" s="1" customFormat="1" ht="20.25" customHeight="1" x14ac:dyDescent="0.25">
      <c r="A1202" s="2"/>
      <c r="B1202" s="2"/>
      <c r="C1202" s="2"/>
      <c r="D1202" s="2">
        <f>COUNTIF(contact[[#This Row],[Bagossy]:[Szo
03:00 - 10:00]],"=~?")</f>
        <v>0</v>
      </c>
      <c r="E1202" s="2">
        <f>COUNTIF(contact[[#This Row],[Bagossy]:[Szo
03:00 - 10:00]],"=x")</f>
        <v>0</v>
      </c>
      <c r="F1202" s="2">
        <f>SUM(contact[[#This Row],[?]:[x]])</f>
        <v>0</v>
      </c>
      <c r="G12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02" s="3" t="s">
        <v>4432</v>
      </c>
      <c r="K1202" s="1" t="s">
        <v>1858</v>
      </c>
      <c r="L1202" s="1" t="s">
        <v>2</v>
      </c>
      <c r="M1202" s="1" t="s">
        <v>2</v>
      </c>
      <c r="O1202" s="2"/>
      <c r="P1202" s="2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</row>
    <row r="1203" spans="1:32" s="1" customFormat="1" ht="20.25" customHeight="1" x14ac:dyDescent="0.25">
      <c r="A1203" s="2" t="s">
        <v>1285</v>
      </c>
      <c r="B1203" s="2" t="s">
        <v>1285</v>
      </c>
      <c r="C1203" s="2" t="s">
        <v>1285</v>
      </c>
      <c r="D1203" s="2">
        <f>COUNTIF(contact[[#This Row],[Bagossy]:[Szo
03:00 - 10:00]],"=~?")</f>
        <v>4</v>
      </c>
      <c r="E1203" s="2">
        <f>COUNTIF(contact[[#This Row],[Bagossy]:[Szo
03:00 - 10:00]],"=x")</f>
        <v>6</v>
      </c>
      <c r="F1203" s="2">
        <f>SUM(contact[[#This Row],[?]:[x]])</f>
        <v>10</v>
      </c>
      <c r="G1203" s="2">
        <f>COUNTIF(contact[[#This Row],[Sze
10:00 - 22:00]:[Cs
03:00 - 08:00]],"=x")+COUNTIF(contact[[#This Row],[P
08:00 - 12:00]:[P
03:00 - 08:00]],"=x")+COUNTIF(contact[[#This Row],[Szo
08:00 - 12:00]:[Szo
03:00 - 10:00]],"=x")</f>
        <v>4</v>
      </c>
      <c r="H1203" s="2" t="s">
        <v>4623</v>
      </c>
      <c r="I1203" s="2" t="s">
        <v>1285</v>
      </c>
      <c r="J1203" s="3" t="s">
        <v>3090</v>
      </c>
      <c r="K1203" s="1" t="s">
        <v>1562</v>
      </c>
      <c r="L1203" s="1" t="s">
        <v>2</v>
      </c>
      <c r="M1203" s="1" t="s">
        <v>2</v>
      </c>
      <c r="O1203" s="2" t="s">
        <v>1285</v>
      </c>
      <c r="P1203" s="2"/>
      <c r="Q1203" s="6" t="s">
        <v>4623</v>
      </c>
      <c r="R1203" s="6" t="s">
        <v>1285</v>
      </c>
      <c r="S1203" s="6" t="s">
        <v>1285</v>
      </c>
      <c r="T1203" s="6"/>
      <c r="U1203" s="6"/>
      <c r="V1203" s="6"/>
      <c r="W1203" s="6" t="s">
        <v>1285</v>
      </c>
      <c r="X1203" s="6" t="s">
        <v>4616</v>
      </c>
      <c r="Y1203" s="6" t="s">
        <v>4616</v>
      </c>
      <c r="Z1203" s="6" t="s">
        <v>1285</v>
      </c>
      <c r="AA1203" s="6"/>
      <c r="AB1203" s="6"/>
      <c r="AC1203" s="6" t="s">
        <v>4616</v>
      </c>
      <c r="AD1203" s="6"/>
      <c r="AE1203" s="6" t="s">
        <v>1285</v>
      </c>
      <c r="AF1203" s="6" t="s">
        <v>4616</v>
      </c>
    </row>
    <row r="1204" spans="1:32" s="1" customFormat="1" ht="20.25" customHeight="1" x14ac:dyDescent="0.25">
      <c r="A1204" s="2"/>
      <c r="B1204" s="2"/>
      <c r="C1204" s="2"/>
      <c r="D1204" s="2">
        <f>COUNTIF(contact[[#This Row],[Bagossy]:[Szo
03:00 - 10:00]],"=~?")</f>
        <v>0</v>
      </c>
      <c r="E1204" s="2">
        <f>COUNTIF(contact[[#This Row],[Bagossy]:[Szo
03:00 - 10:00]],"=x")</f>
        <v>0</v>
      </c>
      <c r="F1204" s="2">
        <f>SUM(contact[[#This Row],[?]:[x]])</f>
        <v>0</v>
      </c>
      <c r="G12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04" s="3" t="s">
        <v>662</v>
      </c>
      <c r="K1204" s="1" t="s">
        <v>2</v>
      </c>
      <c r="L1204" s="1" t="s">
        <v>2</v>
      </c>
      <c r="M1204" s="1" t="s">
        <v>2</v>
      </c>
      <c r="O1204" s="2"/>
      <c r="P1204" s="2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</row>
    <row r="1205" spans="1:32" s="1" customFormat="1" ht="20.25" customHeight="1" x14ac:dyDescent="0.25">
      <c r="A1205" s="2"/>
      <c r="B1205" s="2"/>
      <c r="C1205" s="2"/>
      <c r="D1205" s="2">
        <f>COUNTIF(contact[[#This Row],[Bagossy]:[Szo
03:00 - 10:00]],"=~?")</f>
        <v>0</v>
      </c>
      <c r="E1205" s="2">
        <f>COUNTIF(contact[[#This Row],[Bagossy]:[Szo
03:00 - 10:00]],"=x")</f>
        <v>0</v>
      </c>
      <c r="F1205" s="2">
        <f>SUM(contact[[#This Row],[?]:[x]])</f>
        <v>0</v>
      </c>
      <c r="G12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05" s="3" t="s">
        <v>665</v>
      </c>
      <c r="K1205" s="1" t="s">
        <v>2</v>
      </c>
      <c r="L1205" s="1" t="s">
        <v>2</v>
      </c>
      <c r="M1205" s="1" t="s">
        <v>2</v>
      </c>
      <c r="O1205" s="2"/>
      <c r="P1205" s="2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</row>
    <row r="1206" spans="1:32" s="1" customFormat="1" ht="20.25" customHeight="1" x14ac:dyDescent="0.25">
      <c r="A1206" s="2"/>
      <c r="B1206" s="2"/>
      <c r="C1206" s="2"/>
      <c r="D1206" s="2">
        <f>COUNTIF(contact[[#This Row],[Bagossy]:[Szo
03:00 - 10:00]],"=~?")</f>
        <v>0</v>
      </c>
      <c r="E1206" s="2">
        <f>COUNTIF(contact[[#This Row],[Bagossy]:[Szo
03:00 - 10:00]],"=x")</f>
        <v>0</v>
      </c>
      <c r="F1206" s="2">
        <f>SUM(contact[[#This Row],[?]:[x]])</f>
        <v>0</v>
      </c>
      <c r="G12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06" s="3" t="s">
        <v>2529</v>
      </c>
      <c r="K1206" s="1" t="s">
        <v>357</v>
      </c>
      <c r="L1206" s="1" t="s">
        <v>2</v>
      </c>
      <c r="M1206" s="1" t="s">
        <v>2</v>
      </c>
      <c r="O1206" s="2"/>
      <c r="P1206" s="2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</row>
    <row r="1207" spans="1:32" s="1" customFormat="1" ht="20.25" customHeight="1" x14ac:dyDescent="0.25">
      <c r="A1207" s="2"/>
      <c r="B1207" s="2"/>
      <c r="C1207" s="2"/>
      <c r="D1207" s="2">
        <f>COUNTIF(contact[[#This Row],[Bagossy]:[Szo
03:00 - 10:00]],"=~?")</f>
        <v>0</v>
      </c>
      <c r="E1207" s="2">
        <f>COUNTIF(contact[[#This Row],[Bagossy]:[Szo
03:00 - 10:00]],"=x")</f>
        <v>0</v>
      </c>
      <c r="F1207" s="2">
        <f>SUM(contact[[#This Row],[?]:[x]])</f>
        <v>0</v>
      </c>
      <c r="G12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07" s="3" t="s">
        <v>667</v>
      </c>
      <c r="K1207" s="1" t="s">
        <v>2</v>
      </c>
      <c r="L1207" s="1" t="s">
        <v>2</v>
      </c>
      <c r="M1207" s="1" t="s">
        <v>2</v>
      </c>
      <c r="O1207" s="2"/>
      <c r="P1207" s="2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</row>
    <row r="1208" spans="1:32" s="1" customFormat="1" ht="20.25" customHeight="1" x14ac:dyDescent="0.25">
      <c r="A1208" s="2"/>
      <c r="B1208" s="2"/>
      <c r="C1208" s="2"/>
      <c r="D1208" s="2">
        <f>COUNTIF(contact[[#This Row],[Bagossy]:[Szo
03:00 - 10:00]],"=~?")</f>
        <v>0</v>
      </c>
      <c r="E1208" s="2">
        <f>COUNTIF(contact[[#This Row],[Bagossy]:[Szo
03:00 - 10:00]],"=x")</f>
        <v>0</v>
      </c>
      <c r="F1208" s="2">
        <f>SUM(contact[[#This Row],[?]:[x]])</f>
        <v>0</v>
      </c>
      <c r="G12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08" s="3" t="s">
        <v>668</v>
      </c>
      <c r="K1208" s="1" t="s">
        <v>2</v>
      </c>
      <c r="L1208" s="1" t="s">
        <v>2</v>
      </c>
      <c r="M1208" s="1" t="s">
        <v>2</v>
      </c>
      <c r="O1208" s="2"/>
      <c r="P1208" s="2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</row>
    <row r="1209" spans="1:32" s="1" customFormat="1" ht="20.25" customHeight="1" x14ac:dyDescent="0.25">
      <c r="A1209" s="2"/>
      <c r="B1209" s="2"/>
      <c r="C1209" s="2"/>
      <c r="D1209" s="2">
        <f>COUNTIF(contact[[#This Row],[Bagossy]:[Szo
03:00 - 10:00]],"=~?")</f>
        <v>0</v>
      </c>
      <c r="E1209" s="2">
        <f>COUNTIF(contact[[#This Row],[Bagossy]:[Szo
03:00 - 10:00]],"=x")</f>
        <v>0</v>
      </c>
      <c r="F1209" s="2">
        <f>SUM(contact[[#This Row],[?]:[x]])</f>
        <v>0</v>
      </c>
      <c r="G12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09" s="2"/>
      <c r="I1209" s="2"/>
      <c r="J1209" s="3" t="s">
        <v>3091</v>
      </c>
      <c r="K1209" s="1" t="s">
        <v>305</v>
      </c>
      <c r="L1209" s="1" t="s">
        <v>2</v>
      </c>
      <c r="M1209" s="1" t="s">
        <v>2</v>
      </c>
      <c r="O1209" s="2"/>
      <c r="P1209" s="2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</row>
    <row r="1210" spans="1:32" s="1" customFormat="1" ht="20.25" customHeight="1" x14ac:dyDescent="0.25">
      <c r="A1210" s="2"/>
      <c r="B1210" s="2"/>
      <c r="C1210" s="2"/>
      <c r="D1210" s="2">
        <f>COUNTIF(contact[[#This Row],[Bagossy]:[Szo
03:00 - 10:00]],"=~?")</f>
        <v>0</v>
      </c>
      <c r="E1210" s="2">
        <f>COUNTIF(contact[[#This Row],[Bagossy]:[Szo
03:00 - 10:00]],"=x")</f>
        <v>0</v>
      </c>
      <c r="F1210" s="2">
        <f>SUM(contact[[#This Row],[?]:[x]])</f>
        <v>0</v>
      </c>
      <c r="G12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0" s="3" t="s">
        <v>2648</v>
      </c>
      <c r="K1210" s="1" t="s">
        <v>428</v>
      </c>
      <c r="L1210" s="1" t="s">
        <v>2</v>
      </c>
      <c r="M1210" s="1" t="s">
        <v>2</v>
      </c>
      <c r="O1210" s="2"/>
      <c r="P1210" s="2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</row>
    <row r="1211" spans="1:32" s="1" customFormat="1" ht="20.25" customHeight="1" x14ac:dyDescent="0.25">
      <c r="A1211" s="2"/>
      <c r="B1211" s="2"/>
      <c r="C1211" s="2"/>
      <c r="D1211" s="2">
        <f>COUNTIF(contact[[#This Row],[Bagossy]:[Szo
03:00 - 10:00]],"=~?")</f>
        <v>0</v>
      </c>
      <c r="E1211" s="2">
        <f>COUNTIF(contact[[#This Row],[Bagossy]:[Szo
03:00 - 10:00]],"=x")</f>
        <v>0</v>
      </c>
      <c r="F1211" s="2">
        <f>SUM(contact[[#This Row],[?]:[x]])</f>
        <v>0</v>
      </c>
      <c r="G12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1" s="3" t="s">
        <v>2994</v>
      </c>
      <c r="K1211" s="1" t="s">
        <v>597</v>
      </c>
      <c r="L1211" s="1" t="s">
        <v>2</v>
      </c>
      <c r="M1211" s="1" t="s">
        <v>2</v>
      </c>
      <c r="O1211" s="2"/>
      <c r="P1211" s="2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</row>
    <row r="1212" spans="1:32" s="1" customFormat="1" ht="20.25" customHeight="1" x14ac:dyDescent="0.25">
      <c r="A1212" s="2"/>
      <c r="B1212" s="2"/>
      <c r="C1212" s="2"/>
      <c r="D1212" s="2">
        <f>COUNTIF(contact[[#This Row],[Bagossy]:[Szo
03:00 - 10:00]],"=~?")</f>
        <v>0</v>
      </c>
      <c r="E1212" s="2">
        <f>COUNTIF(contact[[#This Row],[Bagossy]:[Szo
03:00 - 10:00]],"=x")</f>
        <v>0</v>
      </c>
      <c r="F1212" s="2">
        <f>SUM(contact[[#This Row],[?]:[x]])</f>
        <v>0</v>
      </c>
      <c r="G12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2" s="3" t="s">
        <v>3283</v>
      </c>
      <c r="K1212" s="1" t="s">
        <v>2</v>
      </c>
      <c r="L1212" s="1" t="s">
        <v>2</v>
      </c>
      <c r="M1212" s="1" t="s">
        <v>2</v>
      </c>
      <c r="O1212" s="2"/>
      <c r="P1212" s="2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</row>
    <row r="1213" spans="1:32" s="1" customFormat="1" ht="20.25" customHeight="1" x14ac:dyDescent="0.25">
      <c r="A1213" s="2" t="s">
        <v>1285</v>
      </c>
      <c r="B1213" s="2" t="s">
        <v>1285</v>
      </c>
      <c r="C1213" s="2" t="s">
        <v>1285</v>
      </c>
      <c r="D1213" s="2">
        <f>COUNTIF(contact[[#This Row],[Bagossy]:[Szo
03:00 - 10:00]],"=~?")</f>
        <v>4</v>
      </c>
      <c r="E1213" s="2">
        <f>COUNTIF(contact[[#This Row],[Bagossy]:[Szo
03:00 - 10:00]],"=x")</f>
        <v>0</v>
      </c>
      <c r="F1213" s="2">
        <f>SUM(contact[[#This Row],[?]:[x]])</f>
        <v>4</v>
      </c>
      <c r="G12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13" s="2" t="s">
        <v>4632</v>
      </c>
      <c r="I1213" s="2"/>
      <c r="J1213" s="3" t="s">
        <v>3102</v>
      </c>
      <c r="K1213" s="1" t="s">
        <v>1079</v>
      </c>
      <c r="L1213" s="1" t="s">
        <v>2</v>
      </c>
      <c r="M1213" s="1" t="s">
        <v>2</v>
      </c>
      <c r="N1213" s="2" t="s">
        <v>4612</v>
      </c>
      <c r="O1213" s="2"/>
      <c r="P1213" s="2"/>
      <c r="Q1213" s="6"/>
      <c r="R1213" s="6"/>
      <c r="S1213" s="6"/>
      <c r="T1213" s="6"/>
      <c r="U1213" s="6" t="s">
        <v>4616</v>
      </c>
      <c r="V1213" s="6" t="s">
        <v>4616</v>
      </c>
      <c r="W1213" s="6"/>
      <c r="X1213" s="6" t="s">
        <v>4616</v>
      </c>
      <c r="Y1213" s="6"/>
      <c r="Z1213" s="6" t="s">
        <v>4616</v>
      </c>
      <c r="AA1213" s="6"/>
      <c r="AB1213" s="6"/>
      <c r="AC1213" s="6"/>
      <c r="AD1213" s="6"/>
      <c r="AE1213" s="6"/>
      <c r="AF1213" s="6"/>
    </row>
    <row r="1214" spans="1:32" s="1" customFormat="1" ht="20.25" customHeight="1" x14ac:dyDescent="0.25">
      <c r="A1214" s="2"/>
      <c r="B1214" s="2"/>
      <c r="C1214" s="2"/>
      <c r="D1214" s="2">
        <f>COUNTIF(contact[[#This Row],[Bagossy]:[Szo
03:00 - 10:00]],"=~?")</f>
        <v>0</v>
      </c>
      <c r="E1214" s="2">
        <f>COUNTIF(contact[[#This Row],[Bagossy]:[Szo
03:00 - 10:00]],"=x")</f>
        <v>0</v>
      </c>
      <c r="F1214" s="2">
        <f>SUM(contact[[#This Row],[?]:[x]])</f>
        <v>0</v>
      </c>
      <c r="G12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4" s="3" t="s">
        <v>4209</v>
      </c>
      <c r="K1214" s="1" t="s">
        <v>1142</v>
      </c>
      <c r="L1214" s="1" t="s">
        <v>2</v>
      </c>
      <c r="M1214" s="1" t="s">
        <v>2</v>
      </c>
      <c r="O1214" s="2"/>
      <c r="P1214" s="2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</row>
    <row r="1215" spans="1:32" s="1" customFormat="1" ht="20.25" customHeight="1" x14ac:dyDescent="0.25">
      <c r="A1215" s="2"/>
      <c r="B1215" s="2"/>
      <c r="C1215" s="2"/>
      <c r="D1215" s="2">
        <f>COUNTIF(contact[[#This Row],[Bagossy]:[Szo
03:00 - 10:00]],"=~?")</f>
        <v>0</v>
      </c>
      <c r="E1215" s="2">
        <f>COUNTIF(contact[[#This Row],[Bagossy]:[Szo
03:00 - 10:00]],"=x")</f>
        <v>0</v>
      </c>
      <c r="F1215" s="2">
        <f>SUM(contact[[#This Row],[?]:[x]])</f>
        <v>0</v>
      </c>
      <c r="G12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5" s="3" t="s">
        <v>3746</v>
      </c>
      <c r="K1215" s="1" t="s">
        <v>568</v>
      </c>
      <c r="L1215" s="1" t="s">
        <v>2</v>
      </c>
      <c r="M1215" s="1" t="s">
        <v>2</v>
      </c>
      <c r="O1215" s="2"/>
      <c r="P1215" s="2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</row>
    <row r="1216" spans="1:32" s="1" customFormat="1" ht="20.25" customHeight="1" x14ac:dyDescent="0.25">
      <c r="A1216" s="2"/>
      <c r="B1216" s="2"/>
      <c r="C1216" s="2"/>
      <c r="D1216" s="2">
        <f>COUNTIF(contact[[#This Row],[Bagossy]:[Szo
03:00 - 10:00]],"=~?")</f>
        <v>0</v>
      </c>
      <c r="E1216" s="2">
        <f>COUNTIF(contact[[#This Row],[Bagossy]:[Szo
03:00 - 10:00]],"=x")</f>
        <v>0</v>
      </c>
      <c r="F1216" s="2">
        <f>SUM(contact[[#This Row],[?]:[x]])</f>
        <v>0</v>
      </c>
      <c r="G12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6" s="3" t="s">
        <v>3274</v>
      </c>
      <c r="K1216" s="1" t="s">
        <v>2</v>
      </c>
      <c r="L1216" s="1" t="s">
        <v>2</v>
      </c>
      <c r="M1216" s="1" t="s">
        <v>2</v>
      </c>
      <c r="O1216" s="2"/>
      <c r="P1216" s="2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</row>
    <row r="1217" spans="1:32" s="1" customFormat="1" ht="20.25" customHeight="1" x14ac:dyDescent="0.25">
      <c r="A1217" s="2"/>
      <c r="B1217" s="2"/>
      <c r="C1217" s="2"/>
      <c r="D1217" s="2">
        <f>COUNTIF(contact[[#This Row],[Bagossy]:[Szo
03:00 - 10:00]],"=~?")</f>
        <v>0</v>
      </c>
      <c r="E1217" s="2">
        <f>COUNTIF(contact[[#This Row],[Bagossy]:[Szo
03:00 - 10:00]],"=x")</f>
        <v>0</v>
      </c>
      <c r="F1217" s="2">
        <f>SUM(contact[[#This Row],[?]:[x]])</f>
        <v>0</v>
      </c>
      <c r="G12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17" s="2"/>
      <c r="I1217" s="2"/>
      <c r="J1217" s="3" t="s">
        <v>3105</v>
      </c>
      <c r="K1217" s="1" t="s">
        <v>1566</v>
      </c>
      <c r="L1217" s="1" t="s">
        <v>2</v>
      </c>
      <c r="M1217" s="1" t="s">
        <v>2</v>
      </c>
      <c r="O1217" s="2"/>
      <c r="P1217" s="2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</row>
    <row r="1218" spans="1:32" s="1" customFormat="1" ht="20.25" customHeight="1" x14ac:dyDescent="0.25">
      <c r="A1218" s="2"/>
      <c r="B1218" s="2"/>
      <c r="C1218" s="2"/>
      <c r="D1218" s="2">
        <f>COUNTIF(contact[[#This Row],[Bagossy]:[Szo
03:00 - 10:00]],"=~?")</f>
        <v>0</v>
      </c>
      <c r="E1218" s="2">
        <f>COUNTIF(contact[[#This Row],[Bagossy]:[Szo
03:00 - 10:00]],"=x")</f>
        <v>0</v>
      </c>
      <c r="F1218" s="2">
        <f>SUM(contact[[#This Row],[?]:[x]])</f>
        <v>0</v>
      </c>
      <c r="G12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18" s="2"/>
      <c r="I1218" s="2"/>
      <c r="J1218" s="3" t="s">
        <v>3109</v>
      </c>
      <c r="K1218" s="1" t="s">
        <v>245</v>
      </c>
      <c r="L1218" s="1" t="s">
        <v>2</v>
      </c>
      <c r="M1218" s="1" t="s">
        <v>2</v>
      </c>
      <c r="O1218" s="2"/>
      <c r="P1218" s="2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</row>
    <row r="1219" spans="1:32" s="1" customFormat="1" ht="20.25" customHeight="1" x14ac:dyDescent="0.25">
      <c r="A1219" s="2"/>
      <c r="B1219" s="2"/>
      <c r="C1219" s="2"/>
      <c r="D1219" s="2">
        <f>COUNTIF(contact[[#This Row],[Bagossy]:[Szo
03:00 - 10:00]],"=~?")</f>
        <v>0</v>
      </c>
      <c r="E1219" s="2">
        <f>COUNTIF(contact[[#This Row],[Bagossy]:[Szo
03:00 - 10:00]],"=x")</f>
        <v>0</v>
      </c>
      <c r="F1219" s="2">
        <f>SUM(contact[[#This Row],[?]:[x]])</f>
        <v>0</v>
      </c>
      <c r="G12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19" s="3" t="s">
        <v>3943</v>
      </c>
      <c r="K1219" s="1" t="s">
        <v>2</v>
      </c>
      <c r="L1219" s="1" t="s">
        <v>2</v>
      </c>
      <c r="M1219" s="1" t="s">
        <v>2</v>
      </c>
      <c r="O1219" s="2"/>
      <c r="P1219" s="2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</row>
    <row r="1220" spans="1:32" s="1" customFormat="1" ht="20.25" customHeight="1" x14ac:dyDescent="0.25">
      <c r="A1220" s="2"/>
      <c r="B1220" s="2"/>
      <c r="C1220" s="2"/>
      <c r="D1220" s="2">
        <f>COUNTIF(contact[[#This Row],[Bagossy]:[Szo
03:00 - 10:00]],"=~?")</f>
        <v>0</v>
      </c>
      <c r="E1220" s="2">
        <f>COUNTIF(contact[[#This Row],[Bagossy]:[Szo
03:00 - 10:00]],"=x")</f>
        <v>0</v>
      </c>
      <c r="F1220" s="2">
        <f>SUM(contact[[#This Row],[?]:[x]])</f>
        <v>0</v>
      </c>
      <c r="G12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0" s="3" t="s">
        <v>3372</v>
      </c>
      <c r="K1220" s="1" t="s">
        <v>775</v>
      </c>
      <c r="L1220" s="1" t="s">
        <v>2</v>
      </c>
      <c r="M1220" s="1" t="s">
        <v>2</v>
      </c>
      <c r="O1220" s="2"/>
      <c r="P1220" s="2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</row>
    <row r="1221" spans="1:32" s="1" customFormat="1" ht="20.25" customHeight="1" x14ac:dyDescent="0.25">
      <c r="A1221" s="2"/>
      <c r="B1221" s="2"/>
      <c r="C1221" s="2"/>
      <c r="D1221" s="2">
        <f>COUNTIF(contact[[#This Row],[Bagossy]:[Szo
03:00 - 10:00]],"=~?")</f>
        <v>0</v>
      </c>
      <c r="E1221" s="2">
        <f>COUNTIF(contact[[#This Row],[Bagossy]:[Szo
03:00 - 10:00]],"=x")</f>
        <v>0</v>
      </c>
      <c r="F1221" s="2">
        <f>SUM(contact[[#This Row],[?]:[x]])</f>
        <v>0</v>
      </c>
      <c r="G12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1" s="3" t="s">
        <v>3053</v>
      </c>
      <c r="K1221" s="1" t="s">
        <v>1327</v>
      </c>
      <c r="L1221" s="1" t="s">
        <v>2</v>
      </c>
      <c r="M1221" s="1" t="s">
        <v>2</v>
      </c>
      <c r="O1221" s="2"/>
      <c r="P1221" s="2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</row>
    <row r="1222" spans="1:32" s="1" customFormat="1" ht="20.25" customHeight="1" x14ac:dyDescent="0.25">
      <c r="A1222" s="2"/>
      <c r="B1222" s="2"/>
      <c r="C1222" s="2"/>
      <c r="D1222" s="2">
        <f>COUNTIF(contact[[#This Row],[Bagossy]:[Szo
03:00 - 10:00]],"=~?")</f>
        <v>0</v>
      </c>
      <c r="E1222" s="2">
        <f>COUNTIF(contact[[#This Row],[Bagossy]:[Szo
03:00 - 10:00]],"=x")</f>
        <v>0</v>
      </c>
      <c r="F1222" s="2">
        <f>SUM(contact[[#This Row],[?]:[x]])</f>
        <v>0</v>
      </c>
      <c r="G12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2" s="3" t="s">
        <v>3092</v>
      </c>
      <c r="K1222" s="1" t="s">
        <v>62</v>
      </c>
      <c r="L1222" s="1" t="s">
        <v>2</v>
      </c>
      <c r="M1222" s="1" t="s">
        <v>2</v>
      </c>
      <c r="O1222" s="2"/>
      <c r="P1222" s="2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</row>
    <row r="1223" spans="1:32" s="1" customFormat="1" ht="20.25" customHeight="1" x14ac:dyDescent="0.25">
      <c r="A1223" s="2"/>
      <c r="B1223" s="2"/>
      <c r="C1223" s="2"/>
      <c r="D1223" s="2">
        <f>COUNTIF(contact[[#This Row],[Bagossy]:[Szo
03:00 - 10:00]],"=~?")</f>
        <v>0</v>
      </c>
      <c r="E1223" s="2">
        <f>COUNTIF(contact[[#This Row],[Bagossy]:[Szo
03:00 - 10:00]],"=x")</f>
        <v>0</v>
      </c>
      <c r="F1223" s="2">
        <f>SUM(contact[[#This Row],[?]:[x]])</f>
        <v>0</v>
      </c>
      <c r="G12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3" s="3" t="s">
        <v>4208</v>
      </c>
      <c r="K1223" s="1" t="s">
        <v>2</v>
      </c>
      <c r="L1223" s="1" t="s">
        <v>2</v>
      </c>
      <c r="M1223" s="1" t="s">
        <v>2</v>
      </c>
      <c r="O1223" s="2"/>
      <c r="P1223" s="2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</row>
    <row r="1224" spans="1:32" s="1" customFormat="1" ht="20.25" customHeight="1" x14ac:dyDescent="0.25">
      <c r="A1224" s="2"/>
      <c r="B1224" s="2"/>
      <c r="C1224" s="2"/>
      <c r="D1224" s="2">
        <f>COUNTIF(contact[[#This Row],[Bagossy]:[Szo
03:00 - 10:00]],"=~?")</f>
        <v>0</v>
      </c>
      <c r="E1224" s="2">
        <f>COUNTIF(contact[[#This Row],[Bagossy]:[Szo
03:00 - 10:00]],"=x")</f>
        <v>0</v>
      </c>
      <c r="F1224" s="2">
        <f>SUM(contact[[#This Row],[?]:[x]])</f>
        <v>0</v>
      </c>
      <c r="G12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4" s="3" t="s">
        <v>2420</v>
      </c>
      <c r="K1224" s="1" t="s">
        <v>2</v>
      </c>
      <c r="L1224" s="1" t="s">
        <v>2</v>
      </c>
      <c r="M1224" s="1" t="s">
        <v>2</v>
      </c>
      <c r="O1224" s="2"/>
      <c r="P1224" s="2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</row>
    <row r="1225" spans="1:32" s="1" customFormat="1" ht="20.25" customHeight="1" x14ac:dyDescent="0.25">
      <c r="A1225" s="2"/>
      <c r="B1225" s="2"/>
      <c r="C1225" s="2"/>
      <c r="D1225" s="2">
        <f>COUNTIF(contact[[#This Row],[Bagossy]:[Szo
03:00 - 10:00]],"=~?")</f>
        <v>0</v>
      </c>
      <c r="E1225" s="2">
        <f>COUNTIF(contact[[#This Row],[Bagossy]:[Szo
03:00 - 10:00]],"=x")</f>
        <v>0</v>
      </c>
      <c r="F1225" s="2">
        <f>SUM(contact[[#This Row],[?]:[x]])</f>
        <v>0</v>
      </c>
      <c r="G12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5" s="3" t="s">
        <v>2023</v>
      </c>
      <c r="K1225" s="1" t="s">
        <v>71</v>
      </c>
      <c r="L1225" s="1" t="s">
        <v>2</v>
      </c>
      <c r="M1225" s="1" t="s">
        <v>2</v>
      </c>
      <c r="O1225" s="2"/>
      <c r="P1225" s="2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</row>
    <row r="1226" spans="1:32" s="1" customFormat="1" ht="20.25" customHeight="1" x14ac:dyDescent="0.25">
      <c r="A1226" s="2"/>
      <c r="B1226" s="2"/>
      <c r="C1226" s="2"/>
      <c r="D1226" s="2">
        <f>COUNTIF(contact[[#This Row],[Bagossy]:[Szo
03:00 - 10:00]],"=~?")</f>
        <v>0</v>
      </c>
      <c r="E1226" s="2">
        <f>COUNTIF(contact[[#This Row],[Bagossy]:[Szo
03:00 - 10:00]],"=x")</f>
        <v>0</v>
      </c>
      <c r="F1226" s="2">
        <f>SUM(contact[[#This Row],[?]:[x]])</f>
        <v>0</v>
      </c>
      <c r="G12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6" s="3" t="s">
        <v>3561</v>
      </c>
      <c r="K1226" s="1" t="s">
        <v>2</v>
      </c>
      <c r="L1226" s="1" t="s">
        <v>2</v>
      </c>
      <c r="M1226" s="1" t="s">
        <v>2</v>
      </c>
      <c r="O1226" s="2"/>
      <c r="P1226" s="2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</row>
    <row r="1227" spans="1:32" s="1" customFormat="1" ht="20.25" customHeight="1" x14ac:dyDescent="0.25">
      <c r="A1227" s="2"/>
      <c r="B1227" s="2"/>
      <c r="C1227" s="2"/>
      <c r="D1227" s="2">
        <f>COUNTIF(contact[[#This Row],[Bagossy]:[Szo
03:00 - 10:00]],"=~?")</f>
        <v>0</v>
      </c>
      <c r="E1227" s="2">
        <f>COUNTIF(contact[[#This Row],[Bagossy]:[Szo
03:00 - 10:00]],"=x")</f>
        <v>0</v>
      </c>
      <c r="F1227" s="2">
        <f>SUM(contact[[#This Row],[?]:[x]])</f>
        <v>0</v>
      </c>
      <c r="G12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7" s="3" t="s">
        <v>681</v>
      </c>
      <c r="K1227" s="1" t="s">
        <v>2</v>
      </c>
      <c r="L1227" s="1" t="s">
        <v>2</v>
      </c>
      <c r="M1227" s="1" t="s">
        <v>2</v>
      </c>
      <c r="O1227" s="2"/>
      <c r="P1227" s="2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</row>
    <row r="1228" spans="1:32" s="1" customFormat="1" ht="20.25" customHeight="1" x14ac:dyDescent="0.25">
      <c r="A1228" s="2"/>
      <c r="B1228" s="2"/>
      <c r="C1228" s="2"/>
      <c r="D1228" s="2">
        <f>COUNTIF(contact[[#This Row],[Bagossy]:[Szo
03:00 - 10:00]],"=~?")</f>
        <v>0</v>
      </c>
      <c r="E1228" s="2">
        <f>COUNTIF(contact[[#This Row],[Bagossy]:[Szo
03:00 - 10:00]],"=x")</f>
        <v>0</v>
      </c>
      <c r="F1228" s="2">
        <f>SUM(contact[[#This Row],[?]:[x]])</f>
        <v>0</v>
      </c>
      <c r="G12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8" s="3" t="s">
        <v>2056</v>
      </c>
      <c r="K1228" s="1" t="s">
        <v>2</v>
      </c>
      <c r="L1228" s="1" t="s">
        <v>2</v>
      </c>
      <c r="M1228" s="1" t="s">
        <v>2</v>
      </c>
      <c r="O1228" s="2"/>
      <c r="P1228" s="2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</row>
    <row r="1229" spans="1:32" s="1" customFormat="1" ht="20.25" customHeight="1" x14ac:dyDescent="0.25">
      <c r="A1229" s="2"/>
      <c r="B1229" s="2"/>
      <c r="C1229" s="2"/>
      <c r="D1229" s="2">
        <f>COUNTIF(contact[[#This Row],[Bagossy]:[Szo
03:00 - 10:00]],"=~?")</f>
        <v>0</v>
      </c>
      <c r="E1229" s="2">
        <f>COUNTIF(contact[[#This Row],[Bagossy]:[Szo
03:00 - 10:00]],"=x")</f>
        <v>0</v>
      </c>
      <c r="F1229" s="2">
        <f>SUM(contact[[#This Row],[?]:[x]])</f>
        <v>0</v>
      </c>
      <c r="G12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29" s="3" t="s">
        <v>2662</v>
      </c>
      <c r="K1229" s="1" t="s">
        <v>226</v>
      </c>
      <c r="L1229" s="1" t="s">
        <v>2</v>
      </c>
      <c r="M1229" s="1" t="s">
        <v>2</v>
      </c>
      <c r="O1229" s="2"/>
      <c r="P1229" s="2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</row>
    <row r="1230" spans="1:32" s="1" customFormat="1" ht="20.25" customHeight="1" x14ac:dyDescent="0.25">
      <c r="A1230" s="2"/>
      <c r="B1230" s="2"/>
      <c r="C1230" s="2"/>
      <c r="D1230" s="2">
        <f>COUNTIF(contact[[#This Row],[Bagossy]:[Szo
03:00 - 10:00]],"=~?")</f>
        <v>0</v>
      </c>
      <c r="E1230" s="2">
        <f>COUNTIF(contact[[#This Row],[Bagossy]:[Szo
03:00 - 10:00]],"=x")</f>
        <v>0</v>
      </c>
      <c r="F1230" s="2">
        <f>SUM(contact[[#This Row],[?]:[x]])</f>
        <v>0</v>
      </c>
      <c r="G12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0" s="3" t="s">
        <v>2966</v>
      </c>
      <c r="K1230" s="1" t="s">
        <v>2</v>
      </c>
      <c r="L1230" s="1" t="s">
        <v>2</v>
      </c>
      <c r="M1230" s="1" t="s">
        <v>2</v>
      </c>
      <c r="O1230" s="2"/>
      <c r="P1230" s="2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</row>
    <row r="1231" spans="1:32" s="1" customFormat="1" ht="20.25" customHeight="1" x14ac:dyDescent="0.25">
      <c r="A1231" s="2"/>
      <c r="B1231" s="2"/>
      <c r="C1231" s="2"/>
      <c r="D1231" s="2">
        <f>COUNTIF(contact[[#This Row],[Bagossy]:[Szo
03:00 - 10:00]],"=~?")</f>
        <v>0</v>
      </c>
      <c r="E1231" s="2">
        <f>COUNTIF(contact[[#This Row],[Bagossy]:[Szo
03:00 - 10:00]],"=x")</f>
        <v>0</v>
      </c>
      <c r="F1231" s="2">
        <f>SUM(contact[[#This Row],[?]:[x]])</f>
        <v>0</v>
      </c>
      <c r="G12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1" s="3" t="s">
        <v>3837</v>
      </c>
      <c r="K1231" s="1" t="s">
        <v>2</v>
      </c>
      <c r="L1231" s="1" t="s">
        <v>2</v>
      </c>
      <c r="M1231" s="1" t="s">
        <v>2</v>
      </c>
      <c r="O1231" s="2"/>
      <c r="P1231" s="2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</row>
    <row r="1232" spans="1:32" s="1" customFormat="1" ht="20.25" customHeight="1" x14ac:dyDescent="0.25">
      <c r="A1232" s="2"/>
      <c r="B1232" s="2"/>
      <c r="C1232" s="2"/>
      <c r="D1232" s="2">
        <f>COUNTIF(contact[[#This Row],[Bagossy]:[Szo
03:00 - 10:00]],"=~?")</f>
        <v>0</v>
      </c>
      <c r="E1232" s="2">
        <f>COUNTIF(contact[[#This Row],[Bagossy]:[Szo
03:00 - 10:00]],"=x")</f>
        <v>0</v>
      </c>
      <c r="F1232" s="2">
        <f>SUM(contact[[#This Row],[?]:[x]])</f>
        <v>0</v>
      </c>
      <c r="G12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2" s="3" t="s">
        <v>2266</v>
      </c>
      <c r="K1232" s="1" t="s">
        <v>214</v>
      </c>
      <c r="L1232" s="1" t="s">
        <v>2</v>
      </c>
      <c r="M1232" s="1" t="s">
        <v>2</v>
      </c>
      <c r="O1232" s="2"/>
      <c r="P1232" s="2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</row>
    <row r="1233" spans="1:32" s="1" customFormat="1" ht="20.25" customHeight="1" x14ac:dyDescent="0.25">
      <c r="A1233" s="2"/>
      <c r="B1233" s="2"/>
      <c r="C1233" s="2"/>
      <c r="D1233" s="2">
        <f>COUNTIF(contact[[#This Row],[Bagossy]:[Szo
03:00 - 10:00]],"=~?")</f>
        <v>0</v>
      </c>
      <c r="E1233" s="2">
        <f>COUNTIF(contact[[#This Row],[Bagossy]:[Szo
03:00 - 10:00]],"=x")</f>
        <v>0</v>
      </c>
      <c r="F1233" s="2">
        <f>SUM(contact[[#This Row],[?]:[x]])</f>
        <v>0</v>
      </c>
      <c r="G12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3" s="3" t="s">
        <v>2586</v>
      </c>
      <c r="K1233" s="1" t="s">
        <v>1293</v>
      </c>
      <c r="L1233" s="1" t="s">
        <v>2</v>
      </c>
      <c r="M1233" s="1" t="s">
        <v>2</v>
      </c>
      <c r="O1233" s="2"/>
      <c r="P1233" s="2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</row>
    <row r="1234" spans="1:32" s="1" customFormat="1" ht="20.25" customHeight="1" x14ac:dyDescent="0.25">
      <c r="A1234" s="2"/>
      <c r="B1234" s="2"/>
      <c r="C1234" s="2"/>
      <c r="D1234" s="2">
        <f>COUNTIF(contact[[#This Row],[Bagossy]:[Szo
03:00 - 10:00]],"=~?")</f>
        <v>0</v>
      </c>
      <c r="E1234" s="2">
        <f>COUNTIF(contact[[#This Row],[Bagossy]:[Szo
03:00 - 10:00]],"=x")</f>
        <v>0</v>
      </c>
      <c r="F1234" s="2">
        <f>SUM(contact[[#This Row],[?]:[x]])</f>
        <v>0</v>
      </c>
      <c r="G12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34" s="2"/>
      <c r="I1234" s="2"/>
      <c r="J1234" s="3" t="s">
        <v>3110</v>
      </c>
      <c r="K1234" s="1" t="s">
        <v>1567</v>
      </c>
      <c r="L1234" s="1" t="s">
        <v>2</v>
      </c>
      <c r="M1234" s="1" t="s">
        <v>2</v>
      </c>
      <c r="O1234" s="2"/>
      <c r="P1234" s="2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</row>
    <row r="1235" spans="1:32" s="1" customFormat="1" ht="20.25" customHeight="1" x14ac:dyDescent="0.25">
      <c r="A1235" s="2"/>
      <c r="B1235" s="2"/>
      <c r="C1235" s="2"/>
      <c r="D1235" s="2">
        <f>COUNTIF(contact[[#This Row],[Bagossy]:[Szo
03:00 - 10:00]],"=~?")</f>
        <v>0</v>
      </c>
      <c r="E1235" s="2">
        <f>COUNTIF(contact[[#This Row],[Bagossy]:[Szo
03:00 - 10:00]],"=x")</f>
        <v>0</v>
      </c>
      <c r="F1235" s="2">
        <f>SUM(contact[[#This Row],[?]:[x]])</f>
        <v>0</v>
      </c>
      <c r="G12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35" s="2"/>
      <c r="I1235" s="2"/>
      <c r="J1235" s="3" t="s">
        <v>3112</v>
      </c>
      <c r="K1235" s="1" t="s">
        <v>371</v>
      </c>
      <c r="L1235" s="1" t="s">
        <v>2</v>
      </c>
      <c r="M1235" s="1" t="s">
        <v>2</v>
      </c>
      <c r="O1235" s="2"/>
      <c r="P1235" s="2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</row>
    <row r="1236" spans="1:32" s="1" customFormat="1" ht="20.25" customHeight="1" x14ac:dyDescent="0.25">
      <c r="A1236" s="2"/>
      <c r="B1236" s="2"/>
      <c r="C1236" s="2"/>
      <c r="D1236" s="2">
        <f>COUNTIF(contact[[#This Row],[Bagossy]:[Szo
03:00 - 10:00]],"=~?")</f>
        <v>0</v>
      </c>
      <c r="E1236" s="2">
        <f>COUNTIF(contact[[#This Row],[Bagossy]:[Szo
03:00 - 10:00]],"=x")</f>
        <v>0</v>
      </c>
      <c r="F1236" s="2">
        <f>SUM(contact[[#This Row],[?]:[x]])</f>
        <v>0</v>
      </c>
      <c r="G12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6" s="3" t="s">
        <v>2934</v>
      </c>
      <c r="K1236" s="1" t="s">
        <v>566</v>
      </c>
      <c r="L1236" s="1" t="s">
        <v>2</v>
      </c>
      <c r="M1236" s="1" t="s">
        <v>2</v>
      </c>
      <c r="O1236" s="2"/>
      <c r="P1236" s="2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</row>
    <row r="1237" spans="1:32" s="1" customFormat="1" ht="20.25" customHeight="1" x14ac:dyDescent="0.25">
      <c r="A1237" s="2"/>
      <c r="B1237" s="2"/>
      <c r="C1237" s="2"/>
      <c r="D1237" s="2">
        <f>COUNTIF(contact[[#This Row],[Bagossy]:[Szo
03:00 - 10:00]],"=~?")</f>
        <v>0</v>
      </c>
      <c r="E1237" s="2">
        <f>COUNTIF(contact[[#This Row],[Bagossy]:[Szo
03:00 - 10:00]],"=x")</f>
        <v>0</v>
      </c>
      <c r="F1237" s="2">
        <f>SUM(contact[[#This Row],[?]:[x]])</f>
        <v>0</v>
      </c>
      <c r="G12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7" s="3" t="s">
        <v>4506</v>
      </c>
      <c r="K1237" s="1" t="s">
        <v>2</v>
      </c>
      <c r="L1237" s="1" t="s">
        <v>2</v>
      </c>
      <c r="M1237" s="1" t="s">
        <v>2</v>
      </c>
      <c r="O1237" s="2"/>
      <c r="P1237" s="2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</row>
    <row r="1238" spans="1:32" s="1" customFormat="1" ht="20.25" customHeight="1" x14ac:dyDescent="0.25">
      <c r="A1238" s="2"/>
      <c r="B1238" s="2"/>
      <c r="C1238" s="2"/>
      <c r="D1238" s="2">
        <f>COUNTIF(contact[[#This Row],[Bagossy]:[Szo
03:00 - 10:00]],"=~?")</f>
        <v>0</v>
      </c>
      <c r="E1238" s="2">
        <f>COUNTIF(contact[[#This Row],[Bagossy]:[Szo
03:00 - 10:00]],"=x")</f>
        <v>0</v>
      </c>
      <c r="F1238" s="2">
        <f>SUM(contact[[#This Row],[?]:[x]])</f>
        <v>0</v>
      </c>
      <c r="G12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8" s="3" t="s">
        <v>3809</v>
      </c>
      <c r="K1238" s="1" t="s">
        <v>2</v>
      </c>
      <c r="L1238" s="1" t="s">
        <v>2</v>
      </c>
      <c r="M1238" s="1" t="s">
        <v>2</v>
      </c>
      <c r="O1238" s="2"/>
      <c r="P1238" s="2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</row>
    <row r="1239" spans="1:32" s="1" customFormat="1" ht="20.25" customHeight="1" x14ac:dyDescent="0.25">
      <c r="A1239" s="2"/>
      <c r="B1239" s="2"/>
      <c r="C1239" s="2"/>
      <c r="D1239" s="2">
        <f>COUNTIF(contact[[#This Row],[Bagossy]:[Szo
03:00 - 10:00]],"=~?")</f>
        <v>0</v>
      </c>
      <c r="E1239" s="2">
        <f>COUNTIF(contact[[#This Row],[Bagossy]:[Szo
03:00 - 10:00]],"=x")</f>
        <v>0</v>
      </c>
      <c r="F1239" s="2">
        <f>SUM(contact[[#This Row],[?]:[x]])</f>
        <v>0</v>
      </c>
      <c r="G12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39" s="3" t="s">
        <v>4210</v>
      </c>
      <c r="K1239" s="1" t="s">
        <v>1813</v>
      </c>
      <c r="L1239" s="1" t="s">
        <v>2</v>
      </c>
      <c r="M1239" s="1" t="s">
        <v>2</v>
      </c>
      <c r="O1239" s="2"/>
      <c r="P1239" s="2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</row>
    <row r="1240" spans="1:32" s="1" customFormat="1" ht="20.25" customHeight="1" x14ac:dyDescent="0.25">
      <c r="A1240" s="2"/>
      <c r="B1240" s="2"/>
      <c r="C1240" s="2"/>
      <c r="D1240" s="2">
        <f>COUNTIF(contact[[#This Row],[Bagossy]:[Szo
03:00 - 10:00]],"=~?")</f>
        <v>0</v>
      </c>
      <c r="E1240" s="2">
        <f>COUNTIF(contact[[#This Row],[Bagossy]:[Szo
03:00 - 10:00]],"=x")</f>
        <v>0</v>
      </c>
      <c r="F1240" s="2">
        <f>SUM(contact[[#This Row],[?]:[x]])</f>
        <v>0</v>
      </c>
      <c r="G12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0" s="3" t="s">
        <v>4276</v>
      </c>
      <c r="K1240" s="1" t="s">
        <v>1170</v>
      </c>
      <c r="L1240" s="1" t="s">
        <v>2</v>
      </c>
      <c r="M1240" s="1" t="s">
        <v>2</v>
      </c>
      <c r="O1240" s="2"/>
      <c r="P1240" s="2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</row>
    <row r="1241" spans="1:32" s="1" customFormat="1" ht="20.25" customHeight="1" x14ac:dyDescent="0.25">
      <c r="A1241" s="2"/>
      <c r="B1241" s="2"/>
      <c r="C1241" s="2"/>
      <c r="D1241" s="2">
        <f>COUNTIF(contact[[#This Row],[Bagossy]:[Szo
03:00 - 10:00]],"=~?")</f>
        <v>0</v>
      </c>
      <c r="E1241" s="2">
        <f>COUNTIF(contact[[#This Row],[Bagossy]:[Szo
03:00 - 10:00]],"=x")</f>
        <v>0</v>
      </c>
      <c r="F1241" s="2">
        <f>SUM(contact[[#This Row],[?]:[x]])</f>
        <v>0</v>
      </c>
      <c r="G12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1" s="3" t="s">
        <v>3031</v>
      </c>
      <c r="K1241" s="1" t="s">
        <v>1548</v>
      </c>
      <c r="L1241" s="1" t="s">
        <v>2</v>
      </c>
      <c r="M1241" s="1" t="s">
        <v>2</v>
      </c>
      <c r="O1241" s="2"/>
      <c r="P1241" s="2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</row>
    <row r="1242" spans="1:32" s="1" customFormat="1" ht="20.25" customHeight="1" x14ac:dyDescent="0.25">
      <c r="A1242" s="2"/>
      <c r="B1242" s="2"/>
      <c r="C1242" s="2"/>
      <c r="D1242" s="2">
        <f>COUNTIF(contact[[#This Row],[Bagossy]:[Szo
03:00 - 10:00]],"=~?")</f>
        <v>0</v>
      </c>
      <c r="E1242" s="2">
        <f>COUNTIF(contact[[#This Row],[Bagossy]:[Szo
03:00 - 10:00]],"=x")</f>
        <v>0</v>
      </c>
      <c r="F1242" s="2">
        <f>SUM(contact[[#This Row],[?]:[x]])</f>
        <v>0</v>
      </c>
      <c r="G12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2" s="3" t="s">
        <v>3253</v>
      </c>
      <c r="K1242" s="1" t="s">
        <v>716</v>
      </c>
      <c r="L1242" s="1" t="s">
        <v>2</v>
      </c>
      <c r="M1242" s="1" t="s">
        <v>2</v>
      </c>
      <c r="O1242" s="2"/>
      <c r="P1242" s="2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</row>
    <row r="1243" spans="1:32" s="1" customFormat="1" ht="20.25" customHeight="1" x14ac:dyDescent="0.25">
      <c r="A1243" s="2"/>
      <c r="B1243" s="2"/>
      <c r="C1243" s="2"/>
      <c r="D1243" s="2">
        <f>COUNTIF(contact[[#This Row],[Bagossy]:[Szo
03:00 - 10:00]],"=~?")</f>
        <v>0</v>
      </c>
      <c r="E1243" s="2">
        <f>COUNTIF(contact[[#This Row],[Bagossy]:[Szo
03:00 - 10:00]],"=x")</f>
        <v>0</v>
      </c>
      <c r="F1243" s="2">
        <f>SUM(contact[[#This Row],[?]:[x]])</f>
        <v>0</v>
      </c>
      <c r="G12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3" s="3" t="s">
        <v>2390</v>
      </c>
      <c r="K1243" s="1" t="s">
        <v>2</v>
      </c>
      <c r="L1243" s="1" t="s">
        <v>2</v>
      </c>
      <c r="M1243" s="1" t="s">
        <v>2</v>
      </c>
      <c r="O1243" s="2"/>
      <c r="P1243" s="2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</row>
    <row r="1244" spans="1:32" s="1" customFormat="1" ht="20.25" customHeight="1" x14ac:dyDescent="0.25">
      <c r="A1244" s="2"/>
      <c r="B1244" s="2"/>
      <c r="C1244" s="2"/>
      <c r="D1244" s="2">
        <f>COUNTIF(contact[[#This Row],[Bagossy]:[Szo
03:00 - 10:00]],"=~?")</f>
        <v>0</v>
      </c>
      <c r="E1244" s="2">
        <f>COUNTIF(contact[[#This Row],[Bagossy]:[Szo
03:00 - 10:00]],"=x")</f>
        <v>0</v>
      </c>
      <c r="F1244" s="2">
        <f>SUM(contact[[#This Row],[?]:[x]])</f>
        <v>0</v>
      </c>
      <c r="G12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4" s="3" t="s">
        <v>695</v>
      </c>
      <c r="K1244" s="1" t="s">
        <v>2</v>
      </c>
      <c r="L1244" s="1" t="s">
        <v>2</v>
      </c>
      <c r="M1244" s="1" t="s">
        <v>2</v>
      </c>
      <c r="O1244" s="2"/>
      <c r="P1244" s="2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</row>
    <row r="1245" spans="1:32" s="1" customFormat="1" ht="20.25" customHeight="1" x14ac:dyDescent="0.25">
      <c r="A1245" s="2"/>
      <c r="B1245" s="2"/>
      <c r="C1245" s="2"/>
      <c r="D1245" s="2">
        <f>COUNTIF(contact[[#This Row],[Bagossy]:[Szo
03:00 - 10:00]],"=~?")</f>
        <v>0</v>
      </c>
      <c r="E1245" s="2">
        <f>COUNTIF(contact[[#This Row],[Bagossy]:[Szo
03:00 - 10:00]],"=x")</f>
        <v>0</v>
      </c>
      <c r="F1245" s="2">
        <f>SUM(contact[[#This Row],[?]:[x]])</f>
        <v>0</v>
      </c>
      <c r="G12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5" s="3" t="s">
        <v>696</v>
      </c>
      <c r="K1245" s="1" t="s">
        <v>2</v>
      </c>
      <c r="L1245" s="1" t="s">
        <v>2</v>
      </c>
      <c r="M1245" s="1" t="s">
        <v>2</v>
      </c>
      <c r="O1245" s="2"/>
      <c r="P1245" s="2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</row>
    <row r="1246" spans="1:32" s="1" customFormat="1" ht="20.25" customHeight="1" x14ac:dyDescent="0.25">
      <c r="A1246" s="2"/>
      <c r="B1246" s="2"/>
      <c r="C1246" s="2"/>
      <c r="D1246" s="2">
        <f>COUNTIF(contact[[#This Row],[Bagossy]:[Szo
03:00 - 10:00]],"=~?")</f>
        <v>0</v>
      </c>
      <c r="E1246" s="2">
        <f>COUNTIF(contact[[#This Row],[Bagossy]:[Szo
03:00 - 10:00]],"=x")</f>
        <v>0</v>
      </c>
      <c r="F1246" s="2">
        <f>SUM(contact[[#This Row],[?]:[x]])</f>
        <v>0</v>
      </c>
      <c r="G12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6" s="3" t="s">
        <v>3984</v>
      </c>
      <c r="K1246" s="1" t="s">
        <v>364</v>
      </c>
      <c r="L1246" s="1" t="s">
        <v>2</v>
      </c>
      <c r="M1246" s="1" t="s">
        <v>2</v>
      </c>
      <c r="O1246" s="2"/>
      <c r="P1246" s="2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</row>
    <row r="1247" spans="1:32" s="1" customFormat="1" ht="20.25" customHeight="1" x14ac:dyDescent="0.25">
      <c r="A1247" s="2"/>
      <c r="B1247" s="2"/>
      <c r="C1247" s="2"/>
      <c r="D1247" s="2">
        <f>COUNTIF(contact[[#This Row],[Bagossy]:[Szo
03:00 - 10:00]],"=~?")</f>
        <v>0</v>
      </c>
      <c r="E1247" s="2">
        <f>COUNTIF(contact[[#This Row],[Bagossy]:[Szo
03:00 - 10:00]],"=x")</f>
        <v>0</v>
      </c>
      <c r="F1247" s="2">
        <f>SUM(contact[[#This Row],[?]:[x]])</f>
        <v>0</v>
      </c>
      <c r="G12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7" s="3" t="s">
        <v>3351</v>
      </c>
      <c r="K1247" s="1" t="s">
        <v>767</v>
      </c>
      <c r="L1247" s="1" t="s">
        <v>2</v>
      </c>
      <c r="M1247" s="1" t="s">
        <v>2</v>
      </c>
      <c r="O1247" s="2"/>
      <c r="P1247" s="2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</row>
    <row r="1248" spans="1:32" s="1" customFormat="1" ht="20.25" customHeight="1" x14ac:dyDescent="0.25">
      <c r="A1248" s="2"/>
      <c r="B1248" s="2"/>
      <c r="C1248" s="2"/>
      <c r="D1248" s="2">
        <f>COUNTIF(contact[[#This Row],[Bagossy]:[Szo
03:00 - 10:00]],"=~?")</f>
        <v>0</v>
      </c>
      <c r="E1248" s="2">
        <f>COUNTIF(contact[[#This Row],[Bagossy]:[Szo
03:00 - 10:00]],"=x")</f>
        <v>0</v>
      </c>
      <c r="F1248" s="2">
        <f>SUM(contact[[#This Row],[?]:[x]])</f>
        <v>0</v>
      </c>
      <c r="G12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8" s="3" t="s">
        <v>4434</v>
      </c>
      <c r="K1248" s="1" t="s">
        <v>2</v>
      </c>
      <c r="L1248" s="1" t="s">
        <v>2</v>
      </c>
      <c r="M1248" s="1" t="s">
        <v>2</v>
      </c>
      <c r="O1248" s="2"/>
      <c r="P1248" s="2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</row>
    <row r="1249" spans="1:32" s="1" customFormat="1" ht="20.25" customHeight="1" x14ac:dyDescent="0.25">
      <c r="A1249" s="2"/>
      <c r="B1249" s="2"/>
      <c r="C1249" s="2"/>
      <c r="D1249" s="2">
        <f>COUNTIF(contact[[#This Row],[Bagossy]:[Szo
03:00 - 10:00]],"=~?")</f>
        <v>0</v>
      </c>
      <c r="E1249" s="2">
        <f>COUNTIF(contact[[#This Row],[Bagossy]:[Szo
03:00 - 10:00]],"=x")</f>
        <v>0</v>
      </c>
      <c r="F1249" s="2">
        <f>SUM(contact[[#This Row],[?]:[x]])</f>
        <v>0</v>
      </c>
      <c r="G12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49" s="3" t="s">
        <v>702</v>
      </c>
      <c r="K1249" s="1" t="s">
        <v>2</v>
      </c>
      <c r="L1249" s="1" t="s">
        <v>2</v>
      </c>
      <c r="M1249" s="1" t="s">
        <v>2</v>
      </c>
      <c r="O1249" s="2"/>
      <c r="P1249" s="2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</row>
    <row r="1250" spans="1:32" s="1" customFormat="1" ht="20.25" customHeight="1" x14ac:dyDescent="0.25">
      <c r="A1250" s="2"/>
      <c r="B1250" s="2"/>
      <c r="C1250" s="2"/>
      <c r="D1250" s="2">
        <f>COUNTIF(contact[[#This Row],[Bagossy]:[Szo
03:00 - 10:00]],"=~?")</f>
        <v>0</v>
      </c>
      <c r="E1250" s="2">
        <f>COUNTIF(contact[[#This Row],[Bagossy]:[Szo
03:00 - 10:00]],"=x")</f>
        <v>0</v>
      </c>
      <c r="F1250" s="2">
        <f>SUM(contact[[#This Row],[?]:[x]])</f>
        <v>0</v>
      </c>
      <c r="G12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0" s="3" t="s">
        <v>1924</v>
      </c>
      <c r="K1250" s="1" t="s">
        <v>2</v>
      </c>
      <c r="L1250" s="1" t="s">
        <v>2</v>
      </c>
      <c r="M1250" s="1" t="s">
        <v>2</v>
      </c>
      <c r="O1250" s="2"/>
      <c r="P1250" s="2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</row>
    <row r="1251" spans="1:32" s="1" customFormat="1" ht="20.25" customHeight="1" x14ac:dyDescent="0.25">
      <c r="A1251" s="2"/>
      <c r="B1251" s="2"/>
      <c r="C1251" s="2"/>
      <c r="D1251" s="2">
        <f>COUNTIF(contact[[#This Row],[Bagossy]:[Szo
03:00 - 10:00]],"=~?")</f>
        <v>0</v>
      </c>
      <c r="E1251" s="2">
        <f>COUNTIF(contact[[#This Row],[Bagossy]:[Szo
03:00 - 10:00]],"=x")</f>
        <v>0</v>
      </c>
      <c r="F1251" s="2">
        <f>SUM(contact[[#This Row],[?]:[x]])</f>
        <v>0</v>
      </c>
      <c r="G12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1" s="3" t="s">
        <v>1971</v>
      </c>
      <c r="K1251" s="1" t="s">
        <v>1303</v>
      </c>
      <c r="L1251" s="1" t="s">
        <v>2</v>
      </c>
      <c r="M1251" s="1" t="s">
        <v>2</v>
      </c>
      <c r="O1251" s="2"/>
      <c r="P1251" s="2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</row>
    <row r="1252" spans="1:32" s="1" customFormat="1" ht="20.25" customHeight="1" x14ac:dyDescent="0.25">
      <c r="A1252" s="2"/>
      <c r="B1252" s="2"/>
      <c r="C1252" s="2"/>
      <c r="D1252" s="2">
        <f>COUNTIF(contact[[#This Row],[Bagossy]:[Szo
03:00 - 10:00]],"=~?")</f>
        <v>0</v>
      </c>
      <c r="E1252" s="2">
        <f>COUNTIF(contact[[#This Row],[Bagossy]:[Szo
03:00 - 10:00]],"=x")</f>
        <v>0</v>
      </c>
      <c r="F1252" s="2">
        <f>SUM(contact[[#This Row],[?]:[x]])</f>
        <v>0</v>
      </c>
      <c r="G12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2" s="3" t="s">
        <v>2113</v>
      </c>
      <c r="K1252" s="1" t="s">
        <v>119</v>
      </c>
      <c r="L1252" s="1" t="s">
        <v>2</v>
      </c>
      <c r="M1252" s="1" t="s">
        <v>2</v>
      </c>
      <c r="O1252" s="2"/>
      <c r="P1252" s="2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</row>
    <row r="1253" spans="1:32" s="1" customFormat="1" ht="20.25" customHeight="1" x14ac:dyDescent="0.25">
      <c r="A1253" s="2"/>
      <c r="B1253" s="2"/>
      <c r="C1253" s="2"/>
      <c r="D1253" s="2">
        <f>COUNTIF(contact[[#This Row],[Bagossy]:[Szo
03:00 - 10:00]],"=~?")</f>
        <v>0</v>
      </c>
      <c r="E1253" s="2">
        <f>COUNTIF(contact[[#This Row],[Bagossy]:[Szo
03:00 - 10:00]],"=x")</f>
        <v>0</v>
      </c>
      <c r="F1253" s="2">
        <f>SUM(contact[[#This Row],[?]:[x]])</f>
        <v>0</v>
      </c>
      <c r="G12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53" s="2"/>
      <c r="I1253" s="2"/>
      <c r="J1253" s="3" t="s">
        <v>3114</v>
      </c>
      <c r="K1253" s="1" t="s">
        <v>160</v>
      </c>
      <c r="L1253" s="1" t="s">
        <v>2</v>
      </c>
      <c r="M1253" s="1" t="s">
        <v>2</v>
      </c>
      <c r="O1253" s="2"/>
      <c r="P1253" s="2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</row>
    <row r="1254" spans="1:32" s="1" customFormat="1" ht="20.25" customHeight="1" x14ac:dyDescent="0.25">
      <c r="A1254" s="2"/>
      <c r="B1254" s="2"/>
      <c r="C1254" s="2"/>
      <c r="D1254" s="2">
        <f>COUNTIF(contact[[#This Row],[Bagossy]:[Szo
03:00 - 10:00]],"=~?")</f>
        <v>0</v>
      </c>
      <c r="E1254" s="2">
        <f>COUNTIF(contact[[#This Row],[Bagossy]:[Szo
03:00 - 10:00]],"=x")</f>
        <v>0</v>
      </c>
      <c r="F1254" s="2">
        <f>SUM(contact[[#This Row],[?]:[x]])</f>
        <v>0</v>
      </c>
      <c r="G12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54" s="2"/>
      <c r="I1254" s="2"/>
      <c r="J1254" s="3" t="s">
        <v>3123</v>
      </c>
      <c r="K1254" s="1" t="s">
        <v>193</v>
      </c>
      <c r="L1254" s="1" t="s">
        <v>2</v>
      </c>
      <c r="M1254" s="1" t="s">
        <v>2</v>
      </c>
      <c r="O1254" s="2"/>
      <c r="P1254" s="2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</row>
    <row r="1255" spans="1:32" s="1" customFormat="1" ht="20.25" customHeight="1" x14ac:dyDescent="0.25">
      <c r="A1255" s="2"/>
      <c r="B1255" s="2"/>
      <c r="C1255" s="2"/>
      <c r="D1255" s="2">
        <f>COUNTIF(contact[[#This Row],[Bagossy]:[Szo
03:00 - 10:00]],"=~?")</f>
        <v>0</v>
      </c>
      <c r="E1255" s="2">
        <f>COUNTIF(contact[[#This Row],[Bagossy]:[Szo
03:00 - 10:00]],"=x")</f>
        <v>0</v>
      </c>
      <c r="F1255" s="2">
        <f>SUM(contact[[#This Row],[?]:[x]])</f>
        <v>0</v>
      </c>
      <c r="G12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5" s="3" t="s">
        <v>2349</v>
      </c>
      <c r="K1255" s="1" t="s">
        <v>62</v>
      </c>
      <c r="L1255" s="1" t="s">
        <v>2</v>
      </c>
      <c r="M1255" s="1" t="s">
        <v>2</v>
      </c>
      <c r="O1255" s="2"/>
      <c r="P1255" s="2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</row>
    <row r="1256" spans="1:32" s="1" customFormat="1" ht="20.25" customHeight="1" x14ac:dyDescent="0.25">
      <c r="A1256" s="2"/>
      <c r="B1256" s="2"/>
      <c r="C1256" s="2"/>
      <c r="D1256" s="2">
        <f>COUNTIF(contact[[#This Row],[Bagossy]:[Szo
03:00 - 10:00]],"=~?")</f>
        <v>0</v>
      </c>
      <c r="E1256" s="2">
        <f>COUNTIF(contact[[#This Row],[Bagossy]:[Szo
03:00 - 10:00]],"=x")</f>
        <v>0</v>
      </c>
      <c r="F1256" s="2">
        <f>SUM(contact[[#This Row],[?]:[x]])</f>
        <v>0</v>
      </c>
      <c r="G12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6" s="3" t="s">
        <v>2580</v>
      </c>
      <c r="K1256" s="1" t="s">
        <v>2</v>
      </c>
      <c r="L1256" s="1" t="s">
        <v>2</v>
      </c>
      <c r="M1256" s="1" t="s">
        <v>2</v>
      </c>
      <c r="O1256" s="2"/>
      <c r="P1256" s="2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</row>
    <row r="1257" spans="1:32" s="1" customFormat="1" ht="20.25" customHeight="1" x14ac:dyDescent="0.25">
      <c r="A1257" s="2"/>
      <c r="B1257" s="2"/>
      <c r="C1257" s="2"/>
      <c r="D1257" s="2">
        <f>COUNTIF(contact[[#This Row],[Bagossy]:[Szo
03:00 - 10:00]],"=~?")</f>
        <v>0</v>
      </c>
      <c r="E1257" s="2">
        <f>COUNTIF(contact[[#This Row],[Bagossy]:[Szo
03:00 - 10:00]],"=x")</f>
        <v>0</v>
      </c>
      <c r="F1257" s="2">
        <f>SUM(contact[[#This Row],[?]:[x]])</f>
        <v>0</v>
      </c>
      <c r="G12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7" s="3" t="s">
        <v>2587</v>
      </c>
      <c r="K1257" s="1" t="s">
        <v>392</v>
      </c>
      <c r="L1257" s="1" t="s">
        <v>393</v>
      </c>
      <c r="M1257" s="1" t="s">
        <v>394</v>
      </c>
      <c r="O1257" s="2"/>
      <c r="P1257" s="2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</row>
    <row r="1258" spans="1:32" s="1" customFormat="1" ht="20.25" customHeight="1" x14ac:dyDescent="0.25">
      <c r="A1258" s="2"/>
      <c r="B1258" s="2"/>
      <c r="C1258" s="2"/>
      <c r="D1258" s="2">
        <f>COUNTIF(contact[[#This Row],[Bagossy]:[Szo
03:00 - 10:00]],"=~?")</f>
        <v>0</v>
      </c>
      <c r="E1258" s="2">
        <f>COUNTIF(contact[[#This Row],[Bagossy]:[Szo
03:00 - 10:00]],"=x")</f>
        <v>0</v>
      </c>
      <c r="F1258" s="2">
        <f>SUM(contact[[#This Row],[?]:[x]])</f>
        <v>0</v>
      </c>
      <c r="G12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8" s="3" t="s">
        <v>2644</v>
      </c>
      <c r="K1258" s="1" t="s">
        <v>1465</v>
      </c>
      <c r="L1258" s="1" t="s">
        <v>2</v>
      </c>
      <c r="M1258" s="1" t="s">
        <v>2</v>
      </c>
      <c r="O1258" s="2"/>
      <c r="P1258" s="2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</row>
    <row r="1259" spans="1:32" s="1" customFormat="1" ht="20.25" customHeight="1" x14ac:dyDescent="0.25">
      <c r="A1259" s="2"/>
      <c r="B1259" s="2"/>
      <c r="C1259" s="2"/>
      <c r="D1259" s="2">
        <f>COUNTIF(contact[[#This Row],[Bagossy]:[Szo
03:00 - 10:00]],"=~?")</f>
        <v>0</v>
      </c>
      <c r="E1259" s="2">
        <f>COUNTIF(contact[[#This Row],[Bagossy]:[Szo
03:00 - 10:00]],"=x")</f>
        <v>0</v>
      </c>
      <c r="F1259" s="2">
        <f>SUM(contact[[#This Row],[?]:[x]])</f>
        <v>0</v>
      </c>
      <c r="G12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59" s="3" t="s">
        <v>2677</v>
      </c>
      <c r="K1259" s="1" t="s">
        <v>440</v>
      </c>
      <c r="L1259" s="1" t="s">
        <v>2</v>
      </c>
      <c r="M1259" s="1" t="s">
        <v>2</v>
      </c>
      <c r="O1259" s="2"/>
      <c r="P1259" s="2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</row>
    <row r="1260" spans="1:32" s="1" customFormat="1" ht="20.25" customHeight="1" x14ac:dyDescent="0.25">
      <c r="A1260" s="2"/>
      <c r="B1260" s="2"/>
      <c r="C1260" s="2"/>
      <c r="D1260" s="2">
        <f>COUNTIF(contact[[#This Row],[Bagossy]:[Szo
03:00 - 10:00]],"=~?")</f>
        <v>0</v>
      </c>
      <c r="E1260" s="2">
        <f>COUNTIF(contact[[#This Row],[Bagossy]:[Szo
03:00 - 10:00]],"=x")</f>
        <v>0</v>
      </c>
      <c r="F1260" s="2">
        <f>SUM(contact[[#This Row],[?]:[x]])</f>
        <v>0</v>
      </c>
      <c r="G12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0" s="3" t="s">
        <v>2702</v>
      </c>
      <c r="K1260" s="1" t="s">
        <v>2</v>
      </c>
      <c r="L1260" s="1" t="s">
        <v>2</v>
      </c>
      <c r="M1260" s="1" t="s">
        <v>2</v>
      </c>
      <c r="O1260" s="2"/>
      <c r="P1260" s="2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</row>
    <row r="1261" spans="1:32" s="1" customFormat="1" ht="20.25" customHeight="1" x14ac:dyDescent="0.25">
      <c r="A1261" s="2"/>
      <c r="B1261" s="2"/>
      <c r="C1261" s="2"/>
      <c r="D1261" s="2">
        <f>COUNTIF(contact[[#This Row],[Bagossy]:[Szo
03:00 - 10:00]],"=~?")</f>
        <v>0</v>
      </c>
      <c r="E1261" s="2">
        <f>COUNTIF(contact[[#This Row],[Bagossy]:[Szo
03:00 - 10:00]],"=x")</f>
        <v>0</v>
      </c>
      <c r="F1261" s="2">
        <f>SUM(contact[[#This Row],[?]:[x]])</f>
        <v>0</v>
      </c>
      <c r="G12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61" s="2"/>
      <c r="I1261" s="2"/>
      <c r="J1261" s="3" t="s">
        <v>3125</v>
      </c>
      <c r="K1261" s="1" t="s">
        <v>524</v>
      </c>
      <c r="L1261" s="1" t="s">
        <v>2</v>
      </c>
      <c r="M1261" s="1" t="s">
        <v>2</v>
      </c>
      <c r="O1261" s="2"/>
      <c r="P1261" s="2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</row>
    <row r="1262" spans="1:32" s="1" customFormat="1" ht="20.25" customHeight="1" x14ac:dyDescent="0.25">
      <c r="A1262" s="2"/>
      <c r="B1262" s="2"/>
      <c r="C1262" s="2"/>
      <c r="D1262" s="2">
        <f>COUNTIF(contact[[#This Row],[Bagossy]:[Szo
03:00 - 10:00]],"=~?")</f>
        <v>0</v>
      </c>
      <c r="E1262" s="2">
        <f>COUNTIF(contact[[#This Row],[Bagossy]:[Szo
03:00 - 10:00]],"=x")</f>
        <v>0</v>
      </c>
      <c r="F1262" s="2">
        <f>SUM(contact[[#This Row],[?]:[x]])</f>
        <v>0</v>
      </c>
      <c r="G12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2" s="3" t="s">
        <v>3135</v>
      </c>
      <c r="K1262" s="1" t="s">
        <v>2</v>
      </c>
      <c r="L1262" s="1" t="s">
        <v>2</v>
      </c>
      <c r="M1262" s="1" t="s">
        <v>2</v>
      </c>
      <c r="O1262" s="2"/>
      <c r="P1262" s="2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</row>
    <row r="1263" spans="1:32" s="1" customFormat="1" ht="20.25" customHeight="1" x14ac:dyDescent="0.25">
      <c r="A1263" s="2"/>
      <c r="B1263" s="2"/>
      <c r="C1263" s="2"/>
      <c r="D1263" s="2">
        <f>COUNTIF(contact[[#This Row],[Bagossy]:[Szo
03:00 - 10:00]],"=~?")</f>
        <v>0</v>
      </c>
      <c r="E1263" s="2">
        <f>COUNTIF(contact[[#This Row],[Bagossy]:[Szo
03:00 - 10:00]],"=x")</f>
        <v>0</v>
      </c>
      <c r="F1263" s="2">
        <f>SUM(contact[[#This Row],[?]:[x]])</f>
        <v>0</v>
      </c>
      <c r="G12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3" s="3" t="s">
        <v>3201</v>
      </c>
      <c r="K1263" s="1" t="s">
        <v>90</v>
      </c>
      <c r="L1263" s="1" t="s">
        <v>2</v>
      </c>
      <c r="M1263" s="1" t="s">
        <v>2</v>
      </c>
      <c r="O1263" s="2"/>
      <c r="P1263" s="2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</row>
    <row r="1264" spans="1:32" s="1" customFormat="1" ht="20.25" customHeight="1" x14ac:dyDescent="0.25">
      <c r="A1264" s="2"/>
      <c r="B1264" s="2"/>
      <c r="C1264" s="2"/>
      <c r="D1264" s="2">
        <f>COUNTIF(contact[[#This Row],[Bagossy]:[Szo
03:00 - 10:00]],"=~?")</f>
        <v>0</v>
      </c>
      <c r="E1264" s="2">
        <f>COUNTIF(contact[[#This Row],[Bagossy]:[Szo
03:00 - 10:00]],"=x")</f>
        <v>0</v>
      </c>
      <c r="F1264" s="2">
        <f>SUM(contact[[#This Row],[?]:[x]])</f>
        <v>0</v>
      </c>
      <c r="G12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4" s="3" t="s">
        <v>3359</v>
      </c>
      <c r="K1264" s="1" t="s">
        <v>126</v>
      </c>
      <c r="L1264" s="1" t="s">
        <v>2</v>
      </c>
      <c r="M1264" s="1" t="s">
        <v>2</v>
      </c>
      <c r="O1264" s="2"/>
      <c r="P1264" s="2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</row>
    <row r="1265" spans="1:32" s="1" customFormat="1" ht="20.25" customHeight="1" x14ac:dyDescent="0.25">
      <c r="A1265" s="2"/>
      <c r="B1265" s="2"/>
      <c r="C1265" s="2"/>
      <c r="D1265" s="2">
        <f>COUNTIF(contact[[#This Row],[Bagossy]:[Szo
03:00 - 10:00]],"=~?")</f>
        <v>0</v>
      </c>
      <c r="E1265" s="2">
        <f>COUNTIF(contact[[#This Row],[Bagossy]:[Szo
03:00 - 10:00]],"=x")</f>
        <v>0</v>
      </c>
      <c r="F1265" s="2">
        <f>SUM(contact[[#This Row],[?]:[x]])</f>
        <v>0</v>
      </c>
      <c r="G12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65" s="2"/>
      <c r="I1265" s="2"/>
      <c r="J1265" s="3" t="s">
        <v>3132</v>
      </c>
      <c r="K1265" s="1" t="s">
        <v>1572</v>
      </c>
      <c r="L1265" s="1" t="s">
        <v>2</v>
      </c>
      <c r="M1265" s="1" t="s">
        <v>2</v>
      </c>
      <c r="O1265" s="2"/>
      <c r="P1265" s="2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</row>
    <row r="1266" spans="1:32" s="1" customFormat="1" ht="20.25" customHeight="1" x14ac:dyDescent="0.25">
      <c r="A1266" s="2"/>
      <c r="B1266" s="2"/>
      <c r="C1266" s="2"/>
      <c r="D1266" s="2">
        <f>COUNTIF(contact[[#This Row],[Bagossy]:[Szo
03:00 - 10:00]],"=~?")</f>
        <v>0</v>
      </c>
      <c r="E1266" s="2">
        <f>COUNTIF(contact[[#This Row],[Bagossy]:[Szo
03:00 - 10:00]],"=x")</f>
        <v>0</v>
      </c>
      <c r="F1266" s="2">
        <f>SUM(contact[[#This Row],[?]:[x]])</f>
        <v>0</v>
      </c>
      <c r="G12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6" s="3" t="s">
        <v>3886</v>
      </c>
      <c r="K1266" s="1" t="s">
        <v>999</v>
      </c>
      <c r="L1266" s="1" t="s">
        <v>2</v>
      </c>
      <c r="M1266" s="1" t="s">
        <v>2</v>
      </c>
      <c r="O1266" s="2"/>
      <c r="P1266" s="2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</row>
    <row r="1267" spans="1:32" s="1" customFormat="1" ht="20.25" customHeight="1" x14ac:dyDescent="0.25">
      <c r="A1267" s="2"/>
      <c r="B1267" s="2"/>
      <c r="C1267" s="2"/>
      <c r="D1267" s="2">
        <f>COUNTIF(contact[[#This Row],[Bagossy]:[Szo
03:00 - 10:00]],"=~?")</f>
        <v>0</v>
      </c>
      <c r="E1267" s="2">
        <f>COUNTIF(contact[[#This Row],[Bagossy]:[Szo
03:00 - 10:00]],"=x")</f>
        <v>0</v>
      </c>
      <c r="F1267" s="2">
        <f>SUM(contact[[#This Row],[?]:[x]])</f>
        <v>0</v>
      </c>
      <c r="G12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7" s="3" t="s">
        <v>3886</v>
      </c>
      <c r="K1267" s="1" t="s">
        <v>2</v>
      </c>
      <c r="L1267" s="1" t="s">
        <v>2</v>
      </c>
      <c r="M1267" s="1" t="s">
        <v>2</v>
      </c>
      <c r="O1267" s="2"/>
      <c r="P1267" s="2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</row>
    <row r="1268" spans="1:32" s="1" customFormat="1" ht="20.25" customHeight="1" x14ac:dyDescent="0.25">
      <c r="A1268" s="2"/>
      <c r="B1268" s="2"/>
      <c r="C1268" s="2"/>
      <c r="D1268" s="2">
        <f>COUNTIF(contact[[#This Row],[Bagossy]:[Szo
03:00 - 10:00]],"=~?")</f>
        <v>0</v>
      </c>
      <c r="E1268" s="2">
        <f>COUNTIF(contact[[#This Row],[Bagossy]:[Szo
03:00 - 10:00]],"=x")</f>
        <v>0</v>
      </c>
      <c r="F1268" s="2">
        <f>SUM(contact[[#This Row],[?]:[x]])</f>
        <v>0</v>
      </c>
      <c r="G12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68" s="3" t="s">
        <v>3887</v>
      </c>
      <c r="K1268" s="1" t="s">
        <v>1000</v>
      </c>
      <c r="L1268" s="1" t="s">
        <v>2</v>
      </c>
      <c r="M1268" s="1" t="s">
        <v>2</v>
      </c>
      <c r="O1268" s="2"/>
      <c r="P1268" s="2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</row>
    <row r="1269" spans="1:32" s="1" customFormat="1" ht="20.25" customHeight="1" x14ac:dyDescent="0.25">
      <c r="A1269" s="2"/>
      <c r="B1269" s="2"/>
      <c r="C1269" s="2"/>
      <c r="D1269" s="2">
        <f>COUNTIF(contact[[#This Row],[Bagossy]:[Szo
03:00 - 10:00]],"=~?")</f>
        <v>0</v>
      </c>
      <c r="E1269" s="2">
        <f>COUNTIF(contact[[#This Row],[Bagossy]:[Szo
03:00 - 10:00]],"=x")</f>
        <v>0</v>
      </c>
      <c r="F1269" s="2">
        <f>SUM(contact[[#This Row],[?]:[x]])</f>
        <v>0</v>
      </c>
      <c r="G12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69" s="2"/>
      <c r="I1269" s="2"/>
      <c r="J1269" s="3" t="s">
        <v>3139</v>
      </c>
      <c r="K1269" s="1" t="s">
        <v>6</v>
      </c>
      <c r="L1269" s="1" t="s">
        <v>2</v>
      </c>
      <c r="M1269" s="1" t="s">
        <v>2</v>
      </c>
      <c r="O1269" s="2"/>
      <c r="P1269" s="2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</row>
    <row r="1270" spans="1:32" s="1" customFormat="1" ht="20.25" customHeight="1" x14ac:dyDescent="0.25">
      <c r="A1270" s="2"/>
      <c r="B1270" s="2"/>
      <c r="C1270" s="2"/>
      <c r="D1270" s="2">
        <f>COUNTIF(contact[[#This Row],[Bagossy]:[Szo
03:00 - 10:00]],"=~?")</f>
        <v>0</v>
      </c>
      <c r="E1270" s="2">
        <f>COUNTIF(contact[[#This Row],[Bagossy]:[Szo
03:00 - 10:00]],"=x")</f>
        <v>0</v>
      </c>
      <c r="F1270" s="2">
        <f>SUM(contact[[#This Row],[?]:[x]])</f>
        <v>0</v>
      </c>
      <c r="G12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0" s="3" t="s">
        <v>4081</v>
      </c>
      <c r="K1270" s="1" t="s">
        <v>1090</v>
      </c>
      <c r="L1270" s="1" t="s">
        <v>2</v>
      </c>
      <c r="M1270" s="1" t="s">
        <v>2</v>
      </c>
      <c r="O1270" s="2"/>
      <c r="P1270" s="2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</row>
    <row r="1271" spans="1:32" s="1" customFormat="1" ht="20.25" customHeight="1" x14ac:dyDescent="0.25">
      <c r="A1271" s="2"/>
      <c r="B1271" s="2"/>
      <c r="C1271" s="2"/>
      <c r="D1271" s="2">
        <f>COUNTIF(contact[[#This Row],[Bagossy]:[Szo
03:00 - 10:00]],"=~?")</f>
        <v>0</v>
      </c>
      <c r="E1271" s="2">
        <f>COUNTIF(contact[[#This Row],[Bagossy]:[Szo
03:00 - 10:00]],"=x")</f>
        <v>0</v>
      </c>
      <c r="F1271" s="2">
        <f>SUM(contact[[#This Row],[?]:[x]])</f>
        <v>0</v>
      </c>
      <c r="G12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1" s="3" t="s">
        <v>2593</v>
      </c>
      <c r="K1271" s="1" t="s">
        <v>2</v>
      </c>
      <c r="L1271" s="1" t="s">
        <v>2</v>
      </c>
      <c r="M1271" s="1" t="s">
        <v>2</v>
      </c>
      <c r="O1271" s="2"/>
      <c r="P1271" s="2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</row>
    <row r="1272" spans="1:32" s="1" customFormat="1" ht="20.25" customHeight="1" x14ac:dyDescent="0.25">
      <c r="A1272" s="2"/>
      <c r="B1272" s="2"/>
      <c r="C1272" s="2"/>
      <c r="D1272" s="2">
        <f>COUNTIF(contact[[#This Row],[Bagossy]:[Szo
03:00 - 10:00]],"=~?")</f>
        <v>0</v>
      </c>
      <c r="E1272" s="2">
        <f>COUNTIF(contact[[#This Row],[Bagossy]:[Szo
03:00 - 10:00]],"=x")</f>
        <v>0</v>
      </c>
      <c r="F1272" s="2">
        <f>SUM(contact[[#This Row],[?]:[x]])</f>
        <v>0</v>
      </c>
      <c r="G12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2" s="3" t="s">
        <v>706</v>
      </c>
      <c r="K1272" s="1" t="s">
        <v>2</v>
      </c>
      <c r="L1272" s="1" t="s">
        <v>2</v>
      </c>
      <c r="M1272" s="1" t="s">
        <v>2</v>
      </c>
      <c r="O1272" s="2"/>
      <c r="P1272" s="2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</row>
    <row r="1273" spans="1:32" s="1" customFormat="1" ht="20.25" customHeight="1" x14ac:dyDescent="0.25">
      <c r="A1273" s="2"/>
      <c r="B1273" s="2"/>
      <c r="C1273" s="2"/>
      <c r="D1273" s="2">
        <f>COUNTIF(contact[[#This Row],[Bagossy]:[Szo
03:00 - 10:00]],"=~?")</f>
        <v>0</v>
      </c>
      <c r="E1273" s="2">
        <f>COUNTIF(contact[[#This Row],[Bagossy]:[Szo
03:00 - 10:00]],"=x")</f>
        <v>0</v>
      </c>
      <c r="F1273" s="2">
        <f>SUM(contact[[#This Row],[?]:[x]])</f>
        <v>0</v>
      </c>
      <c r="G12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73" s="2"/>
      <c r="I1273" s="2"/>
      <c r="J1273" s="3" t="s">
        <v>3141</v>
      </c>
      <c r="K1273" s="1" t="s">
        <v>1066</v>
      </c>
      <c r="L1273" s="1" t="s">
        <v>2</v>
      </c>
      <c r="M1273" s="1" t="s">
        <v>2</v>
      </c>
      <c r="O1273" s="2"/>
      <c r="P1273" s="2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</row>
    <row r="1274" spans="1:32" s="1" customFormat="1" ht="20.25" customHeight="1" x14ac:dyDescent="0.25">
      <c r="A1274" s="2"/>
      <c r="B1274" s="2"/>
      <c r="C1274" s="2"/>
      <c r="D1274" s="2">
        <f>COUNTIF(contact[[#This Row],[Bagossy]:[Szo
03:00 - 10:00]],"=~?")</f>
        <v>0</v>
      </c>
      <c r="E1274" s="2">
        <f>COUNTIF(contact[[#This Row],[Bagossy]:[Szo
03:00 - 10:00]],"=x")</f>
        <v>0</v>
      </c>
      <c r="F1274" s="2">
        <f>SUM(contact[[#This Row],[?]:[x]])</f>
        <v>0</v>
      </c>
      <c r="G12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4" s="3" t="s">
        <v>2160</v>
      </c>
      <c r="K1274" s="1" t="s">
        <v>1352</v>
      </c>
      <c r="L1274" s="1" t="s">
        <v>2</v>
      </c>
      <c r="M1274" s="1" t="s">
        <v>2</v>
      </c>
      <c r="O1274" s="2"/>
      <c r="P1274" s="2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</row>
    <row r="1275" spans="1:32" s="1" customFormat="1" ht="20.25" customHeight="1" x14ac:dyDescent="0.25">
      <c r="A1275" s="2"/>
      <c r="B1275" s="2"/>
      <c r="C1275" s="2"/>
      <c r="D1275" s="2">
        <f>COUNTIF(contact[[#This Row],[Bagossy]:[Szo
03:00 - 10:00]],"=~?")</f>
        <v>0</v>
      </c>
      <c r="E1275" s="2">
        <f>COUNTIF(contact[[#This Row],[Bagossy]:[Szo
03:00 - 10:00]],"=x")</f>
        <v>0</v>
      </c>
      <c r="F1275" s="2">
        <f>SUM(contact[[#This Row],[?]:[x]])</f>
        <v>0</v>
      </c>
      <c r="G12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5" s="3" t="s">
        <v>2267</v>
      </c>
      <c r="K1275" s="1" t="s">
        <v>215</v>
      </c>
      <c r="L1275" s="1" t="s">
        <v>2</v>
      </c>
      <c r="M1275" s="1" t="s">
        <v>2</v>
      </c>
      <c r="O1275" s="2"/>
      <c r="P1275" s="2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</row>
    <row r="1276" spans="1:32" s="1" customFormat="1" ht="20.25" customHeight="1" x14ac:dyDescent="0.25">
      <c r="A1276" s="2"/>
      <c r="B1276" s="2"/>
      <c r="C1276" s="2"/>
      <c r="D1276" s="2">
        <f>COUNTIF(contact[[#This Row],[Bagossy]:[Szo
03:00 - 10:00]],"=~?")</f>
        <v>0</v>
      </c>
      <c r="E1276" s="2">
        <f>COUNTIF(contact[[#This Row],[Bagossy]:[Szo
03:00 - 10:00]],"=x")</f>
        <v>0</v>
      </c>
      <c r="F1276" s="2">
        <f>SUM(contact[[#This Row],[?]:[x]])</f>
        <v>0</v>
      </c>
      <c r="G12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6" s="3" t="s">
        <v>4433</v>
      </c>
      <c r="K1276" s="1" t="s">
        <v>1238</v>
      </c>
      <c r="L1276" s="1" t="s">
        <v>2</v>
      </c>
      <c r="M1276" s="1" t="s">
        <v>2</v>
      </c>
      <c r="O1276" s="2"/>
      <c r="P1276" s="2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</row>
    <row r="1277" spans="1:32" s="1" customFormat="1" ht="20.25" customHeight="1" x14ac:dyDescent="0.25">
      <c r="A1277" s="2"/>
      <c r="B1277" s="2"/>
      <c r="C1277" s="2"/>
      <c r="D1277" s="2">
        <f>COUNTIF(contact[[#This Row],[Bagossy]:[Szo
03:00 - 10:00]],"=~?")</f>
        <v>0</v>
      </c>
      <c r="E1277" s="2">
        <f>COUNTIF(contact[[#This Row],[Bagossy]:[Szo
03:00 - 10:00]],"=x")</f>
        <v>0</v>
      </c>
      <c r="F1277" s="2">
        <f>SUM(contact[[#This Row],[?]:[x]])</f>
        <v>0</v>
      </c>
      <c r="G12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7" s="3" t="s">
        <v>3237</v>
      </c>
      <c r="K1277" s="1" t="s">
        <v>704</v>
      </c>
      <c r="L1277" s="1" t="s">
        <v>2</v>
      </c>
      <c r="M1277" s="1" t="s">
        <v>2</v>
      </c>
      <c r="O1277" s="2"/>
      <c r="P1277" s="2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</row>
    <row r="1278" spans="1:32" s="1" customFormat="1" ht="20.25" customHeight="1" x14ac:dyDescent="0.25">
      <c r="A1278" s="2"/>
      <c r="B1278" s="2"/>
      <c r="C1278" s="2"/>
      <c r="D1278" s="2">
        <f>COUNTIF(contact[[#This Row],[Bagossy]:[Szo
03:00 - 10:00]],"=~?")</f>
        <v>0</v>
      </c>
      <c r="E1278" s="2">
        <f>COUNTIF(contact[[#This Row],[Bagossy]:[Szo
03:00 - 10:00]],"=x")</f>
        <v>0</v>
      </c>
      <c r="F1278" s="2">
        <f>SUM(contact[[#This Row],[?]:[x]])</f>
        <v>0</v>
      </c>
      <c r="G12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8" s="3" t="s">
        <v>2096</v>
      </c>
      <c r="K1278" s="1" t="s">
        <v>2</v>
      </c>
      <c r="L1278" s="1" t="s">
        <v>2</v>
      </c>
      <c r="M1278" s="1" t="s">
        <v>2</v>
      </c>
      <c r="O1278" s="2"/>
      <c r="P1278" s="2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</row>
    <row r="1279" spans="1:32" s="1" customFormat="1" ht="20.25" customHeight="1" x14ac:dyDescent="0.25">
      <c r="A1279" s="2"/>
      <c r="B1279" s="2"/>
      <c r="C1279" s="2"/>
      <c r="D1279" s="2">
        <f>COUNTIF(contact[[#This Row],[Bagossy]:[Szo
03:00 - 10:00]],"=~?")</f>
        <v>0</v>
      </c>
      <c r="E1279" s="2">
        <f>COUNTIF(contact[[#This Row],[Bagossy]:[Szo
03:00 - 10:00]],"=x")</f>
        <v>0</v>
      </c>
      <c r="F1279" s="2">
        <f>SUM(contact[[#This Row],[?]:[x]])</f>
        <v>0</v>
      </c>
      <c r="G12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79" s="3" t="s">
        <v>1972</v>
      </c>
      <c r="K1279" s="1" t="s">
        <v>48</v>
      </c>
      <c r="L1279" s="1" t="s">
        <v>2</v>
      </c>
      <c r="M1279" s="1" t="s">
        <v>2</v>
      </c>
      <c r="O1279" s="2"/>
      <c r="P1279" s="2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</row>
    <row r="1280" spans="1:32" s="1" customFormat="1" ht="20.25" customHeight="1" x14ac:dyDescent="0.25">
      <c r="A1280" s="2"/>
      <c r="B1280" s="2"/>
      <c r="C1280" s="2"/>
      <c r="D1280" s="2">
        <f>COUNTIF(contact[[#This Row],[Bagossy]:[Szo
03:00 - 10:00]],"=~?")</f>
        <v>0</v>
      </c>
      <c r="E1280" s="2">
        <f>COUNTIF(contact[[#This Row],[Bagossy]:[Szo
03:00 - 10:00]],"=x")</f>
        <v>0</v>
      </c>
      <c r="F1280" s="2">
        <f>SUM(contact[[#This Row],[?]:[x]])</f>
        <v>0</v>
      </c>
      <c r="G12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0" s="3" t="s">
        <v>3458</v>
      </c>
      <c r="K1280" s="1" t="s">
        <v>1327</v>
      </c>
      <c r="L1280" s="1" t="s">
        <v>2</v>
      </c>
      <c r="M1280" s="1" t="s">
        <v>2</v>
      </c>
      <c r="O1280" s="2"/>
      <c r="P1280" s="2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</row>
    <row r="1281" spans="1:32" s="1" customFormat="1" ht="20.25" customHeight="1" x14ac:dyDescent="0.25">
      <c r="A1281" s="2"/>
      <c r="B1281" s="2"/>
      <c r="C1281" s="2"/>
      <c r="D1281" s="2">
        <f>COUNTIF(contact[[#This Row],[Bagossy]:[Szo
03:00 - 10:00]],"=~?")</f>
        <v>0</v>
      </c>
      <c r="E1281" s="2">
        <f>COUNTIF(contact[[#This Row],[Bagossy]:[Szo
03:00 - 10:00]],"=x")</f>
        <v>0</v>
      </c>
      <c r="F1281" s="2">
        <f>SUM(contact[[#This Row],[?]:[x]])</f>
        <v>0</v>
      </c>
      <c r="G12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1" s="3" t="s">
        <v>3800</v>
      </c>
      <c r="K1281" s="1" t="s">
        <v>1303</v>
      </c>
      <c r="L1281" s="1" t="s">
        <v>2</v>
      </c>
      <c r="M1281" s="1" t="s">
        <v>2</v>
      </c>
      <c r="O1281" s="2"/>
      <c r="P1281" s="2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</row>
    <row r="1282" spans="1:32" s="1" customFormat="1" ht="20.25" customHeight="1" x14ac:dyDescent="0.25">
      <c r="A1282" s="2"/>
      <c r="B1282" s="2"/>
      <c r="C1282" s="2"/>
      <c r="D1282" s="2">
        <f>COUNTIF(contact[[#This Row],[Bagossy]:[Szo
03:00 - 10:00]],"=~?")</f>
        <v>0</v>
      </c>
      <c r="E1282" s="2">
        <f>COUNTIF(contact[[#This Row],[Bagossy]:[Szo
03:00 - 10:00]],"=x")</f>
        <v>0</v>
      </c>
      <c r="F1282" s="2">
        <f>SUM(contact[[#This Row],[?]:[x]])</f>
        <v>0</v>
      </c>
      <c r="G12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2" s="3" t="s">
        <v>3925</v>
      </c>
      <c r="K1282" s="1" t="s">
        <v>1303</v>
      </c>
      <c r="L1282" s="1" t="s">
        <v>2</v>
      </c>
      <c r="M1282" s="1" t="s">
        <v>2</v>
      </c>
      <c r="O1282" s="2"/>
      <c r="P1282" s="2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</row>
    <row r="1283" spans="1:32" s="1" customFormat="1" ht="20.25" customHeight="1" x14ac:dyDescent="0.25">
      <c r="A1283" s="2"/>
      <c r="B1283" s="2"/>
      <c r="C1283" s="2"/>
      <c r="D1283" s="2">
        <f>COUNTIF(contact[[#This Row],[Bagossy]:[Szo
03:00 - 10:00]],"=~?")</f>
        <v>0</v>
      </c>
      <c r="E1283" s="2">
        <f>COUNTIF(contact[[#This Row],[Bagossy]:[Szo
03:00 - 10:00]],"=x")</f>
        <v>0</v>
      </c>
      <c r="F1283" s="2">
        <f>SUM(contact[[#This Row],[?]:[x]])</f>
        <v>0</v>
      </c>
      <c r="G12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3" s="3" t="s">
        <v>3003</v>
      </c>
      <c r="K1283" s="1" t="s">
        <v>1303</v>
      </c>
      <c r="L1283" s="1" t="s">
        <v>2</v>
      </c>
      <c r="M1283" s="1" t="s">
        <v>2</v>
      </c>
      <c r="O1283" s="2"/>
      <c r="P1283" s="2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</row>
    <row r="1284" spans="1:32" s="1" customFormat="1" ht="20.25" customHeight="1" x14ac:dyDescent="0.25">
      <c r="A1284" s="2"/>
      <c r="B1284" s="2"/>
      <c r="C1284" s="2"/>
      <c r="D1284" s="2">
        <f>COUNTIF(contact[[#This Row],[Bagossy]:[Szo
03:00 - 10:00]],"=~?")</f>
        <v>0</v>
      </c>
      <c r="E1284" s="2">
        <f>COUNTIF(contact[[#This Row],[Bagossy]:[Szo
03:00 - 10:00]],"=x")</f>
        <v>0</v>
      </c>
      <c r="F1284" s="2">
        <f>SUM(contact[[#This Row],[?]:[x]])</f>
        <v>0</v>
      </c>
      <c r="G12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84" s="2"/>
      <c r="I1284" s="2"/>
      <c r="J1284" s="3" t="s">
        <v>3143</v>
      </c>
      <c r="K1284" s="1" t="s">
        <v>1574</v>
      </c>
      <c r="L1284" s="1" t="s">
        <v>2</v>
      </c>
      <c r="M1284" s="1" t="s">
        <v>2</v>
      </c>
      <c r="O1284" s="2"/>
      <c r="P1284" s="2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</row>
    <row r="1285" spans="1:32" s="1" customFormat="1" ht="20.25" customHeight="1" x14ac:dyDescent="0.25">
      <c r="A1285" s="2"/>
      <c r="B1285" s="2"/>
      <c r="C1285" s="2"/>
      <c r="D1285" s="2">
        <f>COUNTIF(contact[[#This Row],[Bagossy]:[Szo
03:00 - 10:00]],"=~?")</f>
        <v>0</v>
      </c>
      <c r="E1285" s="2">
        <f>COUNTIF(contact[[#This Row],[Bagossy]:[Szo
03:00 - 10:00]],"=x")</f>
        <v>0</v>
      </c>
      <c r="F1285" s="2">
        <f>SUM(contact[[#This Row],[?]:[x]])</f>
        <v>0</v>
      </c>
      <c r="G12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5" s="3" t="s">
        <v>3761</v>
      </c>
      <c r="K1285" s="1" t="s">
        <v>930</v>
      </c>
      <c r="L1285" s="1" t="s">
        <v>2</v>
      </c>
      <c r="M1285" s="1" t="s">
        <v>2</v>
      </c>
      <c r="O1285" s="2"/>
      <c r="P1285" s="2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</row>
    <row r="1286" spans="1:32" s="1" customFormat="1" ht="20.25" customHeight="1" x14ac:dyDescent="0.25">
      <c r="A1286" s="2"/>
      <c r="B1286" s="2"/>
      <c r="C1286" s="2"/>
      <c r="D1286" s="2">
        <f>COUNTIF(contact[[#This Row],[Bagossy]:[Szo
03:00 - 10:00]],"=~?")</f>
        <v>0</v>
      </c>
      <c r="E1286" s="2">
        <f>COUNTIF(contact[[#This Row],[Bagossy]:[Szo
03:00 - 10:00]],"=x")</f>
        <v>0</v>
      </c>
      <c r="F1286" s="2">
        <f>SUM(contact[[#This Row],[?]:[x]])</f>
        <v>0</v>
      </c>
      <c r="G12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6" s="3" t="s">
        <v>2138</v>
      </c>
      <c r="K1286" s="1" t="s">
        <v>2</v>
      </c>
      <c r="L1286" s="1" t="s">
        <v>2</v>
      </c>
      <c r="M1286" s="1" t="s">
        <v>2</v>
      </c>
      <c r="O1286" s="2"/>
      <c r="P1286" s="2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</row>
    <row r="1287" spans="1:32" s="1" customFormat="1" ht="20.25" customHeight="1" x14ac:dyDescent="0.25">
      <c r="A1287" s="2"/>
      <c r="B1287" s="2"/>
      <c r="C1287" s="2"/>
      <c r="D1287" s="2">
        <f>COUNTIF(contact[[#This Row],[Bagossy]:[Szo
03:00 - 10:00]],"=~?")</f>
        <v>0</v>
      </c>
      <c r="E1287" s="2">
        <f>COUNTIF(contact[[#This Row],[Bagossy]:[Szo
03:00 - 10:00]],"=x")</f>
        <v>0</v>
      </c>
      <c r="F1287" s="2">
        <f>SUM(contact[[#This Row],[?]:[x]])</f>
        <v>0</v>
      </c>
      <c r="G12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7" s="3" t="s">
        <v>2480</v>
      </c>
      <c r="K1287" s="1" t="s">
        <v>333</v>
      </c>
      <c r="L1287" s="1" t="s">
        <v>2</v>
      </c>
      <c r="M1287" s="1" t="s">
        <v>2</v>
      </c>
      <c r="O1287" s="2"/>
      <c r="P1287" s="2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</row>
    <row r="1288" spans="1:32" s="1" customFormat="1" ht="20.25" customHeight="1" x14ac:dyDescent="0.25">
      <c r="A1288" s="2"/>
      <c r="B1288" s="2"/>
      <c r="C1288" s="2"/>
      <c r="D1288" s="2">
        <f>COUNTIF(contact[[#This Row],[Bagossy]:[Szo
03:00 - 10:00]],"=~?")</f>
        <v>0</v>
      </c>
      <c r="E1288" s="2">
        <f>COUNTIF(contact[[#This Row],[Bagossy]:[Szo
03:00 - 10:00]],"=x")</f>
        <v>0</v>
      </c>
      <c r="F1288" s="2">
        <f>SUM(contact[[#This Row],[?]:[x]])</f>
        <v>0</v>
      </c>
      <c r="G12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88" s="2"/>
      <c r="I1288" s="2"/>
      <c r="J1288" s="3" t="s">
        <v>3150</v>
      </c>
      <c r="K1288" s="1" t="s">
        <v>29</v>
      </c>
      <c r="L1288" s="1" t="s">
        <v>2</v>
      </c>
      <c r="M1288" s="1" t="s">
        <v>2</v>
      </c>
      <c r="O1288" s="2"/>
      <c r="P1288" s="2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</row>
    <row r="1289" spans="1:32" s="1" customFormat="1" ht="20.25" customHeight="1" x14ac:dyDescent="0.25">
      <c r="A1289" s="2"/>
      <c r="B1289" s="2"/>
      <c r="C1289" s="2"/>
      <c r="D1289" s="2">
        <f>COUNTIF(contact[[#This Row],[Bagossy]:[Szo
03:00 - 10:00]],"=~?")</f>
        <v>0</v>
      </c>
      <c r="E1289" s="2">
        <f>COUNTIF(contact[[#This Row],[Bagossy]:[Szo
03:00 - 10:00]],"=x")</f>
        <v>0</v>
      </c>
      <c r="F1289" s="2">
        <f>SUM(contact[[#This Row],[?]:[x]])</f>
        <v>0</v>
      </c>
      <c r="G12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89" s="3" t="s">
        <v>4398</v>
      </c>
      <c r="K1289" s="1" t="s">
        <v>1851</v>
      </c>
      <c r="L1289" s="1" t="s">
        <v>2</v>
      </c>
      <c r="M1289" s="1" t="s">
        <v>2</v>
      </c>
      <c r="O1289" s="2"/>
      <c r="P1289" s="2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</row>
    <row r="1290" spans="1:32" s="1" customFormat="1" ht="20.25" customHeight="1" x14ac:dyDescent="0.25">
      <c r="A1290" s="2"/>
      <c r="B1290" s="2"/>
      <c r="C1290" s="2"/>
      <c r="D1290" s="2">
        <f>COUNTIF(contact[[#This Row],[Bagossy]:[Szo
03:00 - 10:00]],"=~?")</f>
        <v>0</v>
      </c>
      <c r="E1290" s="2">
        <f>COUNTIF(contact[[#This Row],[Bagossy]:[Szo
03:00 - 10:00]],"=x")</f>
        <v>0</v>
      </c>
      <c r="F1290" s="2">
        <f>SUM(contact[[#This Row],[?]:[x]])</f>
        <v>0</v>
      </c>
      <c r="G12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0" s="3" t="s">
        <v>3202</v>
      </c>
      <c r="K1290" s="1" t="s">
        <v>690</v>
      </c>
      <c r="L1290" s="1" t="s">
        <v>2</v>
      </c>
      <c r="M1290" s="1" t="s">
        <v>2</v>
      </c>
      <c r="O1290" s="2"/>
      <c r="P1290" s="2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</row>
    <row r="1291" spans="1:32" s="1" customFormat="1" ht="20.25" customHeight="1" x14ac:dyDescent="0.25">
      <c r="A1291" s="2"/>
      <c r="B1291" s="2"/>
      <c r="C1291" s="2"/>
      <c r="D1291" s="2">
        <f>COUNTIF(contact[[#This Row],[Bagossy]:[Szo
03:00 - 10:00]],"=~?")</f>
        <v>0</v>
      </c>
      <c r="E1291" s="2">
        <f>COUNTIF(contact[[#This Row],[Bagossy]:[Szo
03:00 - 10:00]],"=x")</f>
        <v>0</v>
      </c>
      <c r="F1291" s="2">
        <f>SUM(contact[[#This Row],[?]:[x]])</f>
        <v>0</v>
      </c>
      <c r="G12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1" s="3" t="s">
        <v>2754</v>
      </c>
      <c r="K1291" s="1" t="s">
        <v>2</v>
      </c>
      <c r="L1291" s="1" t="s">
        <v>2</v>
      </c>
      <c r="M1291" s="1" t="s">
        <v>2</v>
      </c>
      <c r="O1291" s="2"/>
      <c r="P1291" s="2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</row>
    <row r="1292" spans="1:32" s="1" customFormat="1" ht="20.25" customHeight="1" x14ac:dyDescent="0.25">
      <c r="A1292" s="2"/>
      <c r="B1292" s="2"/>
      <c r="C1292" s="2"/>
      <c r="D1292" s="2">
        <f>COUNTIF(contact[[#This Row],[Bagossy]:[Szo
03:00 - 10:00]],"=~?")</f>
        <v>0</v>
      </c>
      <c r="E1292" s="2">
        <f>COUNTIF(contact[[#This Row],[Bagossy]:[Szo
03:00 - 10:00]],"=x")</f>
        <v>0</v>
      </c>
      <c r="F1292" s="2">
        <f>SUM(contact[[#This Row],[?]:[x]])</f>
        <v>0</v>
      </c>
      <c r="G12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2" s="3" t="s">
        <v>3919</v>
      </c>
      <c r="K1292" s="1" t="s">
        <v>2</v>
      </c>
      <c r="L1292" s="1" t="s">
        <v>2</v>
      </c>
      <c r="M1292" s="1" t="s">
        <v>2</v>
      </c>
      <c r="O1292" s="2"/>
      <c r="P1292" s="2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</row>
    <row r="1293" spans="1:32" s="1" customFormat="1" ht="20.25" customHeight="1" x14ac:dyDescent="0.25">
      <c r="A1293" s="2"/>
      <c r="B1293" s="2"/>
      <c r="C1293" s="2"/>
      <c r="D1293" s="2">
        <f>COUNTIF(contact[[#This Row],[Bagossy]:[Szo
03:00 - 10:00]],"=~?")</f>
        <v>0</v>
      </c>
      <c r="E1293" s="2">
        <f>COUNTIF(contact[[#This Row],[Bagossy]:[Szo
03:00 - 10:00]],"=x")</f>
        <v>0</v>
      </c>
      <c r="F1293" s="2">
        <f>SUM(contact[[#This Row],[?]:[x]])</f>
        <v>0</v>
      </c>
      <c r="G12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3" s="3" t="s">
        <v>3585</v>
      </c>
      <c r="K1293" s="1" t="s">
        <v>47</v>
      </c>
      <c r="L1293" s="1" t="s">
        <v>2</v>
      </c>
      <c r="M1293" s="1" t="s">
        <v>2</v>
      </c>
      <c r="O1293" s="2"/>
      <c r="P1293" s="2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</row>
    <row r="1294" spans="1:32" s="1" customFormat="1" ht="20.25" customHeight="1" x14ac:dyDescent="0.25">
      <c r="A1294" s="2"/>
      <c r="B1294" s="2"/>
      <c r="C1294" s="2"/>
      <c r="D1294" s="2">
        <f>COUNTIF(contact[[#This Row],[Bagossy]:[Szo
03:00 - 10:00]],"=~?")</f>
        <v>0</v>
      </c>
      <c r="E1294" s="2">
        <f>COUNTIF(contact[[#This Row],[Bagossy]:[Szo
03:00 - 10:00]],"=x")</f>
        <v>0</v>
      </c>
      <c r="F1294" s="2">
        <f>SUM(contact[[#This Row],[?]:[x]])</f>
        <v>0</v>
      </c>
      <c r="G12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4" s="3" t="s">
        <v>2703</v>
      </c>
      <c r="K1294" s="1" t="s">
        <v>452</v>
      </c>
      <c r="L1294" s="1" t="s">
        <v>2</v>
      </c>
      <c r="M1294" s="1" t="s">
        <v>2</v>
      </c>
      <c r="O1294" s="2"/>
      <c r="P1294" s="2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</row>
    <row r="1295" spans="1:32" s="1" customFormat="1" ht="20.25" customHeight="1" x14ac:dyDescent="0.25">
      <c r="A1295" s="2"/>
      <c r="B1295" s="2"/>
      <c r="C1295" s="2"/>
      <c r="D1295" s="2">
        <f>COUNTIF(contact[[#This Row],[Bagossy]:[Szo
03:00 - 10:00]],"=~?")</f>
        <v>0</v>
      </c>
      <c r="E1295" s="2">
        <f>COUNTIF(contact[[#This Row],[Bagossy]:[Szo
03:00 - 10:00]],"=x")</f>
        <v>0</v>
      </c>
      <c r="F1295" s="2">
        <f>SUM(contact[[#This Row],[?]:[x]])</f>
        <v>0</v>
      </c>
      <c r="G12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5" s="3" t="s">
        <v>3263</v>
      </c>
      <c r="K1295" s="1" t="s">
        <v>2</v>
      </c>
      <c r="L1295" s="1" t="s">
        <v>2</v>
      </c>
      <c r="M1295" s="1" t="s">
        <v>2</v>
      </c>
      <c r="O1295" s="2"/>
      <c r="P1295" s="2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</row>
    <row r="1296" spans="1:32" s="1" customFormat="1" ht="20.25" customHeight="1" x14ac:dyDescent="0.25">
      <c r="A1296" s="2"/>
      <c r="B1296" s="2"/>
      <c r="C1296" s="2"/>
      <c r="D1296" s="2">
        <f>COUNTIF(contact[[#This Row],[Bagossy]:[Szo
03:00 - 10:00]],"=~?")</f>
        <v>0</v>
      </c>
      <c r="E1296" s="2">
        <f>COUNTIF(contact[[#This Row],[Bagossy]:[Szo
03:00 - 10:00]],"=x")</f>
        <v>0</v>
      </c>
      <c r="F1296" s="2">
        <f>SUM(contact[[#This Row],[?]:[x]])</f>
        <v>0</v>
      </c>
      <c r="G12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296" s="2"/>
      <c r="I1296" s="2"/>
      <c r="J1296" s="3" t="s">
        <v>3151</v>
      </c>
      <c r="K1296" s="1" t="s">
        <v>1054</v>
      </c>
      <c r="L1296" s="1" t="s">
        <v>2</v>
      </c>
      <c r="M1296" s="1" t="s">
        <v>2</v>
      </c>
      <c r="O1296" s="2"/>
      <c r="P1296" s="2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</row>
    <row r="1297" spans="1:32" s="1" customFormat="1" ht="20.25" customHeight="1" x14ac:dyDescent="0.25">
      <c r="A1297" s="2"/>
      <c r="B1297" s="2"/>
      <c r="C1297" s="2"/>
      <c r="D1297" s="2">
        <f>COUNTIF(contact[[#This Row],[Bagossy]:[Szo
03:00 - 10:00]],"=~?")</f>
        <v>0</v>
      </c>
      <c r="E1297" s="2">
        <f>COUNTIF(contact[[#This Row],[Bagossy]:[Szo
03:00 - 10:00]],"=x")</f>
        <v>0</v>
      </c>
      <c r="F1297" s="2">
        <f>SUM(contact[[#This Row],[?]:[x]])</f>
        <v>0</v>
      </c>
      <c r="G12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7" s="3" t="s">
        <v>2909</v>
      </c>
      <c r="K1297" s="1" t="s">
        <v>1514</v>
      </c>
      <c r="L1297" s="1" t="s">
        <v>2</v>
      </c>
      <c r="M1297" s="1" t="s">
        <v>2</v>
      </c>
      <c r="O1297" s="2"/>
      <c r="P1297" s="2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</row>
    <row r="1298" spans="1:32" s="1" customFormat="1" ht="20.25" customHeight="1" x14ac:dyDescent="0.25">
      <c r="A1298" s="2"/>
      <c r="B1298" s="2"/>
      <c r="C1298" s="2"/>
      <c r="D1298" s="2">
        <f>COUNTIF(contact[[#This Row],[Bagossy]:[Szo
03:00 - 10:00]],"=~?")</f>
        <v>0</v>
      </c>
      <c r="E1298" s="2">
        <f>COUNTIF(contact[[#This Row],[Bagossy]:[Szo
03:00 - 10:00]],"=x")</f>
        <v>0</v>
      </c>
      <c r="F1298" s="2">
        <f>SUM(contact[[#This Row],[?]:[x]])</f>
        <v>0</v>
      </c>
      <c r="G12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8" s="3" t="s">
        <v>2755</v>
      </c>
      <c r="K1298" s="1" t="s">
        <v>2</v>
      </c>
      <c r="L1298" s="1" t="s">
        <v>2</v>
      </c>
      <c r="M1298" s="1" t="s">
        <v>2</v>
      </c>
      <c r="O1298" s="2"/>
      <c r="P1298" s="2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</row>
    <row r="1299" spans="1:32" s="1" customFormat="1" ht="20.25" customHeight="1" x14ac:dyDescent="0.25">
      <c r="A1299" s="2"/>
      <c r="B1299" s="2"/>
      <c r="C1299" s="2"/>
      <c r="D1299" s="2">
        <f>COUNTIF(contact[[#This Row],[Bagossy]:[Szo
03:00 - 10:00]],"=~?")</f>
        <v>0</v>
      </c>
      <c r="E1299" s="2">
        <f>COUNTIF(contact[[#This Row],[Bagossy]:[Szo
03:00 - 10:00]],"=x")</f>
        <v>0</v>
      </c>
      <c r="F1299" s="2">
        <f>SUM(contact[[#This Row],[?]:[x]])</f>
        <v>0</v>
      </c>
      <c r="G12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299" s="3" t="s">
        <v>710</v>
      </c>
      <c r="K1299" s="1" t="s">
        <v>2</v>
      </c>
      <c r="L1299" s="1" t="s">
        <v>2</v>
      </c>
      <c r="M1299" s="1" t="s">
        <v>2</v>
      </c>
      <c r="O1299" s="2"/>
      <c r="P1299" s="2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</row>
    <row r="1300" spans="1:32" s="1" customFormat="1" ht="20.25" customHeight="1" x14ac:dyDescent="0.25">
      <c r="A1300" s="2"/>
      <c r="B1300" s="2"/>
      <c r="C1300" s="2"/>
      <c r="D1300" s="2">
        <f>COUNTIF(contact[[#This Row],[Bagossy]:[Szo
03:00 - 10:00]],"=~?")</f>
        <v>0</v>
      </c>
      <c r="E1300" s="2">
        <f>COUNTIF(contact[[#This Row],[Bagossy]:[Szo
03:00 - 10:00]],"=x")</f>
        <v>0</v>
      </c>
      <c r="F1300" s="2">
        <f>SUM(contact[[#This Row],[?]:[x]])</f>
        <v>0</v>
      </c>
      <c r="G13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0" s="3" t="s">
        <v>4277</v>
      </c>
      <c r="K1300" s="1" t="s">
        <v>1303</v>
      </c>
      <c r="L1300" s="1" t="s">
        <v>2</v>
      </c>
      <c r="M1300" s="1" t="s">
        <v>2</v>
      </c>
      <c r="O1300" s="2"/>
      <c r="P1300" s="2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</row>
    <row r="1301" spans="1:32" s="1" customFormat="1" ht="20.25" customHeight="1" x14ac:dyDescent="0.25">
      <c r="A1301" s="2"/>
      <c r="B1301" s="2"/>
      <c r="C1301" s="2"/>
      <c r="D1301" s="2">
        <f>COUNTIF(contact[[#This Row],[Bagossy]:[Szo
03:00 - 10:00]],"=~?")</f>
        <v>0</v>
      </c>
      <c r="E1301" s="2">
        <f>COUNTIF(contact[[#This Row],[Bagossy]:[Szo
03:00 - 10:00]],"=x")</f>
        <v>0</v>
      </c>
      <c r="F1301" s="2">
        <f>SUM(contact[[#This Row],[?]:[x]])</f>
        <v>0</v>
      </c>
      <c r="G13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1" s="3" t="s">
        <v>3545</v>
      </c>
      <c r="K1301" s="1" t="s">
        <v>839</v>
      </c>
      <c r="L1301" s="1" t="s">
        <v>2</v>
      </c>
      <c r="M1301" s="1" t="s">
        <v>2</v>
      </c>
      <c r="O1301" s="2"/>
      <c r="P1301" s="2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</row>
    <row r="1302" spans="1:32" s="1" customFormat="1" ht="20.25" customHeight="1" x14ac:dyDescent="0.25">
      <c r="A1302" s="2"/>
      <c r="B1302" s="2"/>
      <c r="C1302" s="2"/>
      <c r="D1302" s="2">
        <f>COUNTIF(contact[[#This Row],[Bagossy]:[Szo
03:00 - 10:00]],"=~?")</f>
        <v>0</v>
      </c>
      <c r="E1302" s="2">
        <f>COUNTIF(contact[[#This Row],[Bagossy]:[Szo
03:00 - 10:00]],"=x")</f>
        <v>0</v>
      </c>
      <c r="F1302" s="2">
        <f>SUM(contact[[#This Row],[?]:[x]])</f>
        <v>0</v>
      </c>
      <c r="G13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2" s="3" t="s">
        <v>4278</v>
      </c>
      <c r="K1302" s="1" t="s">
        <v>1829</v>
      </c>
      <c r="L1302" s="1" t="s">
        <v>2</v>
      </c>
      <c r="M1302" s="1" t="s">
        <v>2</v>
      </c>
      <c r="O1302" s="2"/>
      <c r="P1302" s="2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</row>
    <row r="1303" spans="1:32" s="1" customFormat="1" ht="20.25" customHeight="1" x14ac:dyDescent="0.25">
      <c r="A1303" s="2"/>
      <c r="B1303" s="2"/>
      <c r="C1303" s="2"/>
      <c r="D1303" s="2">
        <f>COUNTIF(contact[[#This Row],[Bagossy]:[Szo
03:00 - 10:00]],"=~?")</f>
        <v>0</v>
      </c>
      <c r="E1303" s="2">
        <f>COUNTIF(contact[[#This Row],[Bagossy]:[Szo
03:00 - 10:00]],"=x")</f>
        <v>0</v>
      </c>
      <c r="F1303" s="2">
        <f>SUM(contact[[#This Row],[?]:[x]])</f>
        <v>0</v>
      </c>
      <c r="G13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3" s="3" t="s">
        <v>3189</v>
      </c>
      <c r="K1303" s="1" t="s">
        <v>1586</v>
      </c>
      <c r="L1303" s="1" t="s">
        <v>2</v>
      </c>
      <c r="M1303" s="1" t="s">
        <v>2</v>
      </c>
      <c r="O1303" s="2"/>
      <c r="P1303" s="2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</row>
    <row r="1304" spans="1:32" s="1" customFormat="1" ht="20.25" customHeight="1" x14ac:dyDescent="0.25">
      <c r="A1304" s="2"/>
      <c r="B1304" s="2"/>
      <c r="C1304" s="2"/>
      <c r="D1304" s="2">
        <f>COUNTIF(contact[[#This Row],[Bagossy]:[Szo
03:00 - 10:00]],"=~?")</f>
        <v>0</v>
      </c>
      <c r="E1304" s="2">
        <f>COUNTIF(contact[[#This Row],[Bagossy]:[Szo
03:00 - 10:00]],"=x")</f>
        <v>0</v>
      </c>
      <c r="F1304" s="2">
        <f>SUM(contact[[#This Row],[?]:[x]])</f>
        <v>0</v>
      </c>
      <c r="G13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4" s="3" t="s">
        <v>3650</v>
      </c>
      <c r="K1304" s="1" t="s">
        <v>2</v>
      </c>
      <c r="L1304" s="1" t="s">
        <v>2</v>
      </c>
      <c r="M1304" s="1" t="s">
        <v>2</v>
      </c>
      <c r="O1304" s="2"/>
      <c r="P1304" s="2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</row>
    <row r="1305" spans="1:32" s="1" customFormat="1" ht="20.25" customHeight="1" x14ac:dyDescent="0.25">
      <c r="A1305" s="2"/>
      <c r="B1305" s="2"/>
      <c r="C1305" s="2" t="s">
        <v>1285</v>
      </c>
      <c r="D1305" s="2">
        <f>COUNTIF(contact[[#This Row],[Bagossy]:[Szo
03:00 - 10:00]],"=~?")</f>
        <v>0</v>
      </c>
      <c r="E1305" s="2">
        <f>COUNTIF(contact[[#This Row],[Bagossy]:[Szo
03:00 - 10:00]],"=x")</f>
        <v>0</v>
      </c>
      <c r="F1305" s="2">
        <f>SUM(contact[[#This Row],[?]:[x]])</f>
        <v>0</v>
      </c>
      <c r="G13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05" s="2" t="s">
        <v>4616</v>
      </c>
      <c r="I1305" s="2"/>
      <c r="J1305" s="3" t="s">
        <v>3153</v>
      </c>
      <c r="K1305" s="1" t="s">
        <v>305</v>
      </c>
      <c r="L1305" s="1" t="s">
        <v>2</v>
      </c>
      <c r="M1305" s="1" t="s">
        <v>2</v>
      </c>
      <c r="O1305" s="2"/>
      <c r="P1305" s="2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</row>
    <row r="1306" spans="1:32" s="1" customFormat="1" ht="20.25" customHeight="1" x14ac:dyDescent="0.25">
      <c r="A1306" s="2"/>
      <c r="B1306" s="2"/>
      <c r="C1306" s="2"/>
      <c r="D1306" s="2">
        <f>COUNTIF(contact[[#This Row],[Bagossy]:[Szo
03:00 - 10:00]],"=~?")</f>
        <v>0</v>
      </c>
      <c r="E1306" s="2">
        <f>COUNTIF(contact[[#This Row],[Bagossy]:[Szo
03:00 - 10:00]],"=x")</f>
        <v>0</v>
      </c>
      <c r="F1306" s="2">
        <f>SUM(contact[[#This Row],[?]:[x]])</f>
        <v>0</v>
      </c>
      <c r="G13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6" s="3" t="s">
        <v>4462</v>
      </c>
      <c r="K1306" s="1" t="s">
        <v>1247</v>
      </c>
      <c r="L1306" s="1" t="s">
        <v>2</v>
      </c>
      <c r="M1306" s="1" t="s">
        <v>2</v>
      </c>
      <c r="O1306" s="2"/>
      <c r="P1306" s="2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</row>
    <row r="1307" spans="1:32" s="1" customFormat="1" ht="20.25" customHeight="1" x14ac:dyDescent="0.25">
      <c r="A1307" s="2"/>
      <c r="B1307" s="2"/>
      <c r="C1307" s="2"/>
      <c r="D1307" s="2">
        <f>COUNTIF(contact[[#This Row],[Bagossy]:[Szo
03:00 - 10:00]],"=~?")</f>
        <v>0</v>
      </c>
      <c r="E1307" s="2">
        <f>COUNTIF(contact[[#This Row],[Bagossy]:[Szo
03:00 - 10:00]],"=x")</f>
        <v>0</v>
      </c>
      <c r="F1307" s="2">
        <f>SUM(contact[[#This Row],[?]:[x]])</f>
        <v>0</v>
      </c>
      <c r="G13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7" s="3" t="s">
        <v>1988</v>
      </c>
      <c r="K1307" s="1" t="s">
        <v>55</v>
      </c>
      <c r="L1307" s="1" t="s">
        <v>2</v>
      </c>
      <c r="M1307" s="1" t="s">
        <v>2</v>
      </c>
      <c r="O1307" s="2"/>
      <c r="P1307" s="2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</row>
    <row r="1308" spans="1:32" s="1" customFormat="1" ht="20.25" customHeight="1" x14ac:dyDescent="0.25">
      <c r="A1308" s="2"/>
      <c r="B1308" s="2"/>
      <c r="C1308" s="2"/>
      <c r="D1308" s="2">
        <f>COUNTIF(contact[[#This Row],[Bagossy]:[Szo
03:00 - 10:00]],"=~?")</f>
        <v>0</v>
      </c>
      <c r="E1308" s="2">
        <f>COUNTIF(contact[[#This Row],[Bagossy]:[Szo
03:00 - 10:00]],"=x")</f>
        <v>0</v>
      </c>
      <c r="F1308" s="2">
        <f>SUM(contact[[#This Row],[?]:[x]])</f>
        <v>0</v>
      </c>
      <c r="G13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8" s="3" t="s">
        <v>2515</v>
      </c>
      <c r="K1308" s="1" t="s">
        <v>349</v>
      </c>
      <c r="L1308" s="1" t="s">
        <v>2</v>
      </c>
      <c r="M1308" s="1" t="s">
        <v>2</v>
      </c>
      <c r="O1308" s="2"/>
      <c r="P1308" s="2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</row>
    <row r="1309" spans="1:32" s="1" customFormat="1" ht="20.25" customHeight="1" x14ac:dyDescent="0.25">
      <c r="A1309" s="2"/>
      <c r="B1309" s="2"/>
      <c r="C1309" s="2"/>
      <c r="D1309" s="2">
        <f>COUNTIF(contact[[#This Row],[Bagossy]:[Szo
03:00 - 10:00]],"=~?")</f>
        <v>0</v>
      </c>
      <c r="E1309" s="2">
        <f>COUNTIF(contact[[#This Row],[Bagossy]:[Szo
03:00 - 10:00]],"=x")</f>
        <v>0</v>
      </c>
      <c r="F1309" s="2">
        <f>SUM(contact[[#This Row],[?]:[x]])</f>
        <v>0</v>
      </c>
      <c r="G13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09" s="3" t="s">
        <v>4539</v>
      </c>
      <c r="K1309" s="1" t="s">
        <v>2</v>
      </c>
      <c r="L1309" s="1" t="s">
        <v>2</v>
      </c>
      <c r="M1309" s="1" t="s">
        <v>2</v>
      </c>
      <c r="O1309" s="2"/>
      <c r="P1309" s="2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</row>
    <row r="1310" spans="1:32" s="1" customFormat="1" ht="20.25" customHeight="1" x14ac:dyDescent="0.25">
      <c r="A1310" s="2"/>
      <c r="B1310" s="2"/>
      <c r="C1310" s="2"/>
      <c r="D1310" s="2">
        <f>COUNTIF(contact[[#This Row],[Bagossy]:[Szo
03:00 - 10:00]],"=~?")</f>
        <v>0</v>
      </c>
      <c r="E1310" s="2">
        <f>COUNTIF(contact[[#This Row],[Bagossy]:[Szo
03:00 - 10:00]],"=x")</f>
        <v>0</v>
      </c>
      <c r="F1310" s="2">
        <f>SUM(contact[[#This Row],[?]:[x]])</f>
        <v>0</v>
      </c>
      <c r="G13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0" s="3" t="s">
        <v>4357</v>
      </c>
      <c r="K1310" s="1" t="s">
        <v>325</v>
      </c>
      <c r="L1310" s="1" t="s">
        <v>2</v>
      </c>
      <c r="M1310" s="1" t="s">
        <v>2</v>
      </c>
      <c r="O1310" s="2"/>
      <c r="P1310" s="2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</row>
    <row r="1311" spans="1:32" s="1" customFormat="1" ht="20.25" customHeight="1" x14ac:dyDescent="0.25">
      <c r="A1311" s="2"/>
      <c r="B1311" s="2"/>
      <c r="C1311" s="2"/>
      <c r="D1311" s="2">
        <f>COUNTIF(contact[[#This Row],[Bagossy]:[Szo
03:00 - 10:00]],"=~?")</f>
        <v>0</v>
      </c>
      <c r="E1311" s="2">
        <f>COUNTIF(contact[[#This Row],[Bagossy]:[Szo
03:00 - 10:00]],"=x")</f>
        <v>0</v>
      </c>
      <c r="F1311" s="2">
        <f>SUM(contact[[#This Row],[?]:[x]])</f>
        <v>0</v>
      </c>
      <c r="G13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1" s="3" t="s">
        <v>3991</v>
      </c>
      <c r="K1311" s="1" t="s">
        <v>1754</v>
      </c>
      <c r="L1311" s="1" t="s">
        <v>2</v>
      </c>
      <c r="M1311" s="1" t="s">
        <v>2</v>
      </c>
      <c r="O1311" s="2"/>
      <c r="P1311" s="2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</row>
    <row r="1312" spans="1:32" s="1" customFormat="1" ht="20.25" customHeight="1" x14ac:dyDescent="0.25">
      <c r="A1312" s="2"/>
      <c r="B1312" s="2"/>
      <c r="C1312" s="2"/>
      <c r="D1312" s="2">
        <f>COUNTIF(contact[[#This Row],[Bagossy]:[Szo
03:00 - 10:00]],"=~?")</f>
        <v>0</v>
      </c>
      <c r="E1312" s="2">
        <f>COUNTIF(contact[[#This Row],[Bagossy]:[Szo
03:00 - 10:00]],"=x")</f>
        <v>0</v>
      </c>
      <c r="F1312" s="2">
        <f>SUM(contact[[#This Row],[?]:[x]])</f>
        <v>0</v>
      </c>
      <c r="G13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2" s="3" t="s">
        <v>2892</v>
      </c>
      <c r="K1312" s="1" t="s">
        <v>544</v>
      </c>
      <c r="L1312" s="1" t="s">
        <v>2</v>
      </c>
      <c r="M1312" s="1" t="s">
        <v>2</v>
      </c>
      <c r="O1312" s="2"/>
      <c r="P1312" s="2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</row>
    <row r="1313" spans="1:32" s="1" customFormat="1" ht="20.25" customHeight="1" x14ac:dyDescent="0.25">
      <c r="A1313" s="2"/>
      <c r="B1313" s="2"/>
      <c r="C1313" s="2"/>
      <c r="D1313" s="2">
        <f>COUNTIF(contact[[#This Row],[Bagossy]:[Szo
03:00 - 10:00]],"=~?")</f>
        <v>0</v>
      </c>
      <c r="E1313" s="2">
        <f>COUNTIF(contact[[#This Row],[Bagossy]:[Szo
03:00 - 10:00]],"=x")</f>
        <v>0</v>
      </c>
      <c r="F1313" s="2">
        <f>SUM(contact[[#This Row],[?]:[x]])</f>
        <v>0</v>
      </c>
      <c r="G13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3" s="3" t="s">
        <v>4540</v>
      </c>
      <c r="K1313" s="1" t="s">
        <v>465</v>
      </c>
      <c r="L1313" s="1" t="s">
        <v>2</v>
      </c>
      <c r="M1313" s="1" t="s">
        <v>2</v>
      </c>
      <c r="O1313" s="2"/>
      <c r="P1313" s="2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</row>
    <row r="1314" spans="1:32" s="1" customFormat="1" ht="20.25" customHeight="1" x14ac:dyDescent="0.25">
      <c r="A1314" s="2"/>
      <c r="B1314" s="2"/>
      <c r="C1314" s="2"/>
      <c r="D1314" s="2">
        <f>COUNTIF(contact[[#This Row],[Bagossy]:[Szo
03:00 - 10:00]],"=~?")</f>
        <v>0</v>
      </c>
      <c r="E1314" s="2">
        <f>COUNTIF(contact[[#This Row],[Bagossy]:[Szo
03:00 - 10:00]],"=x")</f>
        <v>0</v>
      </c>
      <c r="F1314" s="2">
        <f>SUM(contact[[#This Row],[?]:[x]])</f>
        <v>0</v>
      </c>
      <c r="G13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4" s="3" t="s">
        <v>714</v>
      </c>
      <c r="K1314" s="1" t="s">
        <v>2</v>
      </c>
      <c r="L1314" s="1" t="s">
        <v>2</v>
      </c>
      <c r="M1314" s="1" t="s">
        <v>2</v>
      </c>
      <c r="O1314" s="2"/>
      <c r="P1314" s="2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</row>
    <row r="1315" spans="1:32" s="1" customFormat="1" ht="20.25" customHeight="1" x14ac:dyDescent="0.25">
      <c r="A1315" s="2"/>
      <c r="B1315" s="2"/>
      <c r="C1315" s="2"/>
      <c r="D1315" s="2">
        <f>COUNTIF(contact[[#This Row],[Bagossy]:[Szo
03:00 - 10:00]],"=~?")</f>
        <v>0</v>
      </c>
      <c r="E1315" s="2">
        <f>COUNTIF(contact[[#This Row],[Bagossy]:[Szo
03:00 - 10:00]],"=x")</f>
        <v>0</v>
      </c>
      <c r="F1315" s="2">
        <f>SUM(contact[[#This Row],[?]:[x]])</f>
        <v>0</v>
      </c>
      <c r="G13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5" s="3" t="s">
        <v>2469</v>
      </c>
      <c r="K1315" s="1" t="s">
        <v>1394</v>
      </c>
      <c r="L1315" s="1" t="s">
        <v>2</v>
      </c>
      <c r="M1315" s="1" t="s">
        <v>2</v>
      </c>
      <c r="O1315" s="2"/>
      <c r="P1315" s="2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</row>
    <row r="1316" spans="1:32" s="1" customFormat="1" ht="20.25" customHeight="1" x14ac:dyDescent="0.25">
      <c r="A1316" s="2"/>
      <c r="B1316" s="2"/>
      <c r="C1316" s="2"/>
      <c r="D1316" s="2">
        <f>COUNTIF(contact[[#This Row],[Bagossy]:[Szo
03:00 - 10:00]],"=~?")</f>
        <v>0</v>
      </c>
      <c r="E1316" s="2">
        <f>COUNTIF(contact[[#This Row],[Bagossy]:[Szo
03:00 - 10:00]],"=x")</f>
        <v>0</v>
      </c>
      <c r="F1316" s="2">
        <f>SUM(contact[[#This Row],[?]:[x]])</f>
        <v>0</v>
      </c>
      <c r="G13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16" s="2"/>
      <c r="I1316" s="2"/>
      <c r="J1316" s="3" t="s">
        <v>3155</v>
      </c>
      <c r="K1316" s="1" t="s">
        <v>6</v>
      </c>
      <c r="L1316" s="1" t="s">
        <v>2</v>
      </c>
      <c r="M1316" s="1" t="s">
        <v>2</v>
      </c>
      <c r="O1316" s="2"/>
      <c r="P1316" s="2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</row>
    <row r="1317" spans="1:32" s="1" customFormat="1" ht="20.25" customHeight="1" x14ac:dyDescent="0.25">
      <c r="A1317" s="2"/>
      <c r="B1317" s="2"/>
      <c r="C1317" s="2"/>
      <c r="D1317" s="2">
        <f>COUNTIF(contact[[#This Row],[Bagossy]:[Szo
03:00 - 10:00]],"=~?")</f>
        <v>0</v>
      </c>
      <c r="E1317" s="2">
        <f>COUNTIF(contact[[#This Row],[Bagossy]:[Szo
03:00 - 10:00]],"=x")</f>
        <v>0</v>
      </c>
      <c r="F1317" s="2">
        <f>SUM(contact[[#This Row],[?]:[x]])</f>
        <v>0</v>
      </c>
      <c r="G13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7" s="3" t="s">
        <v>4409</v>
      </c>
      <c r="K1317" s="1" t="s">
        <v>1853</v>
      </c>
      <c r="L1317" s="1" t="s">
        <v>2</v>
      </c>
      <c r="M1317" s="1" t="s">
        <v>2</v>
      </c>
      <c r="O1317" s="2"/>
      <c r="P1317" s="2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</row>
    <row r="1318" spans="1:32" s="1" customFormat="1" ht="20.25" customHeight="1" x14ac:dyDescent="0.25">
      <c r="A1318" s="2"/>
      <c r="B1318" s="2"/>
      <c r="C1318" s="2"/>
      <c r="D1318" s="2">
        <f>COUNTIF(contact[[#This Row],[Bagossy]:[Szo
03:00 - 10:00]],"=~?")</f>
        <v>0</v>
      </c>
      <c r="E1318" s="2">
        <f>COUNTIF(contact[[#This Row],[Bagossy]:[Szo
03:00 - 10:00]],"=x")</f>
        <v>0</v>
      </c>
      <c r="F1318" s="2">
        <f>SUM(contact[[#This Row],[?]:[x]])</f>
        <v>0</v>
      </c>
      <c r="G13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8" s="3" t="s">
        <v>2843</v>
      </c>
      <c r="K1318" s="1" t="s">
        <v>525</v>
      </c>
      <c r="L1318" s="1" t="s">
        <v>2</v>
      </c>
      <c r="M1318" s="1" t="s">
        <v>2</v>
      </c>
      <c r="O1318" s="2"/>
      <c r="P1318" s="2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</row>
    <row r="1319" spans="1:32" s="1" customFormat="1" ht="20.25" customHeight="1" x14ac:dyDescent="0.25">
      <c r="A1319" s="2"/>
      <c r="B1319" s="2"/>
      <c r="C1319" s="2"/>
      <c r="D1319" s="2">
        <f>COUNTIF(contact[[#This Row],[Bagossy]:[Szo
03:00 - 10:00]],"=~?")</f>
        <v>0</v>
      </c>
      <c r="E1319" s="2">
        <f>COUNTIF(contact[[#This Row],[Bagossy]:[Szo
03:00 - 10:00]],"=x")</f>
        <v>0</v>
      </c>
      <c r="F1319" s="2">
        <f>SUM(contact[[#This Row],[?]:[x]])</f>
        <v>0</v>
      </c>
      <c r="G13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19" s="3" t="s">
        <v>3001</v>
      </c>
      <c r="K1319" s="1" t="s">
        <v>599</v>
      </c>
      <c r="L1319" s="1" t="s">
        <v>2</v>
      </c>
      <c r="M1319" s="1" t="s">
        <v>2</v>
      </c>
      <c r="O1319" s="2"/>
      <c r="P1319" s="2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</row>
    <row r="1320" spans="1:32" s="1" customFormat="1" ht="20.25" customHeight="1" x14ac:dyDescent="0.25">
      <c r="A1320" s="2"/>
      <c r="B1320" s="2"/>
      <c r="C1320" s="2"/>
      <c r="D1320" s="2">
        <f>COUNTIF(contact[[#This Row],[Bagossy]:[Szo
03:00 - 10:00]],"=~?")</f>
        <v>0</v>
      </c>
      <c r="E1320" s="2">
        <f>COUNTIF(contact[[#This Row],[Bagossy]:[Szo
03:00 - 10:00]],"=x")</f>
        <v>0</v>
      </c>
      <c r="F1320" s="2">
        <f>SUM(contact[[#This Row],[?]:[x]])</f>
        <v>0</v>
      </c>
      <c r="G13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0" s="3" t="s">
        <v>4168</v>
      </c>
      <c r="K1320" s="1" t="s">
        <v>2</v>
      </c>
      <c r="L1320" s="1" t="s">
        <v>2</v>
      </c>
      <c r="M1320" s="1" t="s">
        <v>2</v>
      </c>
      <c r="O1320" s="2"/>
      <c r="P1320" s="2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</row>
    <row r="1321" spans="1:32" s="1" customFormat="1" ht="20.25" customHeight="1" x14ac:dyDescent="0.25">
      <c r="A1321" s="2"/>
      <c r="B1321" s="2"/>
      <c r="C1321" s="2"/>
      <c r="D1321" s="2">
        <f>COUNTIF(contact[[#This Row],[Bagossy]:[Szo
03:00 - 10:00]],"=~?")</f>
        <v>0</v>
      </c>
      <c r="E1321" s="2">
        <f>COUNTIF(contact[[#This Row],[Bagossy]:[Szo
03:00 - 10:00]],"=x")</f>
        <v>0</v>
      </c>
      <c r="F1321" s="2">
        <f>SUM(contact[[#This Row],[?]:[x]])</f>
        <v>0</v>
      </c>
      <c r="G13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1" s="3" t="s">
        <v>3235</v>
      </c>
      <c r="K1321" s="1" t="s">
        <v>701</v>
      </c>
      <c r="L1321" s="1" t="s">
        <v>2</v>
      </c>
      <c r="M1321" s="1" t="s">
        <v>2</v>
      </c>
      <c r="O1321" s="2"/>
      <c r="P1321" s="2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</row>
    <row r="1322" spans="1:32" s="1" customFormat="1" ht="20.25" customHeight="1" x14ac:dyDescent="0.25">
      <c r="A1322" s="2"/>
      <c r="B1322" s="2"/>
      <c r="C1322" s="2"/>
      <c r="D1322" s="2">
        <f>COUNTIF(contact[[#This Row],[Bagossy]:[Szo
03:00 - 10:00]],"=~?")</f>
        <v>0</v>
      </c>
      <c r="E1322" s="2">
        <f>COUNTIF(contact[[#This Row],[Bagossy]:[Szo
03:00 - 10:00]],"=x")</f>
        <v>0</v>
      </c>
      <c r="F1322" s="2">
        <f>SUM(contact[[#This Row],[?]:[x]])</f>
        <v>0</v>
      </c>
      <c r="G13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2" s="3" t="s">
        <v>2530</v>
      </c>
      <c r="K1322" s="1" t="s">
        <v>1439</v>
      </c>
      <c r="L1322" s="1" t="s">
        <v>2</v>
      </c>
      <c r="M1322" s="1" t="s">
        <v>2</v>
      </c>
      <c r="O1322" s="2"/>
      <c r="P1322" s="2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</row>
    <row r="1323" spans="1:32" s="1" customFormat="1" ht="20.25" customHeight="1" x14ac:dyDescent="0.25">
      <c r="A1323" s="2"/>
      <c r="B1323" s="2"/>
      <c r="C1323" s="2"/>
      <c r="D1323" s="2">
        <f>COUNTIF(contact[[#This Row],[Bagossy]:[Szo
03:00 - 10:00]],"=~?")</f>
        <v>0</v>
      </c>
      <c r="E1323" s="2">
        <f>COUNTIF(contact[[#This Row],[Bagossy]:[Szo
03:00 - 10:00]],"=x")</f>
        <v>0</v>
      </c>
      <c r="F1323" s="2">
        <f>SUM(contact[[#This Row],[?]:[x]])</f>
        <v>0</v>
      </c>
      <c r="G13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3" s="3" t="s">
        <v>3536</v>
      </c>
      <c r="K1323" s="1" t="s">
        <v>832</v>
      </c>
      <c r="L1323" s="1" t="s">
        <v>2</v>
      </c>
      <c r="M1323" s="1" t="s">
        <v>2</v>
      </c>
      <c r="O1323" s="2"/>
      <c r="P1323" s="2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</row>
    <row r="1324" spans="1:32" s="1" customFormat="1" ht="20.25" customHeight="1" x14ac:dyDescent="0.25">
      <c r="A1324" s="2"/>
      <c r="B1324" s="2"/>
      <c r="C1324" s="2"/>
      <c r="D1324" s="2">
        <f>COUNTIF(contact[[#This Row],[Bagossy]:[Szo
03:00 - 10:00]],"=~?")</f>
        <v>0</v>
      </c>
      <c r="E1324" s="2">
        <f>COUNTIF(contact[[#This Row],[Bagossy]:[Szo
03:00 - 10:00]],"=x")</f>
        <v>0</v>
      </c>
      <c r="F1324" s="2">
        <f>SUM(contact[[#This Row],[?]:[x]])</f>
        <v>0</v>
      </c>
      <c r="G13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4" s="3" t="s">
        <v>3753</v>
      </c>
      <c r="K1324" s="1" t="s">
        <v>1293</v>
      </c>
      <c r="L1324" s="1" t="s">
        <v>2</v>
      </c>
      <c r="M1324" s="1" t="s">
        <v>2</v>
      </c>
      <c r="O1324" s="2"/>
      <c r="P1324" s="2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</row>
    <row r="1325" spans="1:32" s="1" customFormat="1" ht="20.25" customHeight="1" x14ac:dyDescent="0.25">
      <c r="A1325" s="2"/>
      <c r="B1325" s="2"/>
      <c r="C1325" s="2"/>
      <c r="D1325" s="2">
        <f>COUNTIF(contact[[#This Row],[Bagossy]:[Szo
03:00 - 10:00]],"=~?")</f>
        <v>0</v>
      </c>
      <c r="E1325" s="2">
        <f>COUNTIF(contact[[#This Row],[Bagossy]:[Szo
03:00 - 10:00]],"=x")</f>
        <v>0</v>
      </c>
      <c r="F1325" s="2">
        <f>SUM(contact[[#This Row],[?]:[x]])</f>
        <v>0</v>
      </c>
      <c r="G13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5" s="3" t="s">
        <v>4463</v>
      </c>
      <c r="K1325" s="1" t="s">
        <v>1867</v>
      </c>
      <c r="L1325" s="1" t="s">
        <v>2</v>
      </c>
      <c r="M1325" s="1" t="s">
        <v>2</v>
      </c>
      <c r="O1325" s="2"/>
      <c r="P1325" s="2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</row>
    <row r="1326" spans="1:32" s="1" customFormat="1" ht="20.25" customHeight="1" x14ac:dyDescent="0.25">
      <c r="A1326" s="2"/>
      <c r="B1326" s="2"/>
      <c r="C1326" s="2"/>
      <c r="D1326" s="2">
        <f>COUNTIF(contact[[#This Row],[Bagossy]:[Szo
03:00 - 10:00]],"=~?")</f>
        <v>0</v>
      </c>
      <c r="E1326" s="2">
        <f>COUNTIF(contact[[#This Row],[Bagossy]:[Szo
03:00 - 10:00]],"=x")</f>
        <v>0</v>
      </c>
      <c r="F1326" s="2">
        <f>SUM(contact[[#This Row],[?]:[x]])</f>
        <v>0</v>
      </c>
      <c r="G13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6" s="3" t="s">
        <v>2379</v>
      </c>
      <c r="K1326" s="1" t="s">
        <v>116</v>
      </c>
      <c r="L1326" s="1" t="s">
        <v>2</v>
      </c>
      <c r="M1326" s="1" t="s">
        <v>2</v>
      </c>
      <c r="O1326" s="2"/>
      <c r="P1326" s="2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</row>
    <row r="1327" spans="1:32" s="1" customFormat="1" ht="20.25" customHeight="1" x14ac:dyDescent="0.25">
      <c r="A1327" s="2"/>
      <c r="B1327" s="2"/>
      <c r="C1327" s="2"/>
      <c r="D1327" s="2">
        <f>COUNTIF(contact[[#This Row],[Bagossy]:[Szo
03:00 - 10:00]],"=~?")</f>
        <v>0</v>
      </c>
      <c r="E1327" s="2">
        <f>COUNTIF(contact[[#This Row],[Bagossy]:[Szo
03:00 - 10:00]],"=x")</f>
        <v>0</v>
      </c>
      <c r="F1327" s="2">
        <f>SUM(contact[[#This Row],[?]:[x]])</f>
        <v>0</v>
      </c>
      <c r="G13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7" s="3" t="s">
        <v>724</v>
      </c>
      <c r="K1327" s="1" t="s">
        <v>2</v>
      </c>
      <c r="L1327" s="1" t="s">
        <v>2</v>
      </c>
      <c r="M1327" s="1" t="s">
        <v>2</v>
      </c>
      <c r="O1327" s="2"/>
      <c r="P1327" s="2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</row>
    <row r="1328" spans="1:32" s="1" customFormat="1" ht="20.25" customHeight="1" x14ac:dyDescent="0.25">
      <c r="A1328" s="2"/>
      <c r="B1328" s="2"/>
      <c r="C1328" s="2"/>
      <c r="D1328" s="2">
        <f>COUNTIF(contact[[#This Row],[Bagossy]:[Szo
03:00 - 10:00]],"=~?")</f>
        <v>0</v>
      </c>
      <c r="E1328" s="2">
        <f>COUNTIF(contact[[#This Row],[Bagossy]:[Szo
03:00 - 10:00]],"=x")</f>
        <v>0</v>
      </c>
      <c r="F1328" s="2">
        <f>SUM(contact[[#This Row],[?]:[x]])</f>
        <v>0</v>
      </c>
      <c r="G13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8" s="3" t="s">
        <v>3300</v>
      </c>
      <c r="K1328" s="1" t="s">
        <v>2</v>
      </c>
      <c r="L1328" s="1" t="s">
        <v>2</v>
      </c>
      <c r="M1328" s="1" t="s">
        <v>2</v>
      </c>
      <c r="O1328" s="2"/>
      <c r="P1328" s="2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</row>
    <row r="1329" spans="1:32" s="1" customFormat="1" ht="20.25" customHeight="1" x14ac:dyDescent="0.25">
      <c r="A1329" s="2"/>
      <c r="B1329" s="2"/>
      <c r="C1329" s="2"/>
      <c r="D1329" s="2">
        <f>COUNTIF(contact[[#This Row],[Bagossy]:[Szo
03:00 - 10:00]],"=~?")</f>
        <v>0</v>
      </c>
      <c r="E1329" s="2">
        <f>COUNTIF(contact[[#This Row],[Bagossy]:[Szo
03:00 - 10:00]],"=x")</f>
        <v>0</v>
      </c>
      <c r="F1329" s="2">
        <f>SUM(contact[[#This Row],[?]:[x]])</f>
        <v>0</v>
      </c>
      <c r="G13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29" s="3" t="s">
        <v>3659</v>
      </c>
      <c r="K1329" s="1" t="s">
        <v>2</v>
      </c>
      <c r="L1329" s="1" t="s">
        <v>2</v>
      </c>
      <c r="M1329" s="1" t="s">
        <v>2</v>
      </c>
      <c r="O1329" s="2"/>
      <c r="P1329" s="2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</row>
    <row r="1330" spans="1:32" s="1" customFormat="1" ht="20.25" customHeight="1" x14ac:dyDescent="0.25">
      <c r="A1330" s="2"/>
      <c r="B1330" s="2"/>
      <c r="C1330" s="2"/>
      <c r="D1330" s="2">
        <f>COUNTIF(contact[[#This Row],[Bagossy]:[Szo
03:00 - 10:00]],"=~?")</f>
        <v>0</v>
      </c>
      <c r="E1330" s="2">
        <f>COUNTIF(contact[[#This Row],[Bagossy]:[Szo
03:00 - 10:00]],"=x")</f>
        <v>0</v>
      </c>
      <c r="F1330" s="2">
        <f>SUM(contact[[#This Row],[?]:[x]])</f>
        <v>0</v>
      </c>
      <c r="G13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0" s="3" t="s">
        <v>2306</v>
      </c>
      <c r="K1330" s="1" t="s">
        <v>235</v>
      </c>
      <c r="L1330" s="1" t="s">
        <v>2</v>
      </c>
      <c r="M1330" s="1" t="s">
        <v>2</v>
      </c>
      <c r="O1330" s="2"/>
      <c r="P1330" s="2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</row>
    <row r="1331" spans="1:32" s="1" customFormat="1" ht="20.25" customHeight="1" x14ac:dyDescent="0.25">
      <c r="A1331" s="2"/>
      <c r="B1331" s="2"/>
      <c r="C1331" s="2"/>
      <c r="D1331" s="2">
        <f>COUNTIF(contact[[#This Row],[Bagossy]:[Szo
03:00 - 10:00]],"=~?")</f>
        <v>0</v>
      </c>
      <c r="E1331" s="2">
        <f>COUNTIF(contact[[#This Row],[Bagossy]:[Szo
03:00 - 10:00]],"=x")</f>
        <v>0</v>
      </c>
      <c r="F1331" s="2">
        <f>SUM(contact[[#This Row],[?]:[x]])</f>
        <v>0</v>
      </c>
      <c r="G13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1" s="3" t="s">
        <v>729</v>
      </c>
      <c r="K1331" s="1" t="s">
        <v>55</v>
      </c>
      <c r="L1331" s="1" t="s">
        <v>2</v>
      </c>
      <c r="M1331" s="1" t="s">
        <v>2</v>
      </c>
      <c r="O1331" s="2"/>
      <c r="P1331" s="2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</row>
    <row r="1332" spans="1:32" s="1" customFormat="1" ht="20.25" customHeight="1" x14ac:dyDescent="0.25">
      <c r="A1332" s="2"/>
      <c r="B1332" s="2"/>
      <c r="C1332" s="2"/>
      <c r="D1332" s="2">
        <f>COUNTIF(contact[[#This Row],[Bagossy]:[Szo
03:00 - 10:00]],"=~?")</f>
        <v>0</v>
      </c>
      <c r="E1332" s="2">
        <f>COUNTIF(contact[[#This Row],[Bagossy]:[Szo
03:00 - 10:00]],"=x")</f>
        <v>0</v>
      </c>
      <c r="F1332" s="2">
        <f>SUM(contact[[#This Row],[?]:[x]])</f>
        <v>0</v>
      </c>
      <c r="G13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2" s="3" t="s">
        <v>2038</v>
      </c>
      <c r="K1332" s="1" t="s">
        <v>34</v>
      </c>
      <c r="L1332" s="1" t="s">
        <v>2</v>
      </c>
      <c r="M1332" s="1" t="s">
        <v>2</v>
      </c>
      <c r="O1332" s="2"/>
      <c r="P1332" s="2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</row>
    <row r="1333" spans="1:32" s="1" customFormat="1" ht="20.25" customHeight="1" x14ac:dyDescent="0.25">
      <c r="A1333" s="2"/>
      <c r="B1333" s="2"/>
      <c r="C1333" s="2"/>
      <c r="D1333" s="2">
        <f>COUNTIF(contact[[#This Row],[Bagossy]:[Szo
03:00 - 10:00]],"=~?")</f>
        <v>0</v>
      </c>
      <c r="E1333" s="2">
        <f>COUNTIF(contact[[#This Row],[Bagossy]:[Szo
03:00 - 10:00]],"=x")</f>
        <v>0</v>
      </c>
      <c r="F1333" s="2">
        <f>SUM(contact[[#This Row],[?]:[x]])</f>
        <v>0</v>
      </c>
      <c r="G13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3" s="3" t="s">
        <v>1926</v>
      </c>
      <c r="K1333" s="1" t="s">
        <v>2</v>
      </c>
      <c r="L1333" s="1" t="s">
        <v>2</v>
      </c>
      <c r="M1333" s="1" t="s">
        <v>2</v>
      </c>
      <c r="O1333" s="2"/>
      <c r="P1333" s="2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</row>
    <row r="1334" spans="1:32" s="1" customFormat="1" ht="20.25" customHeight="1" x14ac:dyDescent="0.25">
      <c r="A1334" s="2"/>
      <c r="B1334" s="2"/>
      <c r="C1334" s="2"/>
      <c r="D1334" s="2">
        <f>COUNTIF(contact[[#This Row],[Bagossy]:[Szo
03:00 - 10:00]],"=~?")</f>
        <v>0</v>
      </c>
      <c r="E1334" s="2">
        <f>COUNTIF(contact[[#This Row],[Bagossy]:[Szo
03:00 - 10:00]],"=x")</f>
        <v>0</v>
      </c>
      <c r="F1334" s="2">
        <f>SUM(contact[[#This Row],[?]:[x]])</f>
        <v>0</v>
      </c>
      <c r="G13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4" s="3" t="s">
        <v>2947</v>
      </c>
      <c r="K1334" s="1" t="s">
        <v>1327</v>
      </c>
      <c r="L1334" s="1" t="s">
        <v>2</v>
      </c>
      <c r="M1334" s="1" t="s">
        <v>2</v>
      </c>
      <c r="O1334" s="2"/>
      <c r="P1334" s="2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</row>
    <row r="1335" spans="1:32" s="1" customFormat="1" ht="20.25" customHeight="1" x14ac:dyDescent="0.25">
      <c r="A1335" s="2"/>
      <c r="B1335" s="2"/>
      <c r="C1335" s="2"/>
      <c r="D1335" s="2">
        <f>COUNTIF(contact[[#This Row],[Bagossy]:[Szo
03:00 - 10:00]],"=~?")</f>
        <v>0</v>
      </c>
      <c r="E1335" s="2">
        <f>COUNTIF(contact[[#This Row],[Bagossy]:[Szo
03:00 - 10:00]],"=x")</f>
        <v>0</v>
      </c>
      <c r="F1335" s="2">
        <f>SUM(contact[[#This Row],[?]:[x]])</f>
        <v>0</v>
      </c>
      <c r="G13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5" s="3" t="s">
        <v>3336</v>
      </c>
      <c r="K1335" s="1" t="s">
        <v>2</v>
      </c>
      <c r="L1335" s="1" t="s">
        <v>2</v>
      </c>
      <c r="M1335" s="1" t="s">
        <v>2</v>
      </c>
      <c r="O1335" s="2"/>
      <c r="P1335" s="2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</row>
    <row r="1336" spans="1:32" s="1" customFormat="1" ht="20.25" customHeight="1" x14ac:dyDescent="0.25">
      <c r="A1336" s="2"/>
      <c r="B1336" s="2"/>
      <c r="C1336" s="2"/>
      <c r="D1336" s="2">
        <f>COUNTIF(contact[[#This Row],[Bagossy]:[Szo
03:00 - 10:00]],"=~?")</f>
        <v>0</v>
      </c>
      <c r="E1336" s="2">
        <f>COUNTIF(contact[[#This Row],[Bagossy]:[Szo
03:00 - 10:00]],"=x")</f>
        <v>0</v>
      </c>
      <c r="F1336" s="2">
        <f>SUM(contact[[#This Row],[?]:[x]])</f>
        <v>0</v>
      </c>
      <c r="G13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6" s="3" t="s">
        <v>4010</v>
      </c>
      <c r="K1336" s="1" t="s">
        <v>2</v>
      </c>
      <c r="L1336" s="1" t="s">
        <v>2</v>
      </c>
      <c r="M1336" s="1" t="s">
        <v>2</v>
      </c>
      <c r="O1336" s="2"/>
      <c r="P1336" s="2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</row>
    <row r="1337" spans="1:32" s="1" customFormat="1" ht="20.25" customHeight="1" x14ac:dyDescent="0.25">
      <c r="A1337" s="2"/>
      <c r="B1337" s="2"/>
      <c r="C1337" s="2"/>
      <c r="D1337" s="2">
        <f>COUNTIF(contact[[#This Row],[Bagossy]:[Szo
03:00 - 10:00]],"=~?")</f>
        <v>0</v>
      </c>
      <c r="E1337" s="2">
        <f>COUNTIF(contact[[#This Row],[Bagossy]:[Szo
03:00 - 10:00]],"=x")</f>
        <v>0</v>
      </c>
      <c r="F1337" s="2">
        <f>SUM(contact[[#This Row],[?]:[x]])</f>
        <v>0</v>
      </c>
      <c r="G13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37" s="2"/>
      <c r="I1337" s="2"/>
      <c r="J1337" s="3" t="s">
        <v>3157</v>
      </c>
      <c r="K1337" s="1" t="s">
        <v>1171</v>
      </c>
      <c r="L1337" s="1" t="s">
        <v>2</v>
      </c>
      <c r="M1337" s="1" t="s">
        <v>2</v>
      </c>
      <c r="O1337" s="2"/>
      <c r="P1337" s="2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</row>
    <row r="1338" spans="1:32" s="1" customFormat="1" ht="20.25" customHeight="1" x14ac:dyDescent="0.25">
      <c r="A1338" s="2"/>
      <c r="B1338" s="2"/>
      <c r="C1338" s="2"/>
      <c r="D1338" s="2">
        <f>COUNTIF(contact[[#This Row],[Bagossy]:[Szo
03:00 - 10:00]],"=~?")</f>
        <v>0</v>
      </c>
      <c r="E1338" s="2">
        <f>COUNTIF(contact[[#This Row],[Bagossy]:[Szo
03:00 - 10:00]],"=x")</f>
        <v>0</v>
      </c>
      <c r="F1338" s="2">
        <f>SUM(contact[[#This Row],[?]:[x]])</f>
        <v>0</v>
      </c>
      <c r="G13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38" s="3" t="s">
        <v>3600</v>
      </c>
      <c r="K1338" s="1" t="s">
        <v>865</v>
      </c>
      <c r="L1338" s="1" t="s">
        <v>2</v>
      </c>
      <c r="M1338" s="1" t="s">
        <v>2</v>
      </c>
      <c r="O1338" s="2"/>
      <c r="P1338" s="2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</row>
    <row r="1339" spans="1:32" s="1" customFormat="1" ht="20.25" customHeight="1" x14ac:dyDescent="0.25">
      <c r="A1339" s="2"/>
      <c r="B1339" s="2"/>
      <c r="C1339" s="2"/>
      <c r="D1339" s="2">
        <f>COUNTIF(contact[[#This Row],[Bagossy]:[Szo
03:00 - 10:00]],"=~?")</f>
        <v>0</v>
      </c>
      <c r="E1339" s="2">
        <f>COUNTIF(contact[[#This Row],[Bagossy]:[Szo
03:00 - 10:00]],"=x")</f>
        <v>0</v>
      </c>
      <c r="F1339" s="2">
        <f>SUM(contact[[#This Row],[?]:[x]])</f>
        <v>0</v>
      </c>
      <c r="G13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39" s="2"/>
      <c r="I1339" s="2"/>
      <c r="J1339" s="3" t="s">
        <v>732</v>
      </c>
      <c r="K1339" s="1" t="s">
        <v>1576</v>
      </c>
      <c r="L1339" s="1" t="s">
        <v>2</v>
      </c>
      <c r="M1339" s="1" t="s">
        <v>2</v>
      </c>
      <c r="O1339" s="2"/>
      <c r="P1339" s="2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</row>
    <row r="1340" spans="1:32" s="1" customFormat="1" ht="20.25" customHeight="1" x14ac:dyDescent="0.25">
      <c r="A1340" s="2"/>
      <c r="B1340" s="2"/>
      <c r="C1340" s="2"/>
      <c r="D1340" s="2">
        <f>COUNTIF(contact[[#This Row],[Bagossy]:[Szo
03:00 - 10:00]],"=~?")</f>
        <v>0</v>
      </c>
      <c r="E1340" s="2">
        <f>COUNTIF(contact[[#This Row],[Bagossy]:[Szo
03:00 - 10:00]],"=x")</f>
        <v>0</v>
      </c>
      <c r="F1340" s="2">
        <f>SUM(contact[[#This Row],[?]:[x]])</f>
        <v>0</v>
      </c>
      <c r="G13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0" s="3" t="s">
        <v>3373</v>
      </c>
      <c r="K1340" s="1" t="s">
        <v>177</v>
      </c>
      <c r="L1340" s="1" t="s">
        <v>2</v>
      </c>
      <c r="M1340" s="1" t="s">
        <v>2</v>
      </c>
      <c r="O1340" s="2"/>
      <c r="P1340" s="2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</row>
    <row r="1341" spans="1:32" s="1" customFormat="1" ht="20.25" customHeight="1" x14ac:dyDescent="0.25">
      <c r="A1341" s="2"/>
      <c r="B1341" s="2"/>
      <c r="C1341" s="2"/>
      <c r="D1341" s="2">
        <f>COUNTIF(contact[[#This Row],[Bagossy]:[Szo
03:00 - 10:00]],"=~?")</f>
        <v>0</v>
      </c>
      <c r="E1341" s="2">
        <f>COUNTIF(contact[[#This Row],[Bagossy]:[Szo
03:00 - 10:00]],"=x")</f>
        <v>0</v>
      </c>
      <c r="F1341" s="2">
        <f>SUM(contact[[#This Row],[?]:[x]])</f>
        <v>0</v>
      </c>
      <c r="G13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1" s="3" t="s">
        <v>2386</v>
      </c>
      <c r="K1341" s="1" t="s">
        <v>2</v>
      </c>
      <c r="L1341" s="1" t="s">
        <v>2</v>
      </c>
      <c r="M1341" s="1" t="s">
        <v>2</v>
      </c>
      <c r="O1341" s="2"/>
      <c r="P1341" s="2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</row>
    <row r="1342" spans="1:32" s="1" customFormat="1" ht="20.25" customHeight="1" x14ac:dyDescent="0.25">
      <c r="A1342" s="2"/>
      <c r="B1342" s="2"/>
      <c r="C1342" s="2"/>
      <c r="D1342" s="2">
        <f>COUNTIF(contact[[#This Row],[Bagossy]:[Szo
03:00 - 10:00]],"=~?")</f>
        <v>0</v>
      </c>
      <c r="E1342" s="2">
        <f>COUNTIF(contact[[#This Row],[Bagossy]:[Szo
03:00 - 10:00]],"=x")</f>
        <v>0</v>
      </c>
      <c r="F1342" s="2">
        <f>SUM(contact[[#This Row],[?]:[x]])</f>
        <v>0</v>
      </c>
      <c r="G13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2" s="3" t="s">
        <v>2443</v>
      </c>
      <c r="K1342" s="1" t="s">
        <v>2</v>
      </c>
      <c r="L1342" s="1" t="s">
        <v>2</v>
      </c>
      <c r="M1342" s="1" t="s">
        <v>2</v>
      </c>
      <c r="O1342" s="2"/>
      <c r="P1342" s="2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</row>
    <row r="1343" spans="1:32" s="1" customFormat="1" ht="20.25" customHeight="1" x14ac:dyDescent="0.25">
      <c r="A1343" s="2"/>
      <c r="B1343" s="2"/>
      <c r="C1343" s="2"/>
      <c r="D1343" s="2">
        <f>COUNTIF(contact[[#This Row],[Bagossy]:[Szo
03:00 - 10:00]],"=~?")</f>
        <v>0</v>
      </c>
      <c r="E1343" s="2">
        <f>COUNTIF(contact[[#This Row],[Bagossy]:[Szo
03:00 - 10:00]],"=x")</f>
        <v>0</v>
      </c>
      <c r="F1343" s="2">
        <f>SUM(contact[[#This Row],[?]:[x]])</f>
        <v>0</v>
      </c>
      <c r="G13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3" s="3" t="s">
        <v>3888</v>
      </c>
      <c r="K1343" s="1" t="s">
        <v>1733</v>
      </c>
      <c r="L1343" s="1" t="s">
        <v>2</v>
      </c>
      <c r="M1343" s="1" t="s">
        <v>2</v>
      </c>
      <c r="O1343" s="2"/>
      <c r="P1343" s="2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</row>
    <row r="1344" spans="1:32" s="1" customFormat="1" ht="20.25" customHeight="1" x14ac:dyDescent="0.25">
      <c r="A1344" s="2"/>
      <c r="B1344" s="2"/>
      <c r="C1344" s="2"/>
      <c r="D1344" s="2">
        <f>COUNTIF(contact[[#This Row],[Bagossy]:[Szo
03:00 - 10:00]],"=~?")</f>
        <v>0</v>
      </c>
      <c r="E1344" s="2">
        <f>COUNTIF(contact[[#This Row],[Bagossy]:[Szo
03:00 - 10:00]],"=x")</f>
        <v>0</v>
      </c>
      <c r="F1344" s="2">
        <f>SUM(contact[[#This Row],[?]:[x]])</f>
        <v>0</v>
      </c>
      <c r="G13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4" s="3" t="s">
        <v>2188</v>
      </c>
      <c r="K1344" s="1" t="s">
        <v>161</v>
      </c>
      <c r="L1344" s="1" t="s">
        <v>2</v>
      </c>
      <c r="M1344" s="1" t="s">
        <v>2</v>
      </c>
      <c r="O1344" s="2"/>
      <c r="P1344" s="2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</row>
    <row r="1345" spans="1:32" s="1" customFormat="1" ht="20.25" customHeight="1" x14ac:dyDescent="0.25">
      <c r="A1345" s="2"/>
      <c r="B1345" s="2"/>
      <c r="C1345" s="2"/>
      <c r="D1345" s="2">
        <f>COUNTIF(contact[[#This Row],[Bagossy]:[Szo
03:00 - 10:00]],"=~?")</f>
        <v>0</v>
      </c>
      <c r="E1345" s="2">
        <f>COUNTIF(contact[[#This Row],[Bagossy]:[Szo
03:00 - 10:00]],"=x")</f>
        <v>0</v>
      </c>
      <c r="F1345" s="2">
        <f>SUM(contact[[#This Row],[?]:[x]])</f>
        <v>0</v>
      </c>
      <c r="G13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5" s="3" t="s">
        <v>3227</v>
      </c>
      <c r="K1345" s="1" t="s">
        <v>2</v>
      </c>
      <c r="L1345" s="1" t="s">
        <v>2</v>
      </c>
      <c r="M1345" s="1" t="s">
        <v>2</v>
      </c>
      <c r="O1345" s="2"/>
      <c r="P1345" s="2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</row>
    <row r="1346" spans="1:32" s="1" customFormat="1" ht="20.25" customHeight="1" x14ac:dyDescent="0.25">
      <c r="A1346" s="2"/>
      <c r="B1346" s="2"/>
      <c r="C1346" s="2"/>
      <c r="D1346" s="2">
        <f>COUNTIF(contact[[#This Row],[Bagossy]:[Szo
03:00 - 10:00]],"=~?")</f>
        <v>0</v>
      </c>
      <c r="E1346" s="2">
        <f>COUNTIF(contact[[#This Row],[Bagossy]:[Szo
03:00 - 10:00]],"=x")</f>
        <v>0</v>
      </c>
      <c r="F1346" s="2">
        <f>SUM(contact[[#This Row],[?]:[x]])</f>
        <v>0</v>
      </c>
      <c r="G13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6" s="3" t="s">
        <v>4212</v>
      </c>
      <c r="K1346" s="1" t="s">
        <v>2</v>
      </c>
      <c r="L1346" s="1" t="s">
        <v>2</v>
      </c>
      <c r="M1346" s="1" t="s">
        <v>2</v>
      </c>
      <c r="O1346" s="2"/>
      <c r="P1346" s="2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</row>
    <row r="1347" spans="1:32" s="1" customFormat="1" ht="20.25" customHeight="1" x14ac:dyDescent="0.25">
      <c r="A1347" s="2"/>
      <c r="B1347" s="2"/>
      <c r="C1347" s="2"/>
      <c r="D1347" s="2">
        <f>COUNTIF(contact[[#This Row],[Bagossy]:[Szo
03:00 - 10:00]],"=~?")</f>
        <v>0</v>
      </c>
      <c r="E1347" s="2">
        <f>COUNTIF(contact[[#This Row],[Bagossy]:[Szo
03:00 - 10:00]],"=x")</f>
        <v>0</v>
      </c>
      <c r="F1347" s="2">
        <f>SUM(contact[[#This Row],[?]:[x]])</f>
        <v>0</v>
      </c>
      <c r="G13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7" s="3" t="s">
        <v>4297</v>
      </c>
      <c r="K1347" s="1" t="s">
        <v>1179</v>
      </c>
      <c r="L1347" s="1" t="s">
        <v>2</v>
      </c>
      <c r="M1347" s="1" t="s">
        <v>2</v>
      </c>
      <c r="O1347" s="2"/>
      <c r="P1347" s="2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</row>
    <row r="1348" spans="1:32" s="1" customFormat="1" ht="20.25" customHeight="1" x14ac:dyDescent="0.25">
      <c r="A1348" s="2"/>
      <c r="B1348" s="2"/>
      <c r="C1348" s="2"/>
      <c r="D1348" s="2">
        <f>COUNTIF(contact[[#This Row],[Bagossy]:[Szo
03:00 - 10:00]],"=~?")</f>
        <v>0</v>
      </c>
      <c r="E1348" s="2">
        <f>COUNTIF(contact[[#This Row],[Bagossy]:[Szo
03:00 - 10:00]],"=x")</f>
        <v>0</v>
      </c>
      <c r="F1348" s="2">
        <f>SUM(contact[[#This Row],[?]:[x]])</f>
        <v>0</v>
      </c>
      <c r="G13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8" s="3" t="s">
        <v>4380</v>
      </c>
      <c r="K1348" s="1" t="s">
        <v>1849</v>
      </c>
      <c r="L1348" s="1" t="s">
        <v>2</v>
      </c>
      <c r="M1348" s="1" t="s">
        <v>2</v>
      </c>
      <c r="O1348" s="2"/>
      <c r="P1348" s="2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</row>
    <row r="1349" spans="1:32" s="1" customFormat="1" ht="20.25" customHeight="1" x14ac:dyDescent="0.25">
      <c r="A1349" s="2"/>
      <c r="B1349" s="2"/>
      <c r="C1349" s="2"/>
      <c r="D1349" s="2">
        <f>COUNTIF(contact[[#This Row],[Bagossy]:[Szo
03:00 - 10:00]],"=~?")</f>
        <v>0</v>
      </c>
      <c r="E1349" s="2">
        <f>COUNTIF(contact[[#This Row],[Bagossy]:[Szo
03:00 - 10:00]],"=x")</f>
        <v>0</v>
      </c>
      <c r="F1349" s="2">
        <f>SUM(contact[[#This Row],[?]:[x]])</f>
        <v>0</v>
      </c>
      <c r="G13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49" s="3" t="s">
        <v>2294</v>
      </c>
      <c r="K1349" s="1" t="s">
        <v>230</v>
      </c>
      <c r="L1349" s="1" t="s">
        <v>2</v>
      </c>
      <c r="M1349" s="1" t="s">
        <v>2</v>
      </c>
      <c r="O1349" s="2"/>
      <c r="P1349" s="2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</row>
    <row r="1350" spans="1:32" s="1" customFormat="1" ht="20.25" customHeight="1" x14ac:dyDescent="0.25">
      <c r="A1350" s="2"/>
      <c r="B1350" s="2"/>
      <c r="C1350" s="2"/>
      <c r="D1350" s="2">
        <f>COUNTIF(contact[[#This Row],[Bagossy]:[Szo
03:00 - 10:00]],"=~?")</f>
        <v>0</v>
      </c>
      <c r="E1350" s="2">
        <f>COUNTIF(contact[[#This Row],[Bagossy]:[Szo
03:00 - 10:00]],"=x")</f>
        <v>0</v>
      </c>
      <c r="F1350" s="2">
        <f>SUM(contact[[#This Row],[?]:[x]])</f>
        <v>0</v>
      </c>
      <c r="G13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50" s="2"/>
      <c r="I1350" s="2"/>
      <c r="J1350" s="3" t="s">
        <v>735</v>
      </c>
      <c r="K1350" s="1" t="s">
        <v>736</v>
      </c>
      <c r="L1350" s="1" t="s">
        <v>2</v>
      </c>
      <c r="M1350" s="1" t="s">
        <v>2</v>
      </c>
      <c r="O1350" s="2"/>
      <c r="P1350" s="2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</row>
    <row r="1351" spans="1:32" s="1" customFormat="1" ht="20.25" customHeight="1" x14ac:dyDescent="0.25">
      <c r="A1351" s="2"/>
      <c r="B1351" s="2"/>
      <c r="C1351" s="2"/>
      <c r="D1351" s="2">
        <f>COUNTIF(contact[[#This Row],[Bagossy]:[Szo
03:00 - 10:00]],"=~?")</f>
        <v>0</v>
      </c>
      <c r="E1351" s="2">
        <f>COUNTIF(contact[[#This Row],[Bagossy]:[Szo
03:00 - 10:00]],"=x")</f>
        <v>0</v>
      </c>
      <c r="F1351" s="2">
        <f>SUM(contact[[#This Row],[?]:[x]])</f>
        <v>0</v>
      </c>
      <c r="G13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1" s="3" t="s">
        <v>3507</v>
      </c>
      <c r="K1351" s="1" t="s">
        <v>818</v>
      </c>
      <c r="L1351" s="1" t="s">
        <v>2</v>
      </c>
      <c r="M1351" s="1" t="s">
        <v>2</v>
      </c>
      <c r="O1351" s="2"/>
      <c r="P1351" s="2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</row>
    <row r="1352" spans="1:32" s="1" customFormat="1" ht="20.25" customHeight="1" x14ac:dyDescent="0.25">
      <c r="A1352" s="2"/>
      <c r="B1352" s="2"/>
      <c r="C1352" s="2"/>
      <c r="D1352" s="2">
        <f>COUNTIF(contact[[#This Row],[Bagossy]:[Szo
03:00 - 10:00]],"=~?")</f>
        <v>0</v>
      </c>
      <c r="E1352" s="2">
        <f>COUNTIF(contact[[#This Row],[Bagossy]:[Szo
03:00 - 10:00]],"=x")</f>
        <v>0</v>
      </c>
      <c r="F1352" s="2">
        <f>SUM(contact[[#This Row],[?]:[x]])</f>
        <v>0</v>
      </c>
      <c r="G13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2" s="3" t="s">
        <v>737</v>
      </c>
      <c r="K1352" s="1" t="s">
        <v>2</v>
      </c>
      <c r="L1352" s="1" t="s">
        <v>2</v>
      </c>
      <c r="M1352" s="1" t="s">
        <v>2</v>
      </c>
      <c r="O1352" s="2"/>
      <c r="P1352" s="2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</row>
    <row r="1353" spans="1:32" s="1" customFormat="1" ht="20.25" customHeight="1" x14ac:dyDescent="0.25">
      <c r="A1353" s="2"/>
      <c r="B1353" s="2"/>
      <c r="C1353" s="2"/>
      <c r="D1353" s="2">
        <f>COUNTIF(contact[[#This Row],[Bagossy]:[Szo
03:00 - 10:00]],"=~?")</f>
        <v>0</v>
      </c>
      <c r="E1353" s="2">
        <f>COUNTIF(contact[[#This Row],[Bagossy]:[Szo
03:00 - 10:00]],"=x")</f>
        <v>0</v>
      </c>
      <c r="F1353" s="2">
        <f>SUM(contact[[#This Row],[?]:[x]])</f>
        <v>0</v>
      </c>
      <c r="G13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3" s="3" t="s">
        <v>3754</v>
      </c>
      <c r="K1353" s="1" t="s">
        <v>927</v>
      </c>
      <c r="L1353" s="1" t="s">
        <v>2</v>
      </c>
      <c r="M1353" s="1" t="s">
        <v>2</v>
      </c>
      <c r="O1353" s="2"/>
      <c r="P1353" s="2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</row>
    <row r="1354" spans="1:32" s="1" customFormat="1" ht="20.25" customHeight="1" x14ac:dyDescent="0.25">
      <c r="A1354" s="2"/>
      <c r="B1354" s="2"/>
      <c r="C1354" s="2"/>
      <c r="D1354" s="2">
        <f>COUNTIF(contact[[#This Row],[Bagossy]:[Szo
03:00 - 10:00]],"=~?")</f>
        <v>0</v>
      </c>
      <c r="E1354" s="2">
        <f>COUNTIF(contact[[#This Row],[Bagossy]:[Szo
03:00 - 10:00]],"=x")</f>
        <v>0</v>
      </c>
      <c r="F1354" s="2">
        <f>SUM(contact[[#This Row],[?]:[x]])</f>
        <v>0</v>
      </c>
      <c r="G13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54" s="2"/>
      <c r="I1354" s="2"/>
      <c r="J1354" s="3" t="s">
        <v>3161</v>
      </c>
      <c r="K1354" s="1" t="s">
        <v>1578</v>
      </c>
      <c r="L1354" s="1" t="s">
        <v>2</v>
      </c>
      <c r="M1354" s="1" t="s">
        <v>2</v>
      </c>
      <c r="O1354" s="2"/>
      <c r="P1354" s="2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</row>
    <row r="1355" spans="1:32" s="1" customFormat="1" ht="20.25" customHeight="1" x14ac:dyDescent="0.25">
      <c r="A1355" s="2"/>
      <c r="B1355" s="2"/>
      <c r="C1355" s="2"/>
      <c r="D1355" s="2">
        <f>COUNTIF(contact[[#This Row],[Bagossy]:[Szo
03:00 - 10:00]],"=~?")</f>
        <v>0</v>
      </c>
      <c r="E1355" s="2">
        <f>COUNTIF(contact[[#This Row],[Bagossy]:[Szo
03:00 - 10:00]],"=x")</f>
        <v>0</v>
      </c>
      <c r="F1355" s="2">
        <f>SUM(contact[[#This Row],[?]:[x]])</f>
        <v>0</v>
      </c>
      <c r="G13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5" s="3" t="s">
        <v>3577</v>
      </c>
      <c r="K1355" s="1" t="s">
        <v>857</v>
      </c>
      <c r="L1355" s="1" t="s">
        <v>2</v>
      </c>
      <c r="M1355" s="1" t="s">
        <v>2</v>
      </c>
      <c r="O1355" s="2"/>
      <c r="P1355" s="2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</row>
    <row r="1356" spans="1:32" s="1" customFormat="1" ht="20.25" customHeight="1" x14ac:dyDescent="0.25">
      <c r="A1356" s="2"/>
      <c r="B1356" s="2"/>
      <c r="C1356" s="2"/>
      <c r="D1356" s="2">
        <f>COUNTIF(contact[[#This Row],[Bagossy]:[Szo
03:00 - 10:00]],"=~?")</f>
        <v>0</v>
      </c>
      <c r="E1356" s="2">
        <f>COUNTIF(contact[[#This Row],[Bagossy]:[Szo
03:00 - 10:00]],"=x")</f>
        <v>0</v>
      </c>
      <c r="F1356" s="2">
        <f>SUM(contact[[#This Row],[?]:[x]])</f>
        <v>0</v>
      </c>
      <c r="G13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56" s="2"/>
      <c r="I1356" s="2"/>
      <c r="J1356" s="3" t="s">
        <v>3165</v>
      </c>
      <c r="K1356" s="1" t="s">
        <v>1579</v>
      </c>
      <c r="L1356" s="1" t="s">
        <v>2</v>
      </c>
      <c r="M1356" s="1" t="s">
        <v>2</v>
      </c>
      <c r="O1356" s="2"/>
      <c r="P1356" s="2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</row>
    <row r="1357" spans="1:32" s="1" customFormat="1" ht="20.25" customHeight="1" x14ac:dyDescent="0.25">
      <c r="A1357" s="2"/>
      <c r="B1357" s="2"/>
      <c r="C1357" s="2"/>
      <c r="D1357" s="2">
        <f>COUNTIF(contact[[#This Row],[Bagossy]:[Szo
03:00 - 10:00]],"=~?")</f>
        <v>0</v>
      </c>
      <c r="E1357" s="2">
        <f>COUNTIF(contact[[#This Row],[Bagossy]:[Szo
03:00 - 10:00]],"=x")</f>
        <v>0</v>
      </c>
      <c r="F1357" s="2">
        <f>SUM(contact[[#This Row],[?]:[x]])</f>
        <v>0</v>
      </c>
      <c r="G13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7" s="3" t="s">
        <v>2114</v>
      </c>
      <c r="K1357" s="1" t="s">
        <v>2</v>
      </c>
      <c r="L1357" s="1" t="s">
        <v>2</v>
      </c>
      <c r="M1357" s="1" t="s">
        <v>2</v>
      </c>
      <c r="O1357" s="2"/>
      <c r="P1357" s="2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</row>
    <row r="1358" spans="1:32" s="1" customFormat="1" ht="20.25" customHeight="1" x14ac:dyDescent="0.25">
      <c r="A1358" s="2"/>
      <c r="B1358" s="2"/>
      <c r="C1358" s="2"/>
      <c r="D1358" s="2">
        <f>COUNTIF(contact[[#This Row],[Bagossy]:[Szo
03:00 - 10:00]],"=~?")</f>
        <v>0</v>
      </c>
      <c r="E1358" s="2">
        <f>COUNTIF(contact[[#This Row],[Bagossy]:[Szo
03:00 - 10:00]],"=x")</f>
        <v>0</v>
      </c>
      <c r="F1358" s="2">
        <f>SUM(contact[[#This Row],[?]:[x]])</f>
        <v>0</v>
      </c>
      <c r="G13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8" s="3" t="s">
        <v>2151</v>
      </c>
      <c r="K1358" s="1" t="s">
        <v>2</v>
      </c>
      <c r="L1358" s="1" t="s">
        <v>2</v>
      </c>
      <c r="M1358" s="1" t="s">
        <v>2</v>
      </c>
      <c r="O1358" s="2"/>
      <c r="P1358" s="2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</row>
    <row r="1359" spans="1:32" s="1" customFormat="1" ht="20.25" customHeight="1" x14ac:dyDescent="0.25">
      <c r="A1359" s="2"/>
      <c r="B1359" s="2"/>
      <c r="C1359" s="2"/>
      <c r="D1359" s="2">
        <f>COUNTIF(contact[[#This Row],[Bagossy]:[Szo
03:00 - 10:00]],"=~?")</f>
        <v>0</v>
      </c>
      <c r="E1359" s="2">
        <f>COUNTIF(contact[[#This Row],[Bagossy]:[Szo
03:00 - 10:00]],"=x")</f>
        <v>0</v>
      </c>
      <c r="F1359" s="2">
        <f>SUM(contact[[#This Row],[?]:[x]])</f>
        <v>0</v>
      </c>
      <c r="G13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59" s="3" t="s">
        <v>2531</v>
      </c>
      <c r="K1359" s="1" t="s">
        <v>2</v>
      </c>
      <c r="L1359" s="1" t="s">
        <v>2</v>
      </c>
      <c r="M1359" s="1" t="s">
        <v>2</v>
      </c>
      <c r="O1359" s="2"/>
      <c r="P1359" s="2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</row>
    <row r="1360" spans="1:32" s="1" customFormat="1" ht="20.25" customHeight="1" x14ac:dyDescent="0.25">
      <c r="A1360" s="2"/>
      <c r="B1360" s="2"/>
      <c r="C1360" s="2"/>
      <c r="D1360" s="2">
        <f>COUNTIF(contact[[#This Row],[Bagossy]:[Szo
03:00 - 10:00]],"=~?")</f>
        <v>0</v>
      </c>
      <c r="E1360" s="2">
        <f>COUNTIF(contact[[#This Row],[Bagossy]:[Szo
03:00 - 10:00]],"=x")</f>
        <v>0</v>
      </c>
      <c r="F1360" s="2">
        <f>SUM(contact[[#This Row],[?]:[x]])</f>
        <v>0</v>
      </c>
      <c r="G13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0" s="3" t="s">
        <v>2742</v>
      </c>
      <c r="K1360" s="1" t="s">
        <v>1332</v>
      </c>
      <c r="L1360" s="1" t="s">
        <v>2</v>
      </c>
      <c r="M1360" s="1" t="s">
        <v>2</v>
      </c>
      <c r="O1360" s="2"/>
      <c r="P1360" s="2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</row>
    <row r="1361" spans="1:32" s="1" customFormat="1" ht="20.25" customHeight="1" x14ac:dyDescent="0.25">
      <c r="A1361" s="2"/>
      <c r="B1361" s="2"/>
      <c r="C1361" s="2"/>
      <c r="D1361" s="2">
        <f>COUNTIF(contact[[#This Row],[Bagossy]:[Szo
03:00 - 10:00]],"=~?")</f>
        <v>0</v>
      </c>
      <c r="E1361" s="2">
        <f>COUNTIF(contact[[#This Row],[Bagossy]:[Szo
03:00 - 10:00]],"=x")</f>
        <v>0</v>
      </c>
      <c r="F1361" s="2">
        <f>SUM(contact[[#This Row],[?]:[x]])</f>
        <v>0</v>
      </c>
      <c r="G13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1" s="3" t="s">
        <v>2844</v>
      </c>
      <c r="K1361" s="1" t="s">
        <v>526</v>
      </c>
      <c r="L1361" s="1" t="s">
        <v>2</v>
      </c>
      <c r="M1361" s="1" t="s">
        <v>2</v>
      </c>
      <c r="O1361" s="2"/>
      <c r="P1361" s="2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</row>
    <row r="1362" spans="1:32" s="1" customFormat="1" ht="20.25" customHeight="1" x14ac:dyDescent="0.25">
      <c r="A1362" s="2"/>
      <c r="B1362" s="2"/>
      <c r="C1362" s="2"/>
      <c r="D1362" s="2">
        <f>COUNTIF(contact[[#This Row],[Bagossy]:[Szo
03:00 - 10:00]],"=~?")</f>
        <v>0</v>
      </c>
      <c r="E1362" s="2">
        <f>COUNTIF(contact[[#This Row],[Bagossy]:[Szo
03:00 - 10:00]],"=x")</f>
        <v>0</v>
      </c>
      <c r="F1362" s="2">
        <f>SUM(contact[[#This Row],[?]:[x]])</f>
        <v>0</v>
      </c>
      <c r="G13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2" s="3" t="s">
        <v>4464</v>
      </c>
      <c r="K1362" s="1" t="s">
        <v>1313</v>
      </c>
      <c r="L1362" s="1" t="s">
        <v>2</v>
      </c>
      <c r="M1362" s="1" t="s">
        <v>2</v>
      </c>
      <c r="O1362" s="2"/>
      <c r="P1362" s="2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</row>
    <row r="1363" spans="1:32" s="1" customFormat="1" ht="20.25" customHeight="1" x14ac:dyDescent="0.25">
      <c r="A1363" s="2"/>
      <c r="B1363" s="2"/>
      <c r="C1363" s="2"/>
      <c r="D1363" s="2">
        <f>COUNTIF(contact[[#This Row],[Bagossy]:[Szo
03:00 - 10:00]],"=~?")</f>
        <v>0</v>
      </c>
      <c r="E1363" s="2">
        <f>COUNTIF(contact[[#This Row],[Bagossy]:[Szo
03:00 - 10:00]],"=x")</f>
        <v>0</v>
      </c>
      <c r="F1363" s="2">
        <f>SUM(contact[[#This Row],[?]:[x]])</f>
        <v>0</v>
      </c>
      <c r="G13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63" s="2"/>
      <c r="I1363" s="2"/>
      <c r="J1363" s="3" t="s">
        <v>3166</v>
      </c>
      <c r="K1363" s="1" t="s">
        <v>92</v>
      </c>
      <c r="L1363" s="1" t="s">
        <v>2</v>
      </c>
      <c r="M1363" s="1" t="s">
        <v>2</v>
      </c>
      <c r="O1363" s="2"/>
      <c r="P1363" s="2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</row>
    <row r="1364" spans="1:32" s="1" customFormat="1" ht="20.25" customHeight="1" x14ac:dyDescent="0.25">
      <c r="A1364" s="2"/>
      <c r="B1364" s="2"/>
      <c r="C1364" s="2"/>
      <c r="D1364" s="2">
        <f>COUNTIF(contact[[#This Row],[Bagossy]:[Szo
03:00 - 10:00]],"=~?")</f>
        <v>0</v>
      </c>
      <c r="E1364" s="2">
        <f>COUNTIF(contact[[#This Row],[Bagossy]:[Szo
03:00 - 10:00]],"=x")</f>
        <v>0</v>
      </c>
      <c r="F1364" s="2">
        <f>SUM(contact[[#This Row],[?]:[x]])</f>
        <v>0</v>
      </c>
      <c r="G13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64" s="2"/>
      <c r="I1364" s="2"/>
      <c r="J1364" s="3" t="s">
        <v>3167</v>
      </c>
      <c r="K1364" s="1" t="s">
        <v>92</v>
      </c>
      <c r="L1364" s="1" t="s">
        <v>2</v>
      </c>
      <c r="M1364" s="1" t="s">
        <v>2</v>
      </c>
      <c r="O1364" s="2"/>
      <c r="P1364" s="2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</row>
    <row r="1365" spans="1:32" s="1" customFormat="1" ht="20.25" customHeight="1" x14ac:dyDescent="0.25">
      <c r="A1365" s="2"/>
      <c r="B1365" s="2"/>
      <c r="C1365" s="2"/>
      <c r="D1365" s="2">
        <f>COUNTIF(contact[[#This Row],[Bagossy]:[Szo
03:00 - 10:00]],"=~?")</f>
        <v>0</v>
      </c>
      <c r="E1365" s="2">
        <f>COUNTIF(contact[[#This Row],[Bagossy]:[Szo
03:00 - 10:00]],"=x")</f>
        <v>0</v>
      </c>
      <c r="F1365" s="2">
        <f>SUM(contact[[#This Row],[?]:[x]])</f>
        <v>0</v>
      </c>
      <c r="G13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65" s="2"/>
      <c r="I1365" s="2"/>
      <c r="J1365" s="3" t="s">
        <v>3171</v>
      </c>
      <c r="K1365" s="1" t="s">
        <v>194</v>
      </c>
      <c r="L1365" s="1" t="s">
        <v>2</v>
      </c>
      <c r="M1365" s="1" t="s">
        <v>2</v>
      </c>
      <c r="O1365" s="2"/>
      <c r="P1365" s="2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</row>
    <row r="1366" spans="1:32" s="1" customFormat="1" ht="20.25" customHeight="1" x14ac:dyDescent="0.25">
      <c r="A1366" s="2"/>
      <c r="B1366" s="2"/>
      <c r="C1366" s="2"/>
      <c r="D1366" s="2">
        <f>COUNTIF(contact[[#This Row],[Bagossy]:[Szo
03:00 - 10:00]],"=~?")</f>
        <v>0</v>
      </c>
      <c r="E1366" s="2">
        <f>COUNTIF(contact[[#This Row],[Bagossy]:[Szo
03:00 - 10:00]],"=x")</f>
        <v>0</v>
      </c>
      <c r="F1366" s="2">
        <f>SUM(contact[[#This Row],[?]:[x]])</f>
        <v>0</v>
      </c>
      <c r="G13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6" s="3" t="s">
        <v>2044</v>
      </c>
      <c r="K1366" s="1" t="s">
        <v>1322</v>
      </c>
      <c r="L1366" s="1" t="s">
        <v>2</v>
      </c>
      <c r="M1366" s="1" t="s">
        <v>2</v>
      </c>
      <c r="O1366" s="2"/>
      <c r="P1366" s="2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</row>
    <row r="1367" spans="1:32" s="1" customFormat="1" ht="20.25" customHeight="1" x14ac:dyDescent="0.25">
      <c r="A1367" s="2"/>
      <c r="B1367" s="2"/>
      <c r="C1367" s="2"/>
      <c r="D1367" s="2">
        <f>COUNTIF(contact[[#This Row],[Bagossy]:[Szo
03:00 - 10:00]],"=~?")</f>
        <v>0</v>
      </c>
      <c r="E1367" s="2">
        <f>COUNTIF(contact[[#This Row],[Bagossy]:[Szo
03:00 - 10:00]],"=x")</f>
        <v>0</v>
      </c>
      <c r="F1367" s="2">
        <f>SUM(contact[[#This Row],[?]:[x]])</f>
        <v>0</v>
      </c>
      <c r="G13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7" s="3" t="s">
        <v>4410</v>
      </c>
      <c r="K1367" s="1" t="s">
        <v>1229</v>
      </c>
      <c r="L1367" s="1" t="s">
        <v>2</v>
      </c>
      <c r="M1367" s="1" t="s">
        <v>2</v>
      </c>
      <c r="O1367" s="2"/>
      <c r="P1367" s="2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</row>
    <row r="1368" spans="1:32" s="1" customFormat="1" ht="20.25" customHeight="1" x14ac:dyDescent="0.25">
      <c r="A1368" s="2"/>
      <c r="B1368" s="2"/>
      <c r="C1368" s="2"/>
      <c r="D1368" s="2">
        <f>COUNTIF(contact[[#This Row],[Bagossy]:[Szo
03:00 - 10:00]],"=~?")</f>
        <v>0</v>
      </c>
      <c r="E1368" s="2">
        <f>COUNTIF(contact[[#This Row],[Bagossy]:[Szo
03:00 - 10:00]],"=x")</f>
        <v>0</v>
      </c>
      <c r="F1368" s="2">
        <f>SUM(contact[[#This Row],[?]:[x]])</f>
        <v>0</v>
      </c>
      <c r="G13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8" s="3" t="s">
        <v>2606</v>
      </c>
      <c r="K1368" s="1" t="s">
        <v>1453</v>
      </c>
      <c r="L1368" s="1" t="s">
        <v>2</v>
      </c>
      <c r="M1368" s="1" t="s">
        <v>2</v>
      </c>
      <c r="O1368" s="2"/>
      <c r="P1368" s="2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</row>
    <row r="1369" spans="1:32" s="1" customFormat="1" ht="20.25" customHeight="1" x14ac:dyDescent="0.25">
      <c r="A1369" s="2"/>
      <c r="B1369" s="2"/>
      <c r="C1369" s="2"/>
      <c r="D1369" s="2">
        <f>COUNTIF(contact[[#This Row],[Bagossy]:[Szo
03:00 - 10:00]],"=~?")</f>
        <v>0</v>
      </c>
      <c r="E1369" s="2">
        <f>COUNTIF(contact[[#This Row],[Bagossy]:[Szo
03:00 - 10:00]],"=x")</f>
        <v>0</v>
      </c>
      <c r="F1369" s="2">
        <f>SUM(contact[[#This Row],[?]:[x]])</f>
        <v>0</v>
      </c>
      <c r="G13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69" s="3" t="s">
        <v>739</v>
      </c>
      <c r="K1369" s="1" t="s">
        <v>2</v>
      </c>
      <c r="L1369" s="1" t="s">
        <v>2</v>
      </c>
      <c r="M1369" s="1" t="s">
        <v>2</v>
      </c>
      <c r="O1369" s="2"/>
      <c r="P1369" s="2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</row>
    <row r="1370" spans="1:32" s="1" customFormat="1" ht="20.25" customHeight="1" x14ac:dyDescent="0.25">
      <c r="A1370" s="2"/>
      <c r="B1370" s="2"/>
      <c r="C1370" s="2"/>
      <c r="D1370" s="2">
        <f>COUNTIF(contact[[#This Row],[Bagossy]:[Szo
03:00 - 10:00]],"=~?")</f>
        <v>0</v>
      </c>
      <c r="E1370" s="2">
        <f>COUNTIF(contact[[#This Row],[Bagossy]:[Szo
03:00 - 10:00]],"=x")</f>
        <v>0</v>
      </c>
      <c r="F1370" s="2">
        <f>SUM(contact[[#This Row],[?]:[x]])</f>
        <v>0</v>
      </c>
      <c r="G13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0" s="3" t="s">
        <v>4330</v>
      </c>
      <c r="K1370" s="1" t="s">
        <v>2</v>
      </c>
      <c r="L1370" s="1" t="s">
        <v>2</v>
      </c>
      <c r="M1370" s="1" t="s">
        <v>2</v>
      </c>
      <c r="O1370" s="2"/>
      <c r="P1370" s="2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</row>
    <row r="1371" spans="1:32" s="1" customFormat="1" ht="20.25" customHeight="1" x14ac:dyDescent="0.25">
      <c r="A1371" s="2"/>
      <c r="B1371" s="2"/>
      <c r="C1371" s="2"/>
      <c r="D1371" s="2">
        <f>COUNTIF(contact[[#This Row],[Bagossy]:[Szo
03:00 - 10:00]],"=~?")</f>
        <v>0</v>
      </c>
      <c r="E1371" s="2">
        <f>COUNTIF(contact[[#This Row],[Bagossy]:[Szo
03:00 - 10:00]],"=x")</f>
        <v>0</v>
      </c>
      <c r="F1371" s="2">
        <f>SUM(contact[[#This Row],[?]:[x]])</f>
        <v>0</v>
      </c>
      <c r="G13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1" s="3" t="s">
        <v>3264</v>
      </c>
      <c r="K1371" s="1" t="s">
        <v>2</v>
      </c>
      <c r="L1371" s="1" t="s">
        <v>2</v>
      </c>
      <c r="M1371" s="1" t="s">
        <v>2</v>
      </c>
      <c r="O1371" s="2"/>
      <c r="P1371" s="2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</row>
    <row r="1372" spans="1:32" s="1" customFormat="1" ht="20.25" customHeight="1" x14ac:dyDescent="0.25">
      <c r="A1372" s="2"/>
      <c r="B1372" s="2"/>
      <c r="C1372" s="2"/>
      <c r="D1372" s="2">
        <f>COUNTIF(contact[[#This Row],[Bagossy]:[Szo
03:00 - 10:00]],"=~?")</f>
        <v>0</v>
      </c>
      <c r="E1372" s="2">
        <f>COUNTIF(contact[[#This Row],[Bagossy]:[Szo
03:00 - 10:00]],"=x")</f>
        <v>0</v>
      </c>
      <c r="F1372" s="2">
        <f>SUM(contact[[#This Row],[?]:[x]])</f>
        <v>0</v>
      </c>
      <c r="G13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2" s="3" t="s">
        <v>2373</v>
      </c>
      <c r="K1372" s="1" t="s">
        <v>271</v>
      </c>
      <c r="L1372" s="1" t="s">
        <v>2</v>
      </c>
      <c r="M1372" s="1" t="s">
        <v>2</v>
      </c>
      <c r="O1372" s="2"/>
      <c r="P1372" s="2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</row>
    <row r="1373" spans="1:32" s="1" customFormat="1" ht="20.25" customHeight="1" x14ac:dyDescent="0.25">
      <c r="A1373" s="2"/>
      <c r="B1373" s="2"/>
      <c r="C1373" s="2"/>
      <c r="D1373" s="2">
        <f>COUNTIF(contact[[#This Row],[Bagossy]:[Szo
03:00 - 10:00]],"=~?")</f>
        <v>0</v>
      </c>
      <c r="E1373" s="2">
        <f>COUNTIF(contact[[#This Row],[Bagossy]:[Szo
03:00 - 10:00]],"=x")</f>
        <v>0</v>
      </c>
      <c r="F1373" s="2">
        <f>SUM(contact[[#This Row],[?]:[x]])</f>
        <v>0</v>
      </c>
      <c r="G13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3" s="3" t="s">
        <v>2024</v>
      </c>
      <c r="K1373" s="1" t="s">
        <v>2</v>
      </c>
      <c r="L1373" s="1" t="s">
        <v>2</v>
      </c>
      <c r="M1373" s="1" t="s">
        <v>2</v>
      </c>
      <c r="O1373" s="2"/>
      <c r="P1373" s="2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</row>
    <row r="1374" spans="1:32" s="1" customFormat="1" ht="20.25" customHeight="1" x14ac:dyDescent="0.25">
      <c r="A1374" s="2"/>
      <c r="B1374" s="2"/>
      <c r="C1374" s="2" t="s">
        <v>1285</v>
      </c>
      <c r="D1374" s="2">
        <f>COUNTIF(contact[[#This Row],[Bagossy]:[Szo
03:00 - 10:00]],"=~?")</f>
        <v>0</v>
      </c>
      <c r="E1374" s="2">
        <f>COUNTIF(contact[[#This Row],[Bagossy]:[Szo
03:00 - 10:00]],"=x")</f>
        <v>0</v>
      </c>
      <c r="F1374" s="2">
        <f>SUM(contact[[#This Row],[?]:[x]])</f>
        <v>0</v>
      </c>
      <c r="G13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74" s="2"/>
      <c r="I1374" s="2"/>
      <c r="J1374" s="3" t="s">
        <v>3175</v>
      </c>
      <c r="K1374" s="1" t="s">
        <v>6</v>
      </c>
      <c r="L1374" s="1" t="s">
        <v>2</v>
      </c>
      <c r="M1374" s="1" t="s">
        <v>2</v>
      </c>
      <c r="O1374" s="2"/>
      <c r="P1374" s="2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</row>
    <row r="1375" spans="1:32" s="1" customFormat="1" ht="20.25" customHeight="1" x14ac:dyDescent="0.25">
      <c r="A1375" s="2"/>
      <c r="B1375" s="2"/>
      <c r="C1375" s="2"/>
      <c r="D1375" s="2">
        <f>COUNTIF(contact[[#This Row],[Bagossy]:[Szo
03:00 - 10:00]],"=~?")</f>
        <v>0</v>
      </c>
      <c r="E1375" s="2">
        <f>COUNTIF(contact[[#This Row],[Bagossy]:[Szo
03:00 - 10:00]],"=x")</f>
        <v>0</v>
      </c>
      <c r="F1375" s="2">
        <f>SUM(contact[[#This Row],[?]:[x]])</f>
        <v>0</v>
      </c>
      <c r="G13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5" s="3" t="s">
        <v>2280</v>
      </c>
      <c r="K1375" s="1" t="s">
        <v>226</v>
      </c>
      <c r="L1375" s="1" t="s">
        <v>2</v>
      </c>
      <c r="M1375" s="1" t="s">
        <v>2</v>
      </c>
      <c r="O1375" s="2"/>
      <c r="P1375" s="2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</row>
    <row r="1376" spans="1:32" s="1" customFormat="1" ht="20.25" customHeight="1" x14ac:dyDescent="0.25">
      <c r="A1376" s="2"/>
      <c r="B1376" s="2"/>
      <c r="C1376" s="2"/>
      <c r="D1376" s="2">
        <f>COUNTIF(contact[[#This Row],[Bagossy]:[Szo
03:00 - 10:00]],"=~?")</f>
        <v>0</v>
      </c>
      <c r="E1376" s="2">
        <f>COUNTIF(contact[[#This Row],[Bagossy]:[Szo
03:00 - 10:00]],"=x")</f>
        <v>0</v>
      </c>
      <c r="F1376" s="2">
        <f>SUM(contact[[#This Row],[?]:[x]])</f>
        <v>0</v>
      </c>
      <c r="G13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6" s="3" t="s">
        <v>2532</v>
      </c>
      <c r="K1376" s="1" t="s">
        <v>359</v>
      </c>
      <c r="L1376" s="1" t="s">
        <v>2</v>
      </c>
      <c r="M1376" s="1" t="s">
        <v>2</v>
      </c>
      <c r="O1376" s="2"/>
      <c r="P1376" s="2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</row>
    <row r="1377" spans="1:32" s="1" customFormat="1" ht="20.25" customHeight="1" x14ac:dyDescent="0.25">
      <c r="A1377" s="2"/>
      <c r="B1377" s="2"/>
      <c r="C1377" s="2"/>
      <c r="D1377" s="2">
        <f>COUNTIF(contact[[#This Row],[Bagossy]:[Szo
03:00 - 10:00]],"=~?")</f>
        <v>0</v>
      </c>
      <c r="E1377" s="2">
        <f>COUNTIF(contact[[#This Row],[Bagossy]:[Szo
03:00 - 10:00]],"=x")</f>
        <v>0</v>
      </c>
      <c r="F1377" s="2">
        <f>SUM(contact[[#This Row],[?]:[x]])</f>
        <v>0</v>
      </c>
      <c r="G13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7" s="3" t="s">
        <v>2845</v>
      </c>
      <c r="K1377" s="1" t="s">
        <v>2</v>
      </c>
      <c r="L1377" s="1" t="s">
        <v>2</v>
      </c>
      <c r="M1377" s="1" t="s">
        <v>2</v>
      </c>
      <c r="O1377" s="2"/>
      <c r="P1377" s="2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</row>
    <row r="1378" spans="1:32" s="1" customFormat="1" ht="20.25" customHeight="1" x14ac:dyDescent="0.25">
      <c r="A1378" s="2"/>
      <c r="B1378" s="2"/>
      <c r="C1378" s="2"/>
      <c r="D1378" s="2">
        <f>COUNTIF(contact[[#This Row],[Bagossy]:[Szo
03:00 - 10:00]],"=~?")</f>
        <v>0</v>
      </c>
      <c r="E1378" s="2">
        <f>COUNTIF(contact[[#This Row],[Bagossy]:[Szo
03:00 - 10:00]],"=x")</f>
        <v>0</v>
      </c>
      <c r="F1378" s="2">
        <f>SUM(contact[[#This Row],[?]:[x]])</f>
        <v>0</v>
      </c>
      <c r="G13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8" s="3" t="s">
        <v>1951</v>
      </c>
      <c r="K1378" s="1" t="s">
        <v>2</v>
      </c>
      <c r="L1378" s="1" t="s">
        <v>2</v>
      </c>
      <c r="M1378" s="1" t="s">
        <v>2</v>
      </c>
      <c r="O1378" s="2"/>
      <c r="P1378" s="2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</row>
    <row r="1379" spans="1:32" s="1" customFormat="1" ht="20.25" customHeight="1" x14ac:dyDescent="0.25">
      <c r="A1379" s="2"/>
      <c r="B1379" s="2"/>
      <c r="C1379" s="2"/>
      <c r="D1379" s="2">
        <f>COUNTIF(contact[[#This Row],[Bagossy]:[Szo
03:00 - 10:00]],"=~?")</f>
        <v>0</v>
      </c>
      <c r="E1379" s="2">
        <f>COUNTIF(contact[[#This Row],[Bagossy]:[Szo
03:00 - 10:00]],"=x")</f>
        <v>0</v>
      </c>
      <c r="F1379" s="2">
        <f>SUM(contact[[#This Row],[?]:[x]])</f>
        <v>0</v>
      </c>
      <c r="G13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79" s="3" t="s">
        <v>3039</v>
      </c>
      <c r="K1379" s="1" t="s">
        <v>613</v>
      </c>
      <c r="L1379" s="1" t="s">
        <v>2</v>
      </c>
      <c r="M1379" s="1" t="s">
        <v>2</v>
      </c>
      <c r="O1379" s="2"/>
      <c r="P1379" s="2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</row>
    <row r="1380" spans="1:32" s="1" customFormat="1" ht="20.25" customHeight="1" x14ac:dyDescent="0.25">
      <c r="A1380" s="2"/>
      <c r="B1380" s="2"/>
      <c r="C1380" s="2"/>
      <c r="D1380" s="2">
        <f>COUNTIF(contact[[#This Row],[Bagossy]:[Szo
03:00 - 10:00]],"=~?")</f>
        <v>0</v>
      </c>
      <c r="E1380" s="2">
        <f>COUNTIF(contact[[#This Row],[Bagossy]:[Szo
03:00 - 10:00]],"=x")</f>
        <v>0</v>
      </c>
      <c r="F1380" s="2">
        <f>SUM(contact[[#This Row],[?]:[x]])</f>
        <v>0</v>
      </c>
      <c r="G13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0" s="3" t="s">
        <v>3163</v>
      </c>
      <c r="K1380" s="1" t="s">
        <v>2</v>
      </c>
      <c r="L1380" s="1" t="s">
        <v>2</v>
      </c>
      <c r="M1380" s="1" t="s">
        <v>2</v>
      </c>
      <c r="O1380" s="2"/>
      <c r="P1380" s="2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</row>
    <row r="1381" spans="1:32" s="1" customFormat="1" ht="20.25" customHeight="1" x14ac:dyDescent="0.25">
      <c r="A1381" s="2"/>
      <c r="B1381" s="2"/>
      <c r="C1381" s="2"/>
      <c r="D1381" s="2">
        <f>COUNTIF(contact[[#This Row],[Bagossy]:[Szo
03:00 - 10:00]],"=~?")</f>
        <v>0</v>
      </c>
      <c r="E1381" s="2">
        <f>COUNTIF(contact[[#This Row],[Bagossy]:[Szo
03:00 - 10:00]],"=x")</f>
        <v>0</v>
      </c>
      <c r="F1381" s="2">
        <f>SUM(contact[[#This Row],[?]:[x]])</f>
        <v>0</v>
      </c>
      <c r="G13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1" s="3" t="s">
        <v>3265</v>
      </c>
      <c r="K1381" s="1" t="s">
        <v>1604</v>
      </c>
      <c r="L1381" s="1" t="s">
        <v>2</v>
      </c>
      <c r="M1381" s="1" t="s">
        <v>2</v>
      </c>
      <c r="O1381" s="2"/>
      <c r="P1381" s="2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</row>
    <row r="1382" spans="1:32" s="1" customFormat="1" ht="20.25" customHeight="1" x14ac:dyDescent="0.25">
      <c r="A1382" s="2"/>
      <c r="B1382" s="2"/>
      <c r="C1382" s="2"/>
      <c r="D1382" s="2">
        <f>COUNTIF(contact[[#This Row],[Bagossy]:[Szo
03:00 - 10:00]],"=~?")</f>
        <v>0</v>
      </c>
      <c r="E1382" s="2">
        <f>COUNTIF(contact[[#This Row],[Bagossy]:[Szo
03:00 - 10:00]],"=x")</f>
        <v>0</v>
      </c>
      <c r="F1382" s="2">
        <f>SUM(contact[[#This Row],[?]:[x]])</f>
        <v>0</v>
      </c>
      <c r="G13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2" s="3" t="s">
        <v>3374</v>
      </c>
      <c r="K1382" s="1" t="s">
        <v>2</v>
      </c>
      <c r="L1382" s="1" t="s">
        <v>2</v>
      </c>
      <c r="M1382" s="1" t="s">
        <v>2</v>
      </c>
      <c r="O1382" s="2"/>
      <c r="P1382" s="2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</row>
    <row r="1383" spans="1:32" s="1" customFormat="1" ht="20.25" customHeight="1" x14ac:dyDescent="0.25">
      <c r="A1383" s="2"/>
      <c r="B1383" s="2"/>
      <c r="C1383" s="2"/>
      <c r="D1383" s="2">
        <f>COUNTIF(contact[[#This Row],[Bagossy]:[Szo
03:00 - 10:00]],"=~?")</f>
        <v>0</v>
      </c>
      <c r="E1383" s="2">
        <f>COUNTIF(contact[[#This Row],[Bagossy]:[Szo
03:00 - 10:00]],"=x")</f>
        <v>0</v>
      </c>
      <c r="F1383" s="2">
        <f>SUM(contact[[#This Row],[?]:[x]])</f>
        <v>0</v>
      </c>
      <c r="G13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3" s="3" t="s">
        <v>3375</v>
      </c>
      <c r="K1383" s="1" t="s">
        <v>2</v>
      </c>
      <c r="L1383" s="1" t="s">
        <v>2</v>
      </c>
      <c r="M1383" s="1" t="s">
        <v>2</v>
      </c>
      <c r="O1383" s="2"/>
      <c r="P1383" s="2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</row>
    <row r="1384" spans="1:32" s="1" customFormat="1" ht="20.25" customHeight="1" x14ac:dyDescent="0.25">
      <c r="A1384" s="2"/>
      <c r="B1384" s="2"/>
      <c r="C1384" s="2"/>
      <c r="D1384" s="2">
        <f>COUNTIF(contact[[#This Row],[Bagossy]:[Szo
03:00 - 10:00]],"=~?")</f>
        <v>0</v>
      </c>
      <c r="E1384" s="2">
        <f>COUNTIF(contact[[#This Row],[Bagossy]:[Szo
03:00 - 10:00]],"=x")</f>
        <v>0</v>
      </c>
      <c r="F1384" s="2">
        <f>SUM(contact[[#This Row],[?]:[x]])</f>
        <v>0</v>
      </c>
      <c r="G13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4" s="3" t="s">
        <v>3461</v>
      </c>
      <c r="K1384" s="1" t="s">
        <v>426</v>
      </c>
      <c r="L1384" s="1" t="s">
        <v>2</v>
      </c>
      <c r="M1384" s="1" t="s">
        <v>2</v>
      </c>
      <c r="O1384" s="2"/>
      <c r="P1384" s="2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</row>
    <row r="1385" spans="1:32" s="1" customFormat="1" ht="20.25" customHeight="1" x14ac:dyDescent="0.25">
      <c r="A1385" s="2"/>
      <c r="B1385" s="2"/>
      <c r="C1385" s="2"/>
      <c r="D1385" s="2">
        <f>COUNTIF(contact[[#This Row],[Bagossy]:[Szo
03:00 - 10:00]],"=~?")</f>
        <v>0</v>
      </c>
      <c r="E1385" s="2">
        <f>COUNTIF(contact[[#This Row],[Bagossy]:[Szo
03:00 - 10:00]],"=x")</f>
        <v>0</v>
      </c>
      <c r="F1385" s="2">
        <f>SUM(contact[[#This Row],[?]:[x]])</f>
        <v>0</v>
      </c>
      <c r="G13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5" s="3" t="s">
        <v>3631</v>
      </c>
      <c r="K1385" s="1" t="s">
        <v>871</v>
      </c>
      <c r="L1385" s="1" t="s">
        <v>2</v>
      </c>
      <c r="M1385" s="1" t="s">
        <v>2</v>
      </c>
      <c r="O1385" s="2"/>
      <c r="P1385" s="2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</row>
    <row r="1386" spans="1:32" s="1" customFormat="1" ht="20.25" customHeight="1" x14ac:dyDescent="0.25">
      <c r="A1386" s="2"/>
      <c r="B1386" s="2"/>
      <c r="C1386" s="2"/>
      <c r="D1386" s="2">
        <f>COUNTIF(contact[[#This Row],[Bagossy]:[Szo
03:00 - 10:00]],"=~?")</f>
        <v>0</v>
      </c>
      <c r="E1386" s="2">
        <f>COUNTIF(contact[[#This Row],[Bagossy]:[Szo
03:00 - 10:00]],"=x")</f>
        <v>0</v>
      </c>
      <c r="F1386" s="2">
        <f>SUM(contact[[#This Row],[?]:[x]])</f>
        <v>0</v>
      </c>
      <c r="G13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6" s="3" t="s">
        <v>3755</v>
      </c>
      <c r="K1386" s="1" t="s">
        <v>2</v>
      </c>
      <c r="L1386" s="1" t="s">
        <v>2</v>
      </c>
      <c r="M1386" s="1" t="s">
        <v>2</v>
      </c>
      <c r="O1386" s="2"/>
      <c r="P1386" s="2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</row>
    <row r="1387" spans="1:32" s="1" customFormat="1" ht="20.25" customHeight="1" x14ac:dyDescent="0.25">
      <c r="A1387" s="2"/>
      <c r="B1387" s="2"/>
      <c r="C1387" s="2"/>
      <c r="D1387" s="2">
        <f>COUNTIF(contact[[#This Row],[Bagossy]:[Szo
03:00 - 10:00]],"=~?")</f>
        <v>0</v>
      </c>
      <c r="E1387" s="2">
        <f>COUNTIF(contact[[#This Row],[Bagossy]:[Szo
03:00 - 10:00]],"=x")</f>
        <v>0</v>
      </c>
      <c r="F1387" s="2">
        <f>SUM(contact[[#This Row],[?]:[x]])</f>
        <v>0</v>
      </c>
      <c r="G13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7" s="3" t="s">
        <v>4411</v>
      </c>
      <c r="K1387" s="1" t="s">
        <v>1230</v>
      </c>
      <c r="L1387" s="1" t="s">
        <v>2</v>
      </c>
      <c r="M1387" s="1" t="s">
        <v>2</v>
      </c>
      <c r="O1387" s="2"/>
      <c r="P1387" s="2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</row>
    <row r="1388" spans="1:32" s="1" customFormat="1" ht="20.25" customHeight="1" x14ac:dyDescent="0.25">
      <c r="A1388" s="2"/>
      <c r="B1388" s="2"/>
      <c r="C1388" s="2"/>
      <c r="D1388" s="2">
        <f>COUNTIF(contact[[#This Row],[Bagossy]:[Szo
03:00 - 10:00]],"=~?")</f>
        <v>0</v>
      </c>
      <c r="E1388" s="2">
        <f>COUNTIF(contact[[#This Row],[Bagossy]:[Szo
03:00 - 10:00]],"=x")</f>
        <v>0</v>
      </c>
      <c r="F1388" s="2">
        <f>SUM(contact[[#This Row],[?]:[x]])</f>
        <v>0</v>
      </c>
      <c r="G13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388" s="2"/>
      <c r="I1388" s="2"/>
      <c r="J1388" s="3" t="s">
        <v>3176</v>
      </c>
      <c r="K1388" s="1" t="s">
        <v>1581</v>
      </c>
      <c r="L1388" s="1" t="s">
        <v>2</v>
      </c>
      <c r="M1388" s="1" t="s">
        <v>2</v>
      </c>
      <c r="O1388" s="2"/>
      <c r="P1388" s="2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</row>
    <row r="1389" spans="1:32" s="1" customFormat="1" ht="20.25" customHeight="1" x14ac:dyDescent="0.25">
      <c r="A1389" s="2"/>
      <c r="B1389" s="2"/>
      <c r="C1389" s="2"/>
      <c r="D1389" s="2">
        <f>COUNTIF(contact[[#This Row],[Bagossy]:[Szo
03:00 - 10:00]],"=~?")</f>
        <v>0</v>
      </c>
      <c r="E1389" s="2">
        <f>COUNTIF(contact[[#This Row],[Bagossy]:[Szo
03:00 - 10:00]],"=x")</f>
        <v>0</v>
      </c>
      <c r="F1389" s="2">
        <f>SUM(contact[[#This Row],[?]:[x]])</f>
        <v>0</v>
      </c>
      <c r="G13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89" s="3" t="s">
        <v>3164</v>
      </c>
      <c r="K1389" s="1" t="s">
        <v>47</v>
      </c>
      <c r="L1389" s="1" t="s">
        <v>2</v>
      </c>
      <c r="M1389" s="1" t="s">
        <v>2</v>
      </c>
      <c r="O1389" s="2"/>
      <c r="P1389" s="2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</row>
    <row r="1390" spans="1:32" s="1" customFormat="1" ht="20.25" customHeight="1" x14ac:dyDescent="0.25">
      <c r="A1390" s="2"/>
      <c r="B1390" s="2"/>
      <c r="C1390" s="2"/>
      <c r="D1390" s="2">
        <f>COUNTIF(contact[[#This Row],[Bagossy]:[Szo
03:00 - 10:00]],"=~?")</f>
        <v>0</v>
      </c>
      <c r="E1390" s="2">
        <f>COUNTIF(contact[[#This Row],[Bagossy]:[Szo
03:00 - 10:00]],"=x")</f>
        <v>0</v>
      </c>
      <c r="F1390" s="2">
        <f>SUM(contact[[#This Row],[?]:[x]])</f>
        <v>0</v>
      </c>
      <c r="G13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0" s="3" t="s">
        <v>3716</v>
      </c>
      <c r="K1390" s="1" t="s">
        <v>1327</v>
      </c>
      <c r="L1390" s="1" t="s">
        <v>2</v>
      </c>
      <c r="M1390" s="1" t="s">
        <v>2</v>
      </c>
      <c r="O1390" s="2"/>
      <c r="P1390" s="2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</row>
    <row r="1391" spans="1:32" s="1" customFormat="1" ht="20.25" customHeight="1" x14ac:dyDescent="0.25">
      <c r="A1391" s="2"/>
      <c r="B1391" s="2"/>
      <c r="C1391" s="2"/>
      <c r="D1391" s="2">
        <f>COUNTIF(contact[[#This Row],[Bagossy]:[Szo
03:00 - 10:00]],"=~?")</f>
        <v>0</v>
      </c>
      <c r="E1391" s="2">
        <f>COUNTIF(contact[[#This Row],[Bagossy]:[Szo
03:00 - 10:00]],"=x")</f>
        <v>0</v>
      </c>
      <c r="F1391" s="2">
        <f>SUM(contact[[#This Row],[?]:[x]])</f>
        <v>0</v>
      </c>
      <c r="G13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1" s="3" t="s">
        <v>1900</v>
      </c>
      <c r="K1391" s="1" t="s">
        <v>1286</v>
      </c>
      <c r="L1391" s="1" t="s">
        <v>2</v>
      </c>
      <c r="M1391" s="1" t="s">
        <v>2</v>
      </c>
      <c r="O1391" s="2"/>
      <c r="P1391" s="2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</row>
    <row r="1392" spans="1:32" s="1" customFormat="1" ht="20.25" customHeight="1" x14ac:dyDescent="0.25">
      <c r="A1392" s="2"/>
      <c r="B1392" s="2"/>
      <c r="C1392" s="2"/>
      <c r="D1392" s="2">
        <f>COUNTIF(contact[[#This Row],[Bagossy]:[Szo
03:00 - 10:00]],"=~?")</f>
        <v>0</v>
      </c>
      <c r="E1392" s="2">
        <f>COUNTIF(contact[[#This Row],[Bagossy]:[Szo
03:00 - 10:00]],"=x")</f>
        <v>0</v>
      </c>
      <c r="F1392" s="2">
        <f>SUM(contact[[#This Row],[?]:[x]])</f>
        <v>0</v>
      </c>
      <c r="G13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2" s="3" t="s">
        <v>1929</v>
      </c>
      <c r="K1392" s="1" t="s">
        <v>1294</v>
      </c>
      <c r="L1392" s="1" t="s">
        <v>2</v>
      </c>
      <c r="M1392" s="1" t="s">
        <v>2</v>
      </c>
      <c r="O1392" s="2"/>
      <c r="P1392" s="2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</row>
    <row r="1393" spans="1:32" s="1" customFormat="1" ht="20.25" customHeight="1" x14ac:dyDescent="0.25">
      <c r="A1393" s="2"/>
      <c r="B1393" s="2"/>
      <c r="C1393" s="2"/>
      <c r="D1393" s="2">
        <f>COUNTIF(contact[[#This Row],[Bagossy]:[Szo
03:00 - 10:00]],"=~?")</f>
        <v>0</v>
      </c>
      <c r="E1393" s="2">
        <f>COUNTIF(contact[[#This Row],[Bagossy]:[Szo
03:00 - 10:00]],"=x")</f>
        <v>0</v>
      </c>
      <c r="F1393" s="2">
        <f>SUM(contact[[#This Row],[?]:[x]])</f>
        <v>0</v>
      </c>
      <c r="G13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3" s="3" t="s">
        <v>2007</v>
      </c>
      <c r="K1393" s="1" t="s">
        <v>1312</v>
      </c>
      <c r="L1393" s="1" t="s">
        <v>2</v>
      </c>
      <c r="M1393" s="1" t="s">
        <v>2</v>
      </c>
      <c r="O1393" s="2"/>
      <c r="P1393" s="2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</row>
    <row r="1394" spans="1:32" s="1" customFormat="1" ht="20.25" customHeight="1" x14ac:dyDescent="0.25">
      <c r="A1394" s="2"/>
      <c r="B1394" s="2"/>
      <c r="C1394" s="2"/>
      <c r="D1394" s="2">
        <f>COUNTIF(contact[[#This Row],[Bagossy]:[Szo
03:00 - 10:00]],"=~?")</f>
        <v>0</v>
      </c>
      <c r="E1394" s="2">
        <f>COUNTIF(contact[[#This Row],[Bagossy]:[Szo
03:00 - 10:00]],"=x")</f>
        <v>0</v>
      </c>
      <c r="F1394" s="2">
        <f>SUM(contact[[#This Row],[?]:[x]])</f>
        <v>0</v>
      </c>
      <c r="G13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4" s="3" t="s">
        <v>2115</v>
      </c>
      <c r="K1394" s="1" t="s">
        <v>120</v>
      </c>
      <c r="L1394" s="1" t="s">
        <v>2</v>
      </c>
      <c r="M1394" s="1" t="s">
        <v>2</v>
      </c>
      <c r="O1394" s="2"/>
      <c r="P1394" s="2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</row>
    <row r="1395" spans="1:32" s="1" customFormat="1" ht="20.25" customHeight="1" x14ac:dyDescent="0.25">
      <c r="A1395" s="2"/>
      <c r="B1395" s="2"/>
      <c r="C1395" s="2"/>
      <c r="D1395" s="2">
        <f>COUNTIF(contact[[#This Row],[Bagossy]:[Szo
03:00 - 10:00]],"=~?")</f>
        <v>0</v>
      </c>
      <c r="E1395" s="2">
        <f>COUNTIF(contact[[#This Row],[Bagossy]:[Szo
03:00 - 10:00]],"=x")</f>
        <v>0</v>
      </c>
      <c r="F1395" s="2">
        <f>SUM(contact[[#This Row],[?]:[x]])</f>
        <v>0</v>
      </c>
      <c r="G13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5" s="3" t="s">
        <v>2233</v>
      </c>
      <c r="K1395" s="1" t="s">
        <v>1313</v>
      </c>
      <c r="L1395" s="1" t="s">
        <v>2</v>
      </c>
      <c r="M1395" s="1" t="s">
        <v>2</v>
      </c>
      <c r="O1395" s="2"/>
      <c r="P1395" s="2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</row>
    <row r="1396" spans="1:32" s="1" customFormat="1" ht="20.25" customHeight="1" x14ac:dyDescent="0.25">
      <c r="A1396" s="2"/>
      <c r="B1396" s="2"/>
      <c r="C1396" s="2"/>
      <c r="D1396" s="2">
        <f>COUNTIF(contact[[#This Row],[Bagossy]:[Szo
03:00 - 10:00]],"=~?")</f>
        <v>0</v>
      </c>
      <c r="E1396" s="2">
        <f>COUNTIF(contact[[#This Row],[Bagossy]:[Szo
03:00 - 10:00]],"=x")</f>
        <v>0</v>
      </c>
      <c r="F1396" s="2">
        <f>SUM(contact[[#This Row],[?]:[x]])</f>
        <v>0</v>
      </c>
      <c r="G13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6" s="3" t="s">
        <v>2268</v>
      </c>
      <c r="K1396" s="1" t="s">
        <v>216</v>
      </c>
      <c r="L1396" s="1" t="s">
        <v>2</v>
      </c>
      <c r="M1396" s="1" t="s">
        <v>2</v>
      </c>
      <c r="O1396" s="2"/>
      <c r="P1396" s="2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</row>
    <row r="1397" spans="1:32" s="1" customFormat="1" ht="20.25" customHeight="1" x14ac:dyDescent="0.25">
      <c r="A1397" s="2"/>
      <c r="B1397" s="2"/>
      <c r="C1397" s="2"/>
      <c r="D1397" s="2">
        <f>COUNTIF(contact[[#This Row],[Bagossy]:[Szo
03:00 - 10:00]],"=~?")</f>
        <v>0</v>
      </c>
      <c r="E1397" s="2">
        <f>COUNTIF(contact[[#This Row],[Bagossy]:[Szo
03:00 - 10:00]],"=x")</f>
        <v>0</v>
      </c>
      <c r="F1397" s="2">
        <f>SUM(contact[[#This Row],[?]:[x]])</f>
        <v>0</v>
      </c>
      <c r="G13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7" s="3" t="s">
        <v>2533</v>
      </c>
      <c r="K1397" s="1" t="s">
        <v>360</v>
      </c>
      <c r="L1397" s="1" t="s">
        <v>2</v>
      </c>
      <c r="M1397" s="1" t="s">
        <v>2</v>
      </c>
      <c r="O1397" s="2"/>
      <c r="P1397" s="2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</row>
    <row r="1398" spans="1:32" s="1" customFormat="1" ht="20.25" customHeight="1" x14ac:dyDescent="0.25">
      <c r="A1398" s="2"/>
      <c r="B1398" s="2"/>
      <c r="C1398" s="2"/>
      <c r="D1398" s="2">
        <f>COUNTIF(contact[[#This Row],[Bagossy]:[Szo
03:00 - 10:00]],"=~?")</f>
        <v>0</v>
      </c>
      <c r="E1398" s="2">
        <f>COUNTIF(contact[[#This Row],[Bagossy]:[Szo
03:00 - 10:00]],"=x")</f>
        <v>0</v>
      </c>
      <c r="F1398" s="2">
        <f>SUM(contact[[#This Row],[?]:[x]])</f>
        <v>0</v>
      </c>
      <c r="G13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8" s="3" t="s">
        <v>2519</v>
      </c>
      <c r="K1398" s="1" t="s">
        <v>1436</v>
      </c>
      <c r="L1398" s="1" t="s">
        <v>354</v>
      </c>
      <c r="M1398" s="1" t="s">
        <v>355</v>
      </c>
      <c r="O1398" s="2"/>
      <c r="P1398" s="2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</row>
    <row r="1399" spans="1:32" s="1" customFormat="1" ht="20.25" customHeight="1" x14ac:dyDescent="0.25">
      <c r="A1399" s="2"/>
      <c r="B1399" s="2"/>
      <c r="C1399" s="2"/>
      <c r="D1399" s="2">
        <f>COUNTIF(contact[[#This Row],[Bagossy]:[Szo
03:00 - 10:00]],"=~?")</f>
        <v>0</v>
      </c>
      <c r="E1399" s="2">
        <f>COUNTIF(contact[[#This Row],[Bagossy]:[Szo
03:00 - 10:00]],"=x")</f>
        <v>0</v>
      </c>
      <c r="F1399" s="2">
        <f>SUM(contact[[#This Row],[?]:[x]])</f>
        <v>0</v>
      </c>
      <c r="G13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399" s="3" t="s">
        <v>2581</v>
      </c>
      <c r="K1399" s="1" t="s">
        <v>2</v>
      </c>
      <c r="L1399" s="1" t="s">
        <v>2</v>
      </c>
      <c r="M1399" s="1" t="s">
        <v>2</v>
      </c>
      <c r="O1399" s="2"/>
      <c r="P1399" s="2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</row>
    <row r="1400" spans="1:32" s="1" customFormat="1" ht="20.25" customHeight="1" x14ac:dyDescent="0.25">
      <c r="A1400" s="2"/>
      <c r="B1400" s="2"/>
      <c r="C1400" s="2"/>
      <c r="D1400" s="2">
        <f>COUNTIF(contact[[#This Row],[Bagossy]:[Szo
03:00 - 10:00]],"=~?")</f>
        <v>0</v>
      </c>
      <c r="E1400" s="2">
        <f>COUNTIF(contact[[#This Row],[Bagossy]:[Szo
03:00 - 10:00]],"=x")</f>
        <v>0</v>
      </c>
      <c r="F1400" s="2">
        <f>SUM(contact[[#This Row],[?]:[x]])</f>
        <v>0</v>
      </c>
      <c r="G14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0" s="3" t="s">
        <v>2581</v>
      </c>
      <c r="K1400" s="1" t="s">
        <v>2</v>
      </c>
      <c r="L1400" s="1" t="s">
        <v>2</v>
      </c>
      <c r="M1400" s="1" t="s">
        <v>2</v>
      </c>
      <c r="O1400" s="2"/>
      <c r="P1400" s="2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</row>
    <row r="1401" spans="1:32" s="1" customFormat="1" ht="20.25" customHeight="1" x14ac:dyDescent="0.25">
      <c r="A1401" s="2"/>
      <c r="B1401" s="2"/>
      <c r="C1401" s="2"/>
      <c r="D1401" s="2">
        <f>COUNTIF(contact[[#This Row],[Bagossy]:[Szo
03:00 - 10:00]],"=~?")</f>
        <v>0</v>
      </c>
      <c r="E1401" s="2">
        <f>COUNTIF(contact[[#This Row],[Bagossy]:[Szo
03:00 - 10:00]],"=x")</f>
        <v>0</v>
      </c>
      <c r="F1401" s="2">
        <f>SUM(contact[[#This Row],[?]:[x]])</f>
        <v>0</v>
      </c>
      <c r="G14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1" s="3" t="s">
        <v>2846</v>
      </c>
      <c r="K1401" s="1" t="s">
        <v>527</v>
      </c>
      <c r="L1401" s="1" t="s">
        <v>2</v>
      </c>
      <c r="M1401" s="1" t="s">
        <v>2</v>
      </c>
      <c r="O1401" s="2"/>
      <c r="P1401" s="2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</row>
    <row r="1402" spans="1:32" s="1" customFormat="1" ht="20.25" customHeight="1" x14ac:dyDescent="0.25">
      <c r="A1402" s="2"/>
      <c r="B1402" s="2"/>
      <c r="C1402" s="2"/>
      <c r="D1402" s="2">
        <f>COUNTIF(contact[[#This Row],[Bagossy]:[Szo
03:00 - 10:00]],"=~?")</f>
        <v>0</v>
      </c>
      <c r="E1402" s="2">
        <f>COUNTIF(contact[[#This Row],[Bagossy]:[Szo
03:00 - 10:00]],"=x")</f>
        <v>0</v>
      </c>
      <c r="F1402" s="2">
        <f>SUM(contact[[#This Row],[?]:[x]])</f>
        <v>0</v>
      </c>
      <c r="G14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2" s="3" t="s">
        <v>2846</v>
      </c>
      <c r="K1402" s="1" t="s">
        <v>528</v>
      </c>
      <c r="L1402" s="1" t="s">
        <v>2</v>
      </c>
      <c r="M1402" s="1" t="s">
        <v>2</v>
      </c>
      <c r="O1402" s="2"/>
      <c r="P1402" s="2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</row>
    <row r="1403" spans="1:32" s="1" customFormat="1" ht="20.25" customHeight="1" x14ac:dyDescent="0.25">
      <c r="A1403" s="2"/>
      <c r="B1403" s="2"/>
      <c r="C1403" s="2"/>
      <c r="D1403" s="2">
        <f>COUNTIF(contact[[#This Row],[Bagossy]:[Szo
03:00 - 10:00]],"=~?")</f>
        <v>0</v>
      </c>
      <c r="E1403" s="2">
        <f>COUNTIF(contact[[#This Row],[Bagossy]:[Szo
03:00 - 10:00]],"=x")</f>
        <v>0</v>
      </c>
      <c r="F1403" s="2">
        <f>SUM(contact[[#This Row],[?]:[x]])</f>
        <v>0</v>
      </c>
      <c r="G14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3" s="3" t="s">
        <v>2893</v>
      </c>
      <c r="K1403" s="1" t="s">
        <v>391</v>
      </c>
      <c r="L1403" s="1" t="s">
        <v>2</v>
      </c>
      <c r="M1403" s="1" t="s">
        <v>2</v>
      </c>
      <c r="O1403" s="2"/>
      <c r="P1403" s="2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</row>
    <row r="1404" spans="1:32" s="1" customFormat="1" ht="20.25" customHeight="1" x14ac:dyDescent="0.25">
      <c r="A1404" s="2"/>
      <c r="B1404" s="2"/>
      <c r="C1404" s="2"/>
      <c r="D1404" s="2">
        <f>COUNTIF(contact[[#This Row],[Bagossy]:[Szo
03:00 - 10:00]],"=~?")</f>
        <v>0</v>
      </c>
      <c r="E1404" s="2">
        <f>COUNTIF(contact[[#This Row],[Bagossy]:[Szo
03:00 - 10:00]],"=x")</f>
        <v>0</v>
      </c>
      <c r="F1404" s="2">
        <f>SUM(contact[[#This Row],[?]:[x]])</f>
        <v>0</v>
      </c>
      <c r="G14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4" s="3" t="s">
        <v>3093</v>
      </c>
      <c r="K1404" s="1" t="s">
        <v>641</v>
      </c>
      <c r="L1404" s="1" t="s">
        <v>2</v>
      </c>
      <c r="M1404" s="1" t="s">
        <v>2</v>
      </c>
      <c r="O1404" s="2"/>
      <c r="P1404" s="2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</row>
    <row r="1405" spans="1:32" s="1" customFormat="1" ht="20.25" customHeight="1" x14ac:dyDescent="0.25">
      <c r="A1405" s="2"/>
      <c r="B1405" s="2"/>
      <c r="C1405" s="2" t="s">
        <v>1285</v>
      </c>
      <c r="D1405" s="2">
        <f>COUNTIF(contact[[#This Row],[Bagossy]:[Szo
03:00 - 10:00]],"=~?")</f>
        <v>0</v>
      </c>
      <c r="E1405" s="2">
        <f>COUNTIF(contact[[#This Row],[Bagossy]:[Szo
03:00 - 10:00]],"=x")</f>
        <v>0</v>
      </c>
      <c r="F1405" s="2">
        <f>SUM(contact[[#This Row],[?]:[x]])</f>
        <v>0</v>
      </c>
      <c r="G14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05" s="2"/>
      <c r="I1405" s="2"/>
      <c r="J1405" s="3" t="s">
        <v>3177</v>
      </c>
      <c r="K1405" s="1" t="s">
        <v>672</v>
      </c>
      <c r="L1405" s="1" t="s">
        <v>2</v>
      </c>
      <c r="M1405" s="1" t="s">
        <v>2</v>
      </c>
      <c r="O1405" s="2"/>
      <c r="P1405" s="2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</row>
    <row r="1406" spans="1:32" s="1" customFormat="1" ht="20.25" customHeight="1" x14ac:dyDescent="0.25">
      <c r="A1406" s="2"/>
      <c r="B1406" s="2"/>
      <c r="C1406" s="2"/>
      <c r="D1406" s="2">
        <f>COUNTIF(contact[[#This Row],[Bagossy]:[Szo
03:00 - 10:00]],"=~?")</f>
        <v>0</v>
      </c>
      <c r="E1406" s="2">
        <f>COUNTIF(contact[[#This Row],[Bagossy]:[Szo
03:00 - 10:00]],"=x")</f>
        <v>0</v>
      </c>
      <c r="F1406" s="2">
        <f>SUM(contact[[#This Row],[?]:[x]])</f>
        <v>0</v>
      </c>
      <c r="G14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6" s="3" t="s">
        <v>3203</v>
      </c>
      <c r="K1406" s="1" t="s">
        <v>1591</v>
      </c>
      <c r="L1406" s="1" t="s">
        <v>354</v>
      </c>
      <c r="M1406" s="1" t="s">
        <v>691</v>
      </c>
      <c r="O1406" s="2"/>
      <c r="P1406" s="2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</row>
    <row r="1407" spans="1:32" s="1" customFormat="1" ht="20.25" customHeight="1" x14ac:dyDescent="0.25">
      <c r="A1407" s="2"/>
      <c r="B1407" s="2"/>
      <c r="C1407" s="2"/>
      <c r="D1407" s="2">
        <f>COUNTIF(contact[[#This Row],[Bagossy]:[Szo
03:00 - 10:00]],"=~?")</f>
        <v>0</v>
      </c>
      <c r="E1407" s="2">
        <f>COUNTIF(contact[[#This Row],[Bagossy]:[Szo
03:00 - 10:00]],"=x")</f>
        <v>0</v>
      </c>
      <c r="F1407" s="2">
        <f>SUM(contact[[#This Row],[?]:[x]])</f>
        <v>0</v>
      </c>
      <c r="G14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7" s="3" t="s">
        <v>3245</v>
      </c>
      <c r="K1407" s="1" t="s">
        <v>1601</v>
      </c>
      <c r="L1407" s="1" t="s">
        <v>2</v>
      </c>
      <c r="M1407" s="1" t="s">
        <v>2</v>
      </c>
      <c r="O1407" s="2"/>
      <c r="P1407" s="2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</row>
    <row r="1408" spans="1:32" s="1" customFormat="1" ht="20.25" customHeight="1" x14ac:dyDescent="0.25">
      <c r="A1408" s="2"/>
      <c r="B1408" s="2"/>
      <c r="C1408" s="2"/>
      <c r="D1408" s="2">
        <f>COUNTIF(contact[[#This Row],[Bagossy]:[Szo
03:00 - 10:00]],"=~?")</f>
        <v>0</v>
      </c>
      <c r="E1408" s="2">
        <f>COUNTIF(contact[[#This Row],[Bagossy]:[Szo
03:00 - 10:00]],"=x")</f>
        <v>0</v>
      </c>
      <c r="F1408" s="2">
        <f>SUM(contact[[#This Row],[?]:[x]])</f>
        <v>0</v>
      </c>
      <c r="G14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08" s="3" t="s">
        <v>3259</v>
      </c>
      <c r="K1408" s="1" t="s">
        <v>720</v>
      </c>
      <c r="L1408" s="1" t="s">
        <v>2</v>
      </c>
      <c r="M1408" s="1" t="s">
        <v>2</v>
      </c>
      <c r="O1408" s="2"/>
      <c r="P1408" s="2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</row>
    <row r="1409" spans="1:32" s="1" customFormat="1" ht="20.25" customHeight="1" x14ac:dyDescent="0.25">
      <c r="A1409" s="2"/>
      <c r="B1409" s="2"/>
      <c r="C1409" s="2"/>
      <c r="D1409" s="2">
        <f>COUNTIF(contact[[#This Row],[Bagossy]:[Szo
03:00 - 10:00]],"=~?")</f>
        <v>0</v>
      </c>
      <c r="E1409" s="2">
        <f>COUNTIF(contact[[#This Row],[Bagossy]:[Szo
03:00 - 10:00]],"=x")</f>
        <v>0</v>
      </c>
      <c r="F1409" s="2">
        <f>SUM(contact[[#This Row],[?]:[x]])</f>
        <v>0</v>
      </c>
      <c r="G14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09" s="2"/>
      <c r="I1409" s="2"/>
      <c r="J1409" s="3" t="s">
        <v>3180</v>
      </c>
      <c r="K1409" s="1" t="s">
        <v>153</v>
      </c>
      <c r="L1409" s="1" t="s">
        <v>2</v>
      </c>
      <c r="M1409" s="1" t="s">
        <v>2</v>
      </c>
      <c r="O1409" s="2"/>
      <c r="P1409" s="2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</row>
    <row r="1410" spans="1:32" s="1" customFormat="1" ht="20.25" customHeight="1" x14ac:dyDescent="0.25">
      <c r="A1410" s="2" t="s">
        <v>1285</v>
      </c>
      <c r="B1410" s="2" t="s">
        <v>1285</v>
      </c>
      <c r="C1410" s="2" t="s">
        <v>1285</v>
      </c>
      <c r="D1410" s="2">
        <f>COUNTIF(contact[[#This Row],[Bagossy]:[Szo
03:00 - 10:00]],"=~?")</f>
        <v>0</v>
      </c>
      <c r="E1410" s="2">
        <f>COUNTIF(contact[[#This Row],[Bagossy]:[Szo
03:00 - 10:00]],"=x")</f>
        <v>0</v>
      </c>
      <c r="F1410" s="2">
        <f>SUM(contact[[#This Row],[?]:[x]])</f>
        <v>0</v>
      </c>
      <c r="G14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10" s="2" t="s">
        <v>4616</v>
      </c>
      <c r="I1410" s="2"/>
      <c r="J1410" s="3" t="s">
        <v>3186</v>
      </c>
      <c r="K1410" s="1" t="s">
        <v>1584</v>
      </c>
      <c r="L1410" s="1" t="s">
        <v>2</v>
      </c>
      <c r="M1410" s="1" t="s">
        <v>2</v>
      </c>
      <c r="N1410" s="2" t="s">
        <v>4612</v>
      </c>
      <c r="O1410" s="2"/>
      <c r="P1410" s="2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</row>
    <row r="1411" spans="1:32" s="1" customFormat="1" ht="20.25" customHeight="1" x14ac:dyDescent="0.25">
      <c r="A1411" s="2"/>
      <c r="B1411" s="2"/>
      <c r="C1411" s="2"/>
      <c r="D1411" s="2">
        <f>COUNTIF(contact[[#This Row],[Bagossy]:[Szo
03:00 - 10:00]],"=~?")</f>
        <v>0</v>
      </c>
      <c r="E1411" s="2">
        <f>COUNTIF(contact[[#This Row],[Bagossy]:[Szo
03:00 - 10:00]],"=x")</f>
        <v>0</v>
      </c>
      <c r="F1411" s="2">
        <f>SUM(contact[[#This Row],[?]:[x]])</f>
        <v>0</v>
      </c>
      <c r="G14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1" s="3" t="s">
        <v>3554</v>
      </c>
      <c r="K1411" s="1" t="s">
        <v>2</v>
      </c>
      <c r="L1411" s="1" t="s">
        <v>2</v>
      </c>
      <c r="M1411" s="1" t="s">
        <v>2</v>
      </c>
      <c r="O1411" s="2"/>
      <c r="P1411" s="2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</row>
    <row r="1412" spans="1:32" s="1" customFormat="1" ht="20.25" customHeight="1" x14ac:dyDescent="0.25">
      <c r="A1412" s="2"/>
      <c r="B1412" s="2"/>
      <c r="C1412" s="2"/>
      <c r="D1412" s="2">
        <f>COUNTIF(contact[[#This Row],[Bagossy]:[Szo
03:00 - 10:00]],"=~?")</f>
        <v>0</v>
      </c>
      <c r="E1412" s="2">
        <f>COUNTIF(contact[[#This Row],[Bagossy]:[Szo
03:00 - 10:00]],"=x")</f>
        <v>0</v>
      </c>
      <c r="F1412" s="2">
        <f>SUM(contact[[#This Row],[?]:[x]])</f>
        <v>0</v>
      </c>
      <c r="G14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2" s="3" t="s">
        <v>3614</v>
      </c>
      <c r="K1412" s="1" t="s">
        <v>2</v>
      </c>
      <c r="L1412" s="1" t="s">
        <v>2</v>
      </c>
      <c r="M1412" s="1" t="s">
        <v>2</v>
      </c>
      <c r="O1412" s="2"/>
      <c r="P1412" s="2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</row>
    <row r="1413" spans="1:32" s="1" customFormat="1" ht="20.25" customHeight="1" x14ac:dyDescent="0.25">
      <c r="A1413" s="2"/>
      <c r="B1413" s="2"/>
      <c r="C1413" s="2"/>
      <c r="D1413" s="2">
        <f>COUNTIF(contact[[#This Row],[Bagossy]:[Szo
03:00 - 10:00]],"=~?")</f>
        <v>0</v>
      </c>
      <c r="E1413" s="2">
        <f>COUNTIF(contact[[#This Row],[Bagossy]:[Szo
03:00 - 10:00]],"=x")</f>
        <v>0</v>
      </c>
      <c r="F1413" s="2">
        <f>SUM(contact[[#This Row],[?]:[x]])</f>
        <v>0</v>
      </c>
      <c r="G14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3" s="3" t="s">
        <v>3843</v>
      </c>
      <c r="K1413" s="1" t="s">
        <v>2</v>
      </c>
      <c r="L1413" s="1" t="s">
        <v>2</v>
      </c>
      <c r="M1413" s="1" t="s">
        <v>2</v>
      </c>
      <c r="O1413" s="2"/>
      <c r="P1413" s="2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</row>
    <row r="1414" spans="1:32" s="1" customFormat="1" ht="20.25" customHeight="1" x14ac:dyDescent="0.25">
      <c r="A1414" s="2"/>
      <c r="B1414" s="2"/>
      <c r="C1414" s="2"/>
      <c r="D1414" s="2">
        <f>COUNTIF(contact[[#This Row],[Bagossy]:[Szo
03:00 - 10:00]],"=~?")</f>
        <v>0</v>
      </c>
      <c r="E1414" s="2">
        <f>COUNTIF(contact[[#This Row],[Bagossy]:[Szo
03:00 - 10:00]],"=x")</f>
        <v>0</v>
      </c>
      <c r="F1414" s="2">
        <f>SUM(contact[[#This Row],[?]:[x]])</f>
        <v>0</v>
      </c>
      <c r="G14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4" s="3" t="s">
        <v>4132</v>
      </c>
      <c r="K1414" s="1" t="s">
        <v>1794</v>
      </c>
      <c r="L1414" s="1" t="s">
        <v>2</v>
      </c>
      <c r="M1414" s="1" t="s">
        <v>2</v>
      </c>
      <c r="O1414" s="2"/>
      <c r="P1414" s="2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</row>
    <row r="1415" spans="1:32" s="1" customFormat="1" ht="20.25" customHeight="1" x14ac:dyDescent="0.25">
      <c r="A1415" s="2"/>
      <c r="B1415" s="2"/>
      <c r="C1415" s="2"/>
      <c r="D1415" s="2">
        <f>COUNTIF(contact[[#This Row],[Bagossy]:[Szo
03:00 - 10:00]],"=~?")</f>
        <v>0</v>
      </c>
      <c r="E1415" s="2">
        <f>COUNTIF(contact[[#This Row],[Bagossy]:[Szo
03:00 - 10:00]],"=x")</f>
        <v>0</v>
      </c>
      <c r="F1415" s="2">
        <f>SUM(contact[[#This Row],[?]:[x]])</f>
        <v>0</v>
      </c>
      <c r="G14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15" s="2"/>
      <c r="I1415" s="2"/>
      <c r="J1415" s="3" t="s">
        <v>3190</v>
      </c>
      <c r="K1415" s="1" t="s">
        <v>1587</v>
      </c>
      <c r="L1415" s="1" t="s">
        <v>2</v>
      </c>
      <c r="M1415" s="1" t="s">
        <v>2</v>
      </c>
      <c r="O1415" s="2"/>
      <c r="P1415" s="2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</row>
    <row r="1416" spans="1:32" s="1" customFormat="1" ht="20.25" customHeight="1" x14ac:dyDescent="0.25">
      <c r="A1416" s="2"/>
      <c r="B1416" s="2"/>
      <c r="C1416" s="2"/>
      <c r="D1416" s="2">
        <f>COUNTIF(contact[[#This Row],[Bagossy]:[Szo
03:00 - 10:00]],"=~?")</f>
        <v>0</v>
      </c>
      <c r="E1416" s="2">
        <f>COUNTIF(contact[[#This Row],[Bagossy]:[Szo
03:00 - 10:00]],"=x")</f>
        <v>0</v>
      </c>
      <c r="F1416" s="2">
        <f>SUM(contact[[#This Row],[?]:[x]])</f>
        <v>0</v>
      </c>
      <c r="G14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16" s="2"/>
      <c r="I1416" s="2"/>
      <c r="J1416" s="3" t="s">
        <v>3194</v>
      </c>
      <c r="K1416" s="1" t="s">
        <v>1588</v>
      </c>
      <c r="L1416" s="1" t="s">
        <v>2</v>
      </c>
      <c r="M1416" s="1" t="s">
        <v>2</v>
      </c>
      <c r="O1416" s="2"/>
      <c r="P1416" s="2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</row>
    <row r="1417" spans="1:32" s="1" customFormat="1" ht="20.25" customHeight="1" x14ac:dyDescent="0.25">
      <c r="A1417" s="2"/>
      <c r="B1417" s="2"/>
      <c r="C1417" s="2"/>
      <c r="D1417" s="2">
        <f>COUNTIF(contact[[#This Row],[Bagossy]:[Szo
03:00 - 10:00]],"=~?")</f>
        <v>0</v>
      </c>
      <c r="E1417" s="2">
        <f>COUNTIF(contact[[#This Row],[Bagossy]:[Szo
03:00 - 10:00]],"=x")</f>
        <v>0</v>
      </c>
      <c r="F1417" s="2">
        <f>SUM(contact[[#This Row],[?]:[x]])</f>
        <v>0</v>
      </c>
      <c r="G14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7" s="3" t="s">
        <v>3194</v>
      </c>
      <c r="K1417" s="1" t="s">
        <v>1868</v>
      </c>
      <c r="L1417" s="1" t="s">
        <v>2</v>
      </c>
      <c r="M1417" s="1" t="s">
        <v>2</v>
      </c>
      <c r="O1417" s="2"/>
      <c r="P1417" s="2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</row>
    <row r="1418" spans="1:32" s="1" customFormat="1" ht="20.25" customHeight="1" x14ac:dyDescent="0.25">
      <c r="A1418" s="2"/>
      <c r="B1418" s="2"/>
      <c r="C1418" s="2"/>
      <c r="D1418" s="2">
        <f>COUNTIF(contact[[#This Row],[Bagossy]:[Szo
03:00 - 10:00]],"=~?")</f>
        <v>0</v>
      </c>
      <c r="E1418" s="2">
        <f>COUNTIF(contact[[#This Row],[Bagossy]:[Szo
03:00 - 10:00]],"=x")</f>
        <v>0</v>
      </c>
      <c r="F1418" s="2">
        <f>SUM(contact[[#This Row],[?]:[x]])</f>
        <v>0</v>
      </c>
      <c r="G14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8" s="3" t="s">
        <v>2678</v>
      </c>
      <c r="K1418" s="1" t="s">
        <v>2</v>
      </c>
      <c r="L1418" s="1" t="s">
        <v>2</v>
      </c>
      <c r="M1418" s="1" t="s">
        <v>2</v>
      </c>
      <c r="O1418" s="2"/>
      <c r="P1418" s="2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</row>
    <row r="1419" spans="1:32" s="1" customFormat="1" ht="20.25" customHeight="1" x14ac:dyDescent="0.25">
      <c r="A1419" s="2"/>
      <c r="B1419" s="2"/>
      <c r="C1419" s="2"/>
      <c r="D1419" s="2">
        <f>COUNTIF(contact[[#This Row],[Bagossy]:[Szo
03:00 - 10:00]],"=~?")</f>
        <v>0</v>
      </c>
      <c r="E1419" s="2">
        <f>COUNTIF(contact[[#This Row],[Bagossy]:[Szo
03:00 - 10:00]],"=x")</f>
        <v>0</v>
      </c>
      <c r="F1419" s="2">
        <f>SUM(contact[[#This Row],[?]:[x]])</f>
        <v>0</v>
      </c>
      <c r="G14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19" s="3" t="s">
        <v>2234</v>
      </c>
      <c r="K1419" s="1" t="s">
        <v>2</v>
      </c>
      <c r="L1419" s="1" t="s">
        <v>2</v>
      </c>
      <c r="M1419" s="1" t="s">
        <v>2</v>
      </c>
      <c r="O1419" s="2"/>
      <c r="P1419" s="2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</row>
    <row r="1420" spans="1:32" s="1" customFormat="1" ht="20.25" customHeight="1" x14ac:dyDescent="0.25">
      <c r="A1420" s="2"/>
      <c r="B1420" s="2"/>
      <c r="C1420" s="2"/>
      <c r="D1420" s="2">
        <f>COUNTIF(contact[[#This Row],[Bagossy]:[Szo
03:00 - 10:00]],"=~?")</f>
        <v>0</v>
      </c>
      <c r="E1420" s="2">
        <f>COUNTIF(contact[[#This Row],[Bagossy]:[Szo
03:00 - 10:00]],"=x")</f>
        <v>0</v>
      </c>
      <c r="F1420" s="2">
        <f>SUM(contact[[#This Row],[?]:[x]])</f>
        <v>0</v>
      </c>
      <c r="G14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0" s="3" t="s">
        <v>3515</v>
      </c>
      <c r="K1420" s="1" t="s">
        <v>34</v>
      </c>
      <c r="L1420" s="1" t="s">
        <v>2</v>
      </c>
      <c r="M1420" s="1" t="s">
        <v>2</v>
      </c>
      <c r="O1420" s="2"/>
      <c r="P1420" s="2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</row>
    <row r="1421" spans="1:32" s="1" customFormat="1" ht="20.25" customHeight="1" x14ac:dyDescent="0.25">
      <c r="A1421" s="2"/>
      <c r="B1421" s="2"/>
      <c r="C1421" s="2"/>
      <c r="D1421" s="2">
        <f>COUNTIF(contact[[#This Row],[Bagossy]:[Szo
03:00 - 10:00]],"=~?")</f>
        <v>0</v>
      </c>
      <c r="E1421" s="2">
        <f>COUNTIF(contact[[#This Row],[Bagossy]:[Szo
03:00 - 10:00]],"=x")</f>
        <v>0</v>
      </c>
      <c r="F1421" s="2">
        <f>SUM(contact[[#This Row],[?]:[x]])</f>
        <v>0</v>
      </c>
      <c r="G14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21" s="2"/>
      <c r="I1421" s="2"/>
      <c r="J1421" s="3" t="s">
        <v>3195</v>
      </c>
      <c r="K1421" s="1" t="s">
        <v>1589</v>
      </c>
      <c r="L1421" s="1" t="s">
        <v>2</v>
      </c>
      <c r="M1421" s="1" t="s">
        <v>2</v>
      </c>
      <c r="O1421" s="2"/>
      <c r="P1421" s="2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</row>
    <row r="1422" spans="1:32" s="1" customFormat="1" ht="20.25" customHeight="1" x14ac:dyDescent="0.25">
      <c r="A1422" s="2"/>
      <c r="B1422" s="2"/>
      <c r="C1422" s="2"/>
      <c r="D1422" s="2">
        <f>COUNTIF(contact[[#This Row],[Bagossy]:[Szo
03:00 - 10:00]],"=~?")</f>
        <v>0</v>
      </c>
      <c r="E1422" s="2">
        <f>COUNTIF(contact[[#This Row],[Bagossy]:[Szo
03:00 - 10:00]],"=x")</f>
        <v>0</v>
      </c>
      <c r="F1422" s="2">
        <f>SUM(contact[[#This Row],[?]:[x]])</f>
        <v>0</v>
      </c>
      <c r="G14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2" s="3" t="s">
        <v>3002</v>
      </c>
      <c r="K1422" s="1" t="s">
        <v>2</v>
      </c>
      <c r="L1422" s="1" t="s">
        <v>2</v>
      </c>
      <c r="M1422" s="1" t="s">
        <v>2</v>
      </c>
      <c r="O1422" s="2"/>
      <c r="P1422" s="2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</row>
    <row r="1423" spans="1:32" s="1" customFormat="1" ht="20.25" customHeight="1" x14ac:dyDescent="0.25">
      <c r="A1423" s="2"/>
      <c r="B1423" s="2"/>
      <c r="C1423" s="2"/>
      <c r="D1423" s="2">
        <f>COUNTIF(contact[[#This Row],[Bagossy]:[Szo
03:00 - 10:00]],"=~?")</f>
        <v>0</v>
      </c>
      <c r="E1423" s="2">
        <f>COUNTIF(contact[[#This Row],[Bagossy]:[Szo
03:00 - 10:00]],"=x")</f>
        <v>0</v>
      </c>
      <c r="F1423" s="2">
        <f>SUM(contact[[#This Row],[?]:[x]])</f>
        <v>0</v>
      </c>
      <c r="G14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3" s="3" t="s">
        <v>3047</v>
      </c>
      <c r="K1423" s="1" t="s">
        <v>617</v>
      </c>
      <c r="L1423" s="1" t="s">
        <v>2</v>
      </c>
      <c r="M1423" s="1" t="s">
        <v>2</v>
      </c>
      <c r="O1423" s="2"/>
      <c r="P1423" s="2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</row>
    <row r="1424" spans="1:32" s="1" customFormat="1" ht="20.25" customHeight="1" x14ac:dyDescent="0.25">
      <c r="A1424" s="2"/>
      <c r="B1424" s="2" t="s">
        <v>1285</v>
      </c>
      <c r="C1424" s="2" t="s">
        <v>1285</v>
      </c>
      <c r="D1424" s="2">
        <f>COUNTIF(contact[[#This Row],[Bagossy]:[Szo
03:00 - 10:00]],"=~?")</f>
        <v>0</v>
      </c>
      <c r="E1424" s="2">
        <f>COUNTIF(contact[[#This Row],[Bagossy]:[Szo
03:00 - 10:00]],"=x")</f>
        <v>0</v>
      </c>
      <c r="F1424" s="2">
        <f>SUM(contact[[#This Row],[?]:[x]])</f>
        <v>0</v>
      </c>
      <c r="G14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24" s="2" t="s">
        <v>4622</v>
      </c>
      <c r="I1424" s="2"/>
      <c r="J1424" s="3" t="s">
        <v>3200</v>
      </c>
      <c r="K1424" s="1" t="s">
        <v>1001</v>
      </c>
      <c r="L1424" s="1" t="s">
        <v>2</v>
      </c>
      <c r="M1424" s="1" t="s">
        <v>2</v>
      </c>
      <c r="O1424" s="2"/>
      <c r="P1424" s="2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</row>
    <row r="1425" spans="1:32" s="1" customFormat="1" ht="20.25" customHeight="1" x14ac:dyDescent="0.25">
      <c r="A1425" s="2"/>
      <c r="B1425" s="2"/>
      <c r="C1425" s="2"/>
      <c r="D1425" s="2">
        <f>COUNTIF(contact[[#This Row],[Bagossy]:[Szo
03:00 - 10:00]],"=~?")</f>
        <v>0</v>
      </c>
      <c r="E1425" s="2">
        <f>COUNTIF(contact[[#This Row],[Bagossy]:[Szo
03:00 - 10:00]],"=x")</f>
        <v>0</v>
      </c>
      <c r="F1425" s="2">
        <f>SUM(contact[[#This Row],[?]:[x]])</f>
        <v>0</v>
      </c>
      <c r="G14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25" s="2"/>
      <c r="I1425" s="2"/>
      <c r="J1425" s="3" t="s">
        <v>3212</v>
      </c>
      <c r="K1425" s="1" t="s">
        <v>776</v>
      </c>
      <c r="L1425" s="1" t="s">
        <v>2</v>
      </c>
      <c r="M1425" s="1" t="s">
        <v>2</v>
      </c>
      <c r="O1425" s="2"/>
      <c r="P1425" s="2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</row>
    <row r="1426" spans="1:32" s="1" customFormat="1" ht="20.25" customHeight="1" x14ac:dyDescent="0.25">
      <c r="A1426" s="2"/>
      <c r="B1426" s="2"/>
      <c r="C1426" s="2"/>
      <c r="D1426" s="2">
        <f>COUNTIF(contact[[#This Row],[Bagossy]:[Szo
03:00 - 10:00]],"=~?")</f>
        <v>0</v>
      </c>
      <c r="E1426" s="2">
        <f>COUNTIF(contact[[#This Row],[Bagossy]:[Szo
03:00 - 10:00]],"=x")</f>
        <v>0</v>
      </c>
      <c r="F1426" s="2">
        <f>SUM(contact[[#This Row],[?]:[x]])</f>
        <v>0</v>
      </c>
      <c r="G14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6" s="3" t="s">
        <v>3463</v>
      </c>
      <c r="K1426" s="1" t="s">
        <v>1565</v>
      </c>
      <c r="L1426" s="1" t="s">
        <v>2</v>
      </c>
      <c r="M1426" s="1" t="s">
        <v>2</v>
      </c>
      <c r="O1426" s="2"/>
      <c r="P1426" s="2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</row>
    <row r="1427" spans="1:32" s="1" customFormat="1" ht="20.25" customHeight="1" x14ac:dyDescent="0.25">
      <c r="A1427" s="2"/>
      <c r="B1427" s="2"/>
      <c r="C1427" s="2"/>
      <c r="D1427" s="2">
        <f>COUNTIF(contact[[#This Row],[Bagossy]:[Szo
03:00 - 10:00]],"=~?")</f>
        <v>0</v>
      </c>
      <c r="E1427" s="2">
        <f>COUNTIF(contact[[#This Row],[Bagossy]:[Szo
03:00 - 10:00]],"=x")</f>
        <v>0</v>
      </c>
      <c r="F1427" s="2">
        <f>SUM(contact[[#This Row],[?]:[x]])</f>
        <v>0</v>
      </c>
      <c r="G14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7" s="3" t="s">
        <v>3464</v>
      </c>
      <c r="K1427" s="1" t="s">
        <v>802</v>
      </c>
      <c r="L1427" s="1" t="s">
        <v>2</v>
      </c>
      <c r="M1427" s="1" t="s">
        <v>2</v>
      </c>
      <c r="O1427" s="2"/>
      <c r="P1427" s="2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</row>
    <row r="1428" spans="1:32" s="1" customFormat="1" ht="20.25" customHeight="1" x14ac:dyDescent="0.25">
      <c r="A1428" s="2"/>
      <c r="B1428" s="2"/>
      <c r="C1428" s="2"/>
      <c r="D1428" s="2">
        <f>COUNTIF(contact[[#This Row],[Bagossy]:[Szo
03:00 - 10:00]],"=~?")</f>
        <v>0</v>
      </c>
      <c r="E1428" s="2">
        <f>COUNTIF(contact[[#This Row],[Bagossy]:[Szo
03:00 - 10:00]],"=x")</f>
        <v>0</v>
      </c>
      <c r="F1428" s="2">
        <f>SUM(contact[[#This Row],[?]:[x]])</f>
        <v>0</v>
      </c>
      <c r="G14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8" s="3" t="s">
        <v>2847</v>
      </c>
      <c r="K1428" s="1" t="s">
        <v>2</v>
      </c>
      <c r="L1428" s="1" t="s">
        <v>2</v>
      </c>
      <c r="M1428" s="1" t="s">
        <v>2</v>
      </c>
      <c r="O1428" s="2"/>
      <c r="P1428" s="2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</row>
    <row r="1429" spans="1:32" s="1" customFormat="1" ht="20.25" customHeight="1" x14ac:dyDescent="0.25">
      <c r="A1429" s="2"/>
      <c r="B1429" s="2"/>
      <c r="C1429" s="2"/>
      <c r="D1429" s="2">
        <f>COUNTIF(contact[[#This Row],[Bagossy]:[Szo
03:00 - 10:00]],"=~?")</f>
        <v>0</v>
      </c>
      <c r="E1429" s="2">
        <f>COUNTIF(contact[[#This Row],[Bagossy]:[Szo
03:00 - 10:00]],"=x")</f>
        <v>0</v>
      </c>
      <c r="F1429" s="2">
        <f>SUM(contact[[#This Row],[?]:[x]])</f>
        <v>0</v>
      </c>
      <c r="G14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29" s="3" t="s">
        <v>3638</v>
      </c>
      <c r="K1429" s="1" t="s">
        <v>177</v>
      </c>
      <c r="L1429" s="1" t="s">
        <v>2</v>
      </c>
      <c r="M1429" s="1" t="s">
        <v>2</v>
      </c>
      <c r="O1429" s="2"/>
      <c r="P1429" s="2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</row>
    <row r="1430" spans="1:32" s="1" customFormat="1" ht="20.25" customHeight="1" x14ac:dyDescent="0.25">
      <c r="A1430" s="2"/>
      <c r="B1430" s="2"/>
      <c r="C1430" s="2"/>
      <c r="D1430" s="2">
        <f>COUNTIF(contact[[#This Row],[Bagossy]:[Szo
03:00 - 10:00]],"=~?")</f>
        <v>0</v>
      </c>
      <c r="E1430" s="2">
        <f>COUNTIF(contact[[#This Row],[Bagossy]:[Szo
03:00 - 10:00]],"=x")</f>
        <v>0</v>
      </c>
      <c r="F1430" s="2">
        <f>SUM(contact[[#This Row],[?]:[x]])</f>
        <v>0</v>
      </c>
      <c r="G14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30" s="2"/>
      <c r="I1430" s="2"/>
      <c r="J1430" s="3" t="s">
        <v>3213</v>
      </c>
      <c r="K1430" s="1" t="s">
        <v>673</v>
      </c>
      <c r="L1430" s="1" t="s">
        <v>2</v>
      </c>
      <c r="M1430" s="1" t="s">
        <v>2</v>
      </c>
      <c r="O1430" s="2"/>
      <c r="P1430" s="2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</row>
    <row r="1431" spans="1:32" s="1" customFormat="1" ht="20.25" customHeight="1" x14ac:dyDescent="0.25">
      <c r="A1431" s="2"/>
      <c r="B1431" s="2"/>
      <c r="C1431" s="2"/>
      <c r="D1431" s="2">
        <f>COUNTIF(contact[[#This Row],[Bagossy]:[Szo
03:00 - 10:00]],"=~?")</f>
        <v>0</v>
      </c>
      <c r="E1431" s="2">
        <f>COUNTIF(contact[[#This Row],[Bagossy]:[Szo
03:00 - 10:00]],"=x")</f>
        <v>0</v>
      </c>
      <c r="F1431" s="2">
        <f>SUM(contact[[#This Row],[?]:[x]])</f>
        <v>0</v>
      </c>
      <c r="G14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1" s="3" t="s">
        <v>3398</v>
      </c>
      <c r="K1431" s="1" t="s">
        <v>2</v>
      </c>
      <c r="L1431" s="1" t="s">
        <v>2</v>
      </c>
      <c r="M1431" s="1" t="s">
        <v>2</v>
      </c>
      <c r="O1431" s="2"/>
      <c r="P1431" s="2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</row>
    <row r="1432" spans="1:32" s="1" customFormat="1" ht="20.25" customHeight="1" x14ac:dyDescent="0.25">
      <c r="A1432" s="2"/>
      <c r="B1432" s="2"/>
      <c r="C1432" s="2"/>
      <c r="D1432" s="2">
        <f>COUNTIF(contact[[#This Row],[Bagossy]:[Szo
03:00 - 10:00]],"=~?")</f>
        <v>0</v>
      </c>
      <c r="E1432" s="2">
        <f>COUNTIF(contact[[#This Row],[Bagossy]:[Szo
03:00 - 10:00]],"=x")</f>
        <v>0</v>
      </c>
      <c r="F1432" s="2">
        <f>SUM(contact[[#This Row],[?]:[x]])</f>
        <v>0</v>
      </c>
      <c r="G14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2" s="3" t="s">
        <v>3206</v>
      </c>
      <c r="K1432" s="1" t="s">
        <v>692</v>
      </c>
      <c r="L1432" s="1" t="s">
        <v>2</v>
      </c>
      <c r="M1432" s="1" t="s">
        <v>2</v>
      </c>
      <c r="O1432" s="2"/>
      <c r="P1432" s="2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</row>
    <row r="1433" spans="1:32" s="1" customFormat="1" ht="20.25" customHeight="1" x14ac:dyDescent="0.25">
      <c r="A1433" s="2"/>
      <c r="B1433" s="2"/>
      <c r="C1433" s="2"/>
      <c r="D1433" s="2">
        <f>COUNTIF(contact[[#This Row],[Bagossy]:[Szo
03:00 - 10:00]],"=~?")</f>
        <v>0</v>
      </c>
      <c r="E1433" s="2">
        <f>COUNTIF(contact[[#This Row],[Bagossy]:[Szo
03:00 - 10:00]],"=x")</f>
        <v>0</v>
      </c>
      <c r="F1433" s="2">
        <f>SUM(contact[[#This Row],[?]:[x]])</f>
        <v>0</v>
      </c>
      <c r="G14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3" s="3" t="s">
        <v>3266</v>
      </c>
      <c r="K1433" s="1" t="s">
        <v>723</v>
      </c>
      <c r="L1433" s="1" t="s">
        <v>2</v>
      </c>
      <c r="M1433" s="1" t="s">
        <v>2</v>
      </c>
      <c r="O1433" s="2"/>
      <c r="P1433" s="2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</row>
    <row r="1434" spans="1:32" s="1" customFormat="1" ht="20.25" customHeight="1" x14ac:dyDescent="0.25">
      <c r="A1434" s="2"/>
      <c r="B1434" s="2"/>
      <c r="C1434" s="2"/>
      <c r="D1434" s="2">
        <f>COUNTIF(contact[[#This Row],[Bagossy]:[Szo
03:00 - 10:00]],"=~?")</f>
        <v>0</v>
      </c>
      <c r="E1434" s="2">
        <f>COUNTIF(contact[[#This Row],[Bagossy]:[Szo
03:00 - 10:00]],"=x")</f>
        <v>0</v>
      </c>
      <c r="F1434" s="2">
        <f>SUM(contact[[#This Row],[?]:[x]])</f>
        <v>0</v>
      </c>
      <c r="G14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4" s="3" t="s">
        <v>3207</v>
      </c>
      <c r="K1434" s="1" t="s">
        <v>1592</v>
      </c>
      <c r="L1434" s="1" t="s">
        <v>2</v>
      </c>
      <c r="M1434" s="1" t="s">
        <v>2</v>
      </c>
      <c r="O1434" s="2"/>
      <c r="P1434" s="2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</row>
    <row r="1435" spans="1:32" s="1" customFormat="1" ht="20.25" customHeight="1" x14ac:dyDescent="0.25">
      <c r="A1435" s="2"/>
      <c r="B1435" s="2"/>
      <c r="C1435" s="2"/>
      <c r="D1435" s="2">
        <f>COUNTIF(contact[[#This Row],[Bagossy]:[Szo
03:00 - 10:00]],"=~?")</f>
        <v>0</v>
      </c>
      <c r="E1435" s="2">
        <f>COUNTIF(contact[[#This Row],[Bagossy]:[Szo
03:00 - 10:00]],"=x")</f>
        <v>0</v>
      </c>
      <c r="F1435" s="2">
        <f>SUM(contact[[#This Row],[?]:[x]])</f>
        <v>0</v>
      </c>
      <c r="G14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5" s="3" t="s">
        <v>3955</v>
      </c>
      <c r="K1435" s="1" t="s">
        <v>2</v>
      </c>
      <c r="L1435" s="1" t="s">
        <v>2</v>
      </c>
      <c r="M1435" s="1" t="s">
        <v>2</v>
      </c>
      <c r="O1435" s="2"/>
      <c r="P1435" s="2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</row>
    <row r="1436" spans="1:32" s="1" customFormat="1" ht="20.25" customHeight="1" x14ac:dyDescent="0.25">
      <c r="A1436" s="2"/>
      <c r="B1436" s="2"/>
      <c r="C1436" s="2"/>
      <c r="D1436" s="2">
        <f>COUNTIF(contact[[#This Row],[Bagossy]:[Szo
03:00 - 10:00]],"=~?")</f>
        <v>0</v>
      </c>
      <c r="E1436" s="2">
        <f>COUNTIF(contact[[#This Row],[Bagossy]:[Szo
03:00 - 10:00]],"=x")</f>
        <v>0</v>
      </c>
      <c r="F1436" s="2">
        <f>SUM(contact[[#This Row],[?]:[x]])</f>
        <v>0</v>
      </c>
      <c r="G14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6" s="3" t="s">
        <v>4011</v>
      </c>
      <c r="K1436" s="1" t="s">
        <v>2</v>
      </c>
      <c r="L1436" s="1" t="s">
        <v>2</v>
      </c>
      <c r="M1436" s="1" t="s">
        <v>2</v>
      </c>
      <c r="O1436" s="2"/>
      <c r="P1436" s="2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</row>
    <row r="1437" spans="1:32" s="1" customFormat="1" ht="20.25" customHeight="1" x14ac:dyDescent="0.25">
      <c r="A1437" s="2"/>
      <c r="B1437" s="2"/>
      <c r="C1437" s="2"/>
      <c r="D1437" s="2">
        <f>COUNTIF(contact[[#This Row],[Bagossy]:[Szo
03:00 - 10:00]],"=~?")</f>
        <v>0</v>
      </c>
      <c r="E1437" s="2">
        <f>COUNTIF(contact[[#This Row],[Bagossy]:[Szo
03:00 - 10:00]],"=x")</f>
        <v>0</v>
      </c>
      <c r="F1437" s="2">
        <f>SUM(contact[[#This Row],[?]:[x]])</f>
        <v>0</v>
      </c>
      <c r="G14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7" s="3" t="s">
        <v>4264</v>
      </c>
      <c r="K1437" s="1" t="s">
        <v>2</v>
      </c>
      <c r="L1437" s="1" t="s">
        <v>2</v>
      </c>
      <c r="M1437" s="1" t="s">
        <v>2</v>
      </c>
      <c r="O1437" s="2"/>
      <c r="P1437" s="2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</row>
    <row r="1438" spans="1:32" s="1" customFormat="1" ht="20.25" customHeight="1" x14ac:dyDescent="0.25">
      <c r="A1438" s="2"/>
      <c r="B1438" s="2" t="s">
        <v>1285</v>
      </c>
      <c r="C1438" s="2" t="s">
        <v>1285</v>
      </c>
      <c r="D1438" s="2">
        <f>COUNTIF(contact[[#This Row],[Bagossy]:[Szo
03:00 - 10:00]],"=~?")</f>
        <v>0</v>
      </c>
      <c r="E1438" s="2">
        <f>COUNTIF(contact[[#This Row],[Bagossy]:[Szo
03:00 - 10:00]],"=x")</f>
        <v>0</v>
      </c>
      <c r="F1438" s="2">
        <f>SUM(contact[[#This Row],[?]:[x]])</f>
        <v>0</v>
      </c>
      <c r="G14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38" s="2"/>
      <c r="I1438" s="2"/>
      <c r="J1438" s="3" t="s">
        <v>3214</v>
      </c>
      <c r="K1438" s="1" t="s">
        <v>1594</v>
      </c>
      <c r="L1438" s="1" t="s">
        <v>2</v>
      </c>
      <c r="M1438" s="1" t="s">
        <v>2</v>
      </c>
      <c r="O1438" s="2"/>
      <c r="P1438" s="2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</row>
    <row r="1439" spans="1:32" s="1" customFormat="1" ht="20.25" customHeight="1" x14ac:dyDescent="0.25">
      <c r="A1439" s="2"/>
      <c r="B1439" s="2"/>
      <c r="C1439" s="2"/>
      <c r="D1439" s="2">
        <f>COUNTIF(contact[[#This Row],[Bagossy]:[Szo
03:00 - 10:00]],"=~?")</f>
        <v>0</v>
      </c>
      <c r="E1439" s="2">
        <f>COUNTIF(contact[[#This Row],[Bagossy]:[Szo
03:00 - 10:00]],"=x")</f>
        <v>0</v>
      </c>
      <c r="F1439" s="2">
        <f>SUM(contact[[#This Row],[?]:[x]])</f>
        <v>0</v>
      </c>
      <c r="G14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39" s="3" t="s">
        <v>752</v>
      </c>
      <c r="K1439" s="1" t="s">
        <v>2</v>
      </c>
      <c r="L1439" s="1" t="s">
        <v>2</v>
      </c>
      <c r="M1439" s="1" t="s">
        <v>2</v>
      </c>
      <c r="O1439" s="2"/>
      <c r="P1439" s="2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</row>
    <row r="1440" spans="1:32" s="1" customFormat="1" ht="20.25" customHeight="1" x14ac:dyDescent="0.25">
      <c r="A1440" s="2"/>
      <c r="B1440" s="2"/>
      <c r="C1440" s="2"/>
      <c r="D1440" s="2">
        <f>COUNTIF(contact[[#This Row],[Bagossy]:[Szo
03:00 - 10:00]],"=~?")</f>
        <v>0</v>
      </c>
      <c r="E1440" s="2">
        <f>COUNTIF(contact[[#This Row],[Bagossy]:[Szo
03:00 - 10:00]],"=x")</f>
        <v>0</v>
      </c>
      <c r="F1440" s="2">
        <f>SUM(contact[[#This Row],[?]:[x]])</f>
        <v>0</v>
      </c>
      <c r="G14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0" s="3" t="s">
        <v>4507</v>
      </c>
      <c r="K1440" s="1" t="s">
        <v>2</v>
      </c>
      <c r="L1440" s="1" t="s">
        <v>2</v>
      </c>
      <c r="M1440" s="1" t="s">
        <v>2</v>
      </c>
      <c r="O1440" s="2"/>
      <c r="P1440" s="2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</row>
    <row r="1441" spans="1:32" s="1" customFormat="1" ht="20.25" customHeight="1" x14ac:dyDescent="0.25">
      <c r="A1441" s="2"/>
      <c r="B1441" s="2"/>
      <c r="C1441" s="2"/>
      <c r="D1441" s="2">
        <f>COUNTIF(contact[[#This Row],[Bagossy]:[Szo
03:00 - 10:00]],"=~?")</f>
        <v>0</v>
      </c>
      <c r="E1441" s="2">
        <f>COUNTIF(contact[[#This Row],[Bagossy]:[Szo
03:00 - 10:00]],"=x")</f>
        <v>0</v>
      </c>
      <c r="F1441" s="2">
        <f>SUM(contact[[#This Row],[?]:[x]])</f>
        <v>0</v>
      </c>
      <c r="G14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1" s="3" t="s">
        <v>4412</v>
      </c>
      <c r="K1441" s="1" t="s">
        <v>1231</v>
      </c>
      <c r="L1441" s="1" t="s">
        <v>2</v>
      </c>
      <c r="M1441" s="1" t="s">
        <v>2</v>
      </c>
      <c r="O1441" s="2"/>
      <c r="P1441" s="2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</row>
    <row r="1442" spans="1:32" s="1" customFormat="1" ht="20.25" customHeight="1" x14ac:dyDescent="0.25">
      <c r="A1442" s="2"/>
      <c r="B1442" s="2"/>
      <c r="C1442" s="2"/>
      <c r="D1442" s="2">
        <f>COUNTIF(contact[[#This Row],[Bagossy]:[Szo
03:00 - 10:00]],"=~?")</f>
        <v>0</v>
      </c>
      <c r="E1442" s="2">
        <f>COUNTIF(contact[[#This Row],[Bagossy]:[Szo
03:00 - 10:00]],"=x")</f>
        <v>0</v>
      </c>
      <c r="F1442" s="2">
        <f>SUM(contact[[#This Row],[?]:[x]])</f>
        <v>0</v>
      </c>
      <c r="G14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2" s="3" t="s">
        <v>3010</v>
      </c>
      <c r="K1442" s="1" t="s">
        <v>602</v>
      </c>
      <c r="L1442" s="1" t="s">
        <v>2</v>
      </c>
      <c r="M1442" s="1" t="s">
        <v>2</v>
      </c>
      <c r="O1442" s="2"/>
      <c r="P1442" s="2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</row>
    <row r="1443" spans="1:32" s="1" customFormat="1" ht="20.25" customHeight="1" x14ac:dyDescent="0.25">
      <c r="A1443" s="2"/>
      <c r="B1443" s="2"/>
      <c r="C1443" s="2"/>
      <c r="D1443" s="2">
        <f>COUNTIF(contact[[#This Row],[Bagossy]:[Szo
03:00 - 10:00]],"=~?")</f>
        <v>0</v>
      </c>
      <c r="E1443" s="2">
        <f>COUNTIF(contact[[#This Row],[Bagossy]:[Szo
03:00 - 10:00]],"=x")</f>
        <v>0</v>
      </c>
      <c r="F1443" s="2">
        <f>SUM(contact[[#This Row],[?]:[x]])</f>
        <v>0</v>
      </c>
      <c r="G14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3" s="3" t="s">
        <v>3719</v>
      </c>
      <c r="K1443" s="1" t="s">
        <v>2</v>
      </c>
      <c r="L1443" s="1" t="s">
        <v>2</v>
      </c>
      <c r="M1443" s="1" t="s">
        <v>2</v>
      </c>
      <c r="O1443" s="2"/>
      <c r="P1443" s="2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</row>
    <row r="1444" spans="1:32" s="1" customFormat="1" ht="20.25" customHeight="1" x14ac:dyDescent="0.25">
      <c r="A1444" s="2"/>
      <c r="B1444" s="2"/>
      <c r="C1444" s="2"/>
      <c r="D1444" s="2">
        <f>COUNTIF(contact[[#This Row],[Bagossy]:[Szo
03:00 - 10:00]],"=~?")</f>
        <v>0</v>
      </c>
      <c r="E1444" s="2">
        <f>COUNTIF(contact[[#This Row],[Bagossy]:[Szo
03:00 - 10:00]],"=x")</f>
        <v>0</v>
      </c>
      <c r="F1444" s="2">
        <f>SUM(contact[[#This Row],[?]:[x]])</f>
        <v>0</v>
      </c>
      <c r="G14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4" s="3" t="s">
        <v>3305</v>
      </c>
      <c r="K1444" s="1" t="s">
        <v>2</v>
      </c>
      <c r="L1444" s="1" t="s">
        <v>2</v>
      </c>
      <c r="M1444" s="1" t="s">
        <v>2</v>
      </c>
      <c r="O1444" s="2"/>
      <c r="P1444" s="2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</row>
    <row r="1445" spans="1:32" s="1" customFormat="1" ht="20.25" customHeight="1" x14ac:dyDescent="0.25">
      <c r="A1445" s="2"/>
      <c r="B1445" s="2"/>
      <c r="C1445" s="2"/>
      <c r="D1445" s="2">
        <f>COUNTIF(contact[[#This Row],[Bagossy]:[Szo
03:00 - 10:00]],"=~?")</f>
        <v>0</v>
      </c>
      <c r="E1445" s="2">
        <f>COUNTIF(contact[[#This Row],[Bagossy]:[Szo
03:00 - 10:00]],"=x")</f>
        <v>0</v>
      </c>
      <c r="F1445" s="2">
        <f>SUM(contact[[#This Row],[?]:[x]])</f>
        <v>0</v>
      </c>
      <c r="G14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5" s="3" t="s">
        <v>2444</v>
      </c>
      <c r="K1445" s="1" t="s">
        <v>2</v>
      </c>
      <c r="L1445" s="1" t="s">
        <v>2</v>
      </c>
      <c r="M1445" s="1" t="s">
        <v>2</v>
      </c>
      <c r="O1445" s="2"/>
      <c r="P1445" s="2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</row>
    <row r="1446" spans="1:32" s="1" customFormat="1" ht="20.25" customHeight="1" x14ac:dyDescent="0.25">
      <c r="A1446" s="2"/>
      <c r="B1446" s="2"/>
      <c r="C1446" s="2"/>
      <c r="D1446" s="2">
        <f>COUNTIF(contact[[#This Row],[Bagossy]:[Szo
03:00 - 10:00]],"=~?")</f>
        <v>0</v>
      </c>
      <c r="E1446" s="2">
        <f>COUNTIF(contact[[#This Row],[Bagossy]:[Szo
03:00 - 10:00]],"=x")</f>
        <v>0</v>
      </c>
      <c r="F1446" s="2">
        <f>SUM(contact[[#This Row],[?]:[x]])</f>
        <v>0</v>
      </c>
      <c r="G14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6" s="3" t="s">
        <v>753</v>
      </c>
      <c r="K1446" s="1" t="s">
        <v>2</v>
      </c>
      <c r="L1446" s="1" t="s">
        <v>2</v>
      </c>
      <c r="M1446" s="1" t="s">
        <v>2</v>
      </c>
      <c r="O1446" s="2"/>
      <c r="P1446" s="2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</row>
    <row r="1447" spans="1:32" s="1" customFormat="1" ht="20.25" customHeight="1" x14ac:dyDescent="0.25">
      <c r="A1447" s="2"/>
      <c r="B1447" s="2"/>
      <c r="C1447" s="2"/>
      <c r="D1447" s="2">
        <f>COUNTIF(contact[[#This Row],[Bagossy]:[Szo
03:00 - 10:00]],"=~?")</f>
        <v>0</v>
      </c>
      <c r="E1447" s="2">
        <f>COUNTIF(contact[[#This Row],[Bagossy]:[Szo
03:00 - 10:00]],"=x")</f>
        <v>0</v>
      </c>
      <c r="F1447" s="2">
        <f>SUM(contact[[#This Row],[?]:[x]])</f>
        <v>0</v>
      </c>
      <c r="G14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7" s="3" t="s">
        <v>754</v>
      </c>
      <c r="K1447" s="1" t="s">
        <v>2</v>
      </c>
      <c r="L1447" s="1" t="s">
        <v>2</v>
      </c>
      <c r="M1447" s="1" t="s">
        <v>2</v>
      </c>
      <c r="O1447" s="2"/>
      <c r="P1447" s="2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</row>
    <row r="1448" spans="1:32" s="1" customFormat="1" ht="20.25" customHeight="1" x14ac:dyDescent="0.25">
      <c r="A1448" s="2"/>
      <c r="B1448" s="2"/>
      <c r="C1448" s="2"/>
      <c r="D1448" s="2">
        <f>COUNTIF(contact[[#This Row],[Bagossy]:[Szo
03:00 - 10:00]],"=~?")</f>
        <v>0</v>
      </c>
      <c r="E1448" s="2">
        <f>COUNTIF(contact[[#This Row],[Bagossy]:[Szo
03:00 - 10:00]],"=x")</f>
        <v>0</v>
      </c>
      <c r="F1448" s="2">
        <f>SUM(contact[[#This Row],[?]:[x]])</f>
        <v>0</v>
      </c>
      <c r="G14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8" s="3" t="s">
        <v>755</v>
      </c>
      <c r="K1448" s="1" t="s">
        <v>2</v>
      </c>
      <c r="L1448" s="1" t="s">
        <v>2</v>
      </c>
      <c r="M1448" s="1" t="s">
        <v>2</v>
      </c>
      <c r="O1448" s="2"/>
      <c r="P1448" s="2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</row>
    <row r="1449" spans="1:32" s="1" customFormat="1" ht="20.25" customHeight="1" x14ac:dyDescent="0.25">
      <c r="A1449" s="2"/>
      <c r="B1449" s="2"/>
      <c r="C1449" s="2"/>
      <c r="D1449" s="2">
        <f>COUNTIF(contact[[#This Row],[Bagossy]:[Szo
03:00 - 10:00]],"=~?")</f>
        <v>0</v>
      </c>
      <c r="E1449" s="2">
        <f>COUNTIF(contact[[#This Row],[Bagossy]:[Szo
03:00 - 10:00]],"=x")</f>
        <v>0</v>
      </c>
      <c r="F1449" s="2">
        <f>SUM(contact[[#This Row],[?]:[x]])</f>
        <v>0</v>
      </c>
      <c r="G14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49" s="3" t="s">
        <v>2269</v>
      </c>
      <c r="K1449" s="1" t="s">
        <v>217</v>
      </c>
      <c r="L1449" s="1" t="s">
        <v>2</v>
      </c>
      <c r="M1449" s="1" t="s">
        <v>2</v>
      </c>
      <c r="O1449" s="2"/>
      <c r="P1449" s="2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</row>
    <row r="1450" spans="1:32" s="1" customFormat="1" ht="20.25" customHeight="1" x14ac:dyDescent="0.25">
      <c r="A1450" s="2"/>
      <c r="B1450" s="2"/>
      <c r="C1450" s="2"/>
      <c r="D1450" s="2">
        <f>COUNTIF(contact[[#This Row],[Bagossy]:[Szo
03:00 - 10:00]],"=~?")</f>
        <v>0</v>
      </c>
      <c r="E1450" s="2">
        <f>COUNTIF(contact[[#This Row],[Bagossy]:[Szo
03:00 - 10:00]],"=x")</f>
        <v>0</v>
      </c>
      <c r="F1450" s="2">
        <f>SUM(contact[[#This Row],[?]:[x]])</f>
        <v>0</v>
      </c>
      <c r="G14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0" s="3" t="s">
        <v>4025</v>
      </c>
      <c r="K1450" s="1" t="s">
        <v>1764</v>
      </c>
      <c r="L1450" s="1" t="s">
        <v>2</v>
      </c>
      <c r="M1450" s="1" t="s">
        <v>2</v>
      </c>
      <c r="O1450" s="2"/>
      <c r="P1450" s="2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</row>
    <row r="1451" spans="1:32" s="1" customFormat="1" ht="20.25" customHeight="1" x14ac:dyDescent="0.25">
      <c r="A1451" s="2"/>
      <c r="B1451" s="2"/>
      <c r="C1451" s="2"/>
      <c r="D1451" s="2">
        <f>COUNTIF(contact[[#This Row],[Bagossy]:[Szo
03:00 - 10:00]],"=~?")</f>
        <v>0</v>
      </c>
      <c r="E1451" s="2">
        <f>COUNTIF(contact[[#This Row],[Bagossy]:[Szo
03:00 - 10:00]],"=x")</f>
        <v>0</v>
      </c>
      <c r="F1451" s="2">
        <f>SUM(contact[[#This Row],[?]:[x]])</f>
        <v>0</v>
      </c>
      <c r="G14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1" s="3" t="s">
        <v>2084</v>
      </c>
      <c r="K1451" s="1" t="s">
        <v>1331</v>
      </c>
      <c r="L1451" s="1" t="s">
        <v>2</v>
      </c>
      <c r="M1451" s="1" t="s">
        <v>2</v>
      </c>
      <c r="O1451" s="2"/>
      <c r="P1451" s="2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</row>
    <row r="1452" spans="1:32" s="1" customFormat="1" ht="20.25" customHeight="1" x14ac:dyDescent="0.25">
      <c r="A1452" s="2"/>
      <c r="B1452" s="2"/>
      <c r="C1452" s="2"/>
      <c r="D1452" s="2">
        <f>COUNTIF(contact[[#This Row],[Bagossy]:[Szo
03:00 - 10:00]],"=~?")</f>
        <v>0</v>
      </c>
      <c r="E1452" s="2">
        <f>COUNTIF(contact[[#This Row],[Bagossy]:[Szo
03:00 - 10:00]],"=x")</f>
        <v>0</v>
      </c>
      <c r="F1452" s="2">
        <f>SUM(contact[[#This Row],[?]:[x]])</f>
        <v>0</v>
      </c>
      <c r="G14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2" s="3" t="s">
        <v>756</v>
      </c>
      <c r="K1452" s="1" t="s">
        <v>2</v>
      </c>
      <c r="L1452" s="1" t="s">
        <v>2</v>
      </c>
      <c r="M1452" s="1" t="s">
        <v>2</v>
      </c>
      <c r="O1452" s="2"/>
      <c r="P1452" s="2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</row>
    <row r="1453" spans="1:32" s="1" customFormat="1" ht="20.25" customHeight="1" x14ac:dyDescent="0.25">
      <c r="A1453" s="2"/>
      <c r="B1453" s="2"/>
      <c r="C1453" s="2"/>
      <c r="D1453" s="2">
        <f>COUNTIF(contact[[#This Row],[Bagossy]:[Szo
03:00 - 10:00]],"=~?")</f>
        <v>0</v>
      </c>
      <c r="E1453" s="2">
        <f>COUNTIF(contact[[#This Row],[Bagossy]:[Szo
03:00 - 10:00]],"=x")</f>
        <v>0</v>
      </c>
      <c r="F1453" s="2">
        <f>SUM(contact[[#This Row],[?]:[x]])</f>
        <v>0</v>
      </c>
      <c r="G14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3" s="3" t="s">
        <v>3537</v>
      </c>
      <c r="K1453" s="1" t="s">
        <v>833</v>
      </c>
      <c r="L1453" s="1" t="s">
        <v>2</v>
      </c>
      <c r="M1453" s="1" t="s">
        <v>2</v>
      </c>
      <c r="O1453" s="2"/>
      <c r="P1453" s="2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</row>
    <row r="1454" spans="1:32" s="1" customFormat="1" ht="20.25" customHeight="1" x14ac:dyDescent="0.25">
      <c r="A1454" s="2"/>
      <c r="B1454" s="2"/>
      <c r="C1454" s="2"/>
      <c r="D1454" s="2">
        <f>COUNTIF(contact[[#This Row],[Bagossy]:[Szo
03:00 - 10:00]],"=~?")</f>
        <v>0</v>
      </c>
      <c r="E1454" s="2">
        <f>COUNTIF(contact[[#This Row],[Bagossy]:[Szo
03:00 - 10:00]],"=x")</f>
        <v>0</v>
      </c>
      <c r="F1454" s="2">
        <f>SUM(contact[[#This Row],[?]:[x]])</f>
        <v>0</v>
      </c>
      <c r="G14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4" s="3" t="s">
        <v>2445</v>
      </c>
      <c r="K1454" s="1" t="s">
        <v>311</v>
      </c>
      <c r="L1454" s="1" t="s">
        <v>2</v>
      </c>
      <c r="M1454" s="1" t="s">
        <v>2</v>
      </c>
      <c r="O1454" s="2"/>
      <c r="P1454" s="2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</row>
    <row r="1455" spans="1:32" s="1" customFormat="1" ht="20.25" customHeight="1" x14ac:dyDescent="0.25">
      <c r="A1455" s="2"/>
      <c r="B1455" s="2"/>
      <c r="C1455" s="2"/>
      <c r="D1455" s="2">
        <f>COUNTIF(contact[[#This Row],[Bagossy]:[Szo
03:00 - 10:00]],"=~?")</f>
        <v>0</v>
      </c>
      <c r="E1455" s="2">
        <f>COUNTIF(contact[[#This Row],[Bagossy]:[Szo
03:00 - 10:00]],"=x")</f>
        <v>0</v>
      </c>
      <c r="F1455" s="2">
        <f>SUM(contact[[#This Row],[?]:[x]])</f>
        <v>0</v>
      </c>
      <c r="G14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5" s="3" t="s">
        <v>3006</v>
      </c>
      <c r="K1455" s="1" t="s">
        <v>2</v>
      </c>
      <c r="L1455" s="1" t="s">
        <v>2</v>
      </c>
      <c r="M1455" s="1" t="s">
        <v>2</v>
      </c>
      <c r="O1455" s="2"/>
      <c r="P1455" s="2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</row>
    <row r="1456" spans="1:32" s="1" customFormat="1" ht="20.25" customHeight="1" x14ac:dyDescent="0.25">
      <c r="A1456" s="2"/>
      <c r="B1456" s="2"/>
      <c r="C1456" s="2"/>
      <c r="D1456" s="2">
        <f>COUNTIF(contact[[#This Row],[Bagossy]:[Szo
03:00 - 10:00]],"=~?")</f>
        <v>0</v>
      </c>
      <c r="E1456" s="2">
        <f>COUNTIF(contact[[#This Row],[Bagossy]:[Szo
03:00 - 10:00]],"=x")</f>
        <v>0</v>
      </c>
      <c r="F1456" s="2">
        <f>SUM(contact[[#This Row],[?]:[x]])</f>
        <v>0</v>
      </c>
      <c r="G14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6" s="3" t="s">
        <v>2616</v>
      </c>
      <c r="K1456" s="1" t="s">
        <v>1457</v>
      </c>
      <c r="L1456" s="1" t="s">
        <v>2</v>
      </c>
      <c r="M1456" s="1" t="s">
        <v>2</v>
      </c>
      <c r="O1456" s="2"/>
      <c r="P1456" s="2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</row>
    <row r="1457" spans="1:32" s="1" customFormat="1" ht="20.25" customHeight="1" x14ac:dyDescent="0.25">
      <c r="A1457" s="2"/>
      <c r="B1457" s="2"/>
      <c r="C1457" s="2"/>
      <c r="D1457" s="2">
        <f>COUNTIF(contact[[#This Row],[Bagossy]:[Szo
03:00 - 10:00]],"=~?")</f>
        <v>0</v>
      </c>
      <c r="E1457" s="2">
        <f>COUNTIF(contact[[#This Row],[Bagossy]:[Szo
03:00 - 10:00]],"=x")</f>
        <v>0</v>
      </c>
      <c r="F1457" s="2">
        <f>SUM(contact[[#This Row],[?]:[x]])</f>
        <v>0</v>
      </c>
      <c r="G14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7" s="3" t="s">
        <v>4281</v>
      </c>
      <c r="K1457" s="1" t="s">
        <v>709</v>
      </c>
      <c r="L1457" s="1" t="s">
        <v>2</v>
      </c>
      <c r="M1457" s="1" t="s">
        <v>2</v>
      </c>
      <c r="O1457" s="2"/>
      <c r="P1457" s="2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</row>
    <row r="1458" spans="1:32" s="1" customFormat="1" ht="20.25" customHeight="1" x14ac:dyDescent="0.25">
      <c r="A1458" s="2"/>
      <c r="B1458" s="2"/>
      <c r="C1458" s="2"/>
      <c r="D1458" s="2">
        <f>COUNTIF(contact[[#This Row],[Bagossy]:[Szo
03:00 - 10:00]],"=~?")</f>
        <v>0</v>
      </c>
      <c r="E1458" s="2">
        <f>COUNTIF(contact[[#This Row],[Bagossy]:[Szo
03:00 - 10:00]],"=x")</f>
        <v>0</v>
      </c>
      <c r="F1458" s="2">
        <f>SUM(contact[[#This Row],[?]:[x]])</f>
        <v>0</v>
      </c>
      <c r="G14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58" s="3" t="s">
        <v>3669</v>
      </c>
      <c r="K1458" s="1" t="s">
        <v>2</v>
      </c>
      <c r="L1458" s="1" t="s">
        <v>2</v>
      </c>
      <c r="M1458" s="1" t="s">
        <v>2</v>
      </c>
      <c r="O1458" s="2"/>
      <c r="P1458" s="2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</row>
    <row r="1459" spans="1:32" s="1" customFormat="1" ht="20.25" customHeight="1" x14ac:dyDescent="0.25">
      <c r="A1459" s="2"/>
      <c r="B1459" s="2"/>
      <c r="C1459" s="2"/>
      <c r="D1459" s="2">
        <f>COUNTIF(contact[[#This Row],[Bagossy]:[Szo
03:00 - 10:00]],"=~?")</f>
        <v>0</v>
      </c>
      <c r="E1459" s="2">
        <f>COUNTIF(contact[[#This Row],[Bagossy]:[Szo
03:00 - 10:00]],"=x")</f>
        <v>0</v>
      </c>
      <c r="F1459" s="2">
        <f>SUM(contact[[#This Row],[?]:[x]])</f>
        <v>0</v>
      </c>
      <c r="G14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59" s="2"/>
      <c r="I1459" s="2"/>
      <c r="J1459" s="3" t="s">
        <v>3217</v>
      </c>
      <c r="K1459" s="1" t="s">
        <v>660</v>
      </c>
      <c r="L1459" s="1" t="s">
        <v>2</v>
      </c>
      <c r="M1459" s="1" t="s">
        <v>2</v>
      </c>
      <c r="O1459" s="2"/>
      <c r="P1459" s="2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</row>
    <row r="1460" spans="1:32" s="1" customFormat="1" ht="20.25" customHeight="1" x14ac:dyDescent="0.25">
      <c r="A1460" s="2"/>
      <c r="B1460" s="2"/>
      <c r="C1460" s="2"/>
      <c r="D1460" s="2">
        <f>COUNTIF(contact[[#This Row],[Bagossy]:[Szo
03:00 - 10:00]],"=~?")</f>
        <v>0</v>
      </c>
      <c r="E1460" s="2">
        <f>COUNTIF(contact[[#This Row],[Bagossy]:[Szo
03:00 - 10:00]],"=x")</f>
        <v>0</v>
      </c>
      <c r="F1460" s="2">
        <f>SUM(contact[[#This Row],[?]:[x]])</f>
        <v>0</v>
      </c>
      <c r="G14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0" s="3" t="s">
        <v>3747</v>
      </c>
      <c r="K1460" s="1" t="s">
        <v>2</v>
      </c>
      <c r="L1460" s="1" t="s">
        <v>2</v>
      </c>
      <c r="M1460" s="1" t="s">
        <v>2</v>
      </c>
      <c r="O1460" s="2"/>
      <c r="P1460" s="2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</row>
    <row r="1461" spans="1:32" s="1" customFormat="1" ht="20.25" customHeight="1" x14ac:dyDescent="0.25">
      <c r="A1461" s="2"/>
      <c r="B1461" s="2"/>
      <c r="C1461" s="2"/>
      <c r="D1461" s="2">
        <f>COUNTIF(contact[[#This Row],[Bagossy]:[Szo
03:00 - 10:00]],"=~?")</f>
        <v>0</v>
      </c>
      <c r="E1461" s="2">
        <f>COUNTIF(contact[[#This Row],[Bagossy]:[Szo
03:00 - 10:00]],"=x")</f>
        <v>0</v>
      </c>
      <c r="F1461" s="2">
        <f>SUM(contact[[#This Row],[?]:[x]])</f>
        <v>0</v>
      </c>
      <c r="G14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61" s="2"/>
      <c r="I1461" s="2"/>
      <c r="J1461" s="3" t="s">
        <v>3218</v>
      </c>
      <c r="K1461" s="1" t="s">
        <v>1596</v>
      </c>
      <c r="L1461" s="1" t="s">
        <v>2</v>
      </c>
      <c r="M1461" s="1" t="s">
        <v>2</v>
      </c>
      <c r="O1461" s="2"/>
      <c r="P1461" s="2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</row>
    <row r="1462" spans="1:32" s="1" customFormat="1" ht="20.25" customHeight="1" x14ac:dyDescent="0.25">
      <c r="A1462" s="2"/>
      <c r="B1462" s="2"/>
      <c r="C1462" s="2"/>
      <c r="D1462" s="2">
        <f>COUNTIF(contact[[#This Row],[Bagossy]:[Szo
03:00 - 10:00]],"=~?")</f>
        <v>0</v>
      </c>
      <c r="E1462" s="2">
        <f>COUNTIF(contact[[#This Row],[Bagossy]:[Szo
03:00 - 10:00]],"=x")</f>
        <v>0</v>
      </c>
      <c r="F1462" s="2">
        <f>SUM(contact[[#This Row],[?]:[x]])</f>
        <v>0</v>
      </c>
      <c r="G14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2" s="3" t="s">
        <v>2743</v>
      </c>
      <c r="K1462" s="1" t="s">
        <v>472</v>
      </c>
      <c r="L1462" s="1" t="s">
        <v>2</v>
      </c>
      <c r="M1462" s="1" t="s">
        <v>2</v>
      </c>
      <c r="O1462" s="2"/>
      <c r="P1462" s="2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</row>
    <row r="1463" spans="1:32" s="1" customFormat="1" ht="20.25" customHeight="1" x14ac:dyDescent="0.25">
      <c r="A1463" s="2"/>
      <c r="B1463" s="2"/>
      <c r="C1463" s="2"/>
      <c r="D1463" s="2">
        <f>COUNTIF(contact[[#This Row],[Bagossy]:[Szo
03:00 - 10:00]],"=~?")</f>
        <v>0</v>
      </c>
      <c r="E1463" s="2">
        <f>COUNTIF(contact[[#This Row],[Bagossy]:[Szo
03:00 - 10:00]],"=x")</f>
        <v>0</v>
      </c>
      <c r="F1463" s="2">
        <f>SUM(contact[[#This Row],[?]:[x]])</f>
        <v>0</v>
      </c>
      <c r="G14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3" s="3" t="s">
        <v>3341</v>
      </c>
      <c r="K1463" s="1" t="s">
        <v>762</v>
      </c>
      <c r="L1463" s="1" t="s">
        <v>2</v>
      </c>
      <c r="M1463" s="1" t="s">
        <v>2</v>
      </c>
      <c r="O1463" s="2"/>
      <c r="P1463" s="2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</row>
    <row r="1464" spans="1:32" s="1" customFormat="1" ht="20.25" customHeight="1" x14ac:dyDescent="0.25">
      <c r="A1464" s="2"/>
      <c r="B1464" s="2"/>
      <c r="C1464" s="2"/>
      <c r="D1464" s="2">
        <f>COUNTIF(contact[[#This Row],[Bagossy]:[Szo
03:00 - 10:00]],"=~?")</f>
        <v>0</v>
      </c>
      <c r="E1464" s="2">
        <f>COUNTIF(contact[[#This Row],[Bagossy]:[Szo
03:00 - 10:00]],"=x")</f>
        <v>0</v>
      </c>
      <c r="F1464" s="2">
        <f>SUM(contact[[#This Row],[?]:[x]])</f>
        <v>0</v>
      </c>
      <c r="G14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4" s="3" t="s">
        <v>3687</v>
      </c>
      <c r="K1464" s="1" t="s">
        <v>2</v>
      </c>
      <c r="L1464" s="1" t="s">
        <v>2</v>
      </c>
      <c r="M1464" s="1" t="s">
        <v>2</v>
      </c>
      <c r="O1464" s="2"/>
      <c r="P1464" s="2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</row>
    <row r="1465" spans="1:32" s="1" customFormat="1" ht="20.25" customHeight="1" x14ac:dyDescent="0.25">
      <c r="A1465" s="2"/>
      <c r="B1465" s="2"/>
      <c r="C1465" s="2"/>
      <c r="D1465" s="2">
        <f>COUNTIF(contact[[#This Row],[Bagossy]:[Szo
03:00 - 10:00]],"=~?")</f>
        <v>0</v>
      </c>
      <c r="E1465" s="2">
        <f>COUNTIF(contact[[#This Row],[Bagossy]:[Szo
03:00 - 10:00]],"=x")</f>
        <v>0</v>
      </c>
      <c r="F1465" s="2">
        <f>SUM(contact[[#This Row],[?]:[x]])</f>
        <v>0</v>
      </c>
      <c r="G14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5" s="3" t="s">
        <v>2288</v>
      </c>
      <c r="K1465" s="1" t="s">
        <v>2</v>
      </c>
      <c r="L1465" s="1" t="s">
        <v>2</v>
      </c>
      <c r="M1465" s="1" t="s">
        <v>2</v>
      </c>
      <c r="O1465" s="2"/>
      <c r="P1465" s="2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</row>
    <row r="1466" spans="1:32" s="1" customFormat="1" ht="20.25" customHeight="1" x14ac:dyDescent="0.25">
      <c r="A1466" s="2"/>
      <c r="B1466" s="2"/>
      <c r="C1466" s="2"/>
      <c r="D1466" s="2">
        <f>COUNTIF(contact[[#This Row],[Bagossy]:[Szo
03:00 - 10:00]],"=~?")</f>
        <v>0</v>
      </c>
      <c r="E1466" s="2">
        <f>COUNTIF(contact[[#This Row],[Bagossy]:[Szo
03:00 - 10:00]],"=x")</f>
        <v>0</v>
      </c>
      <c r="F1466" s="2">
        <f>SUM(contact[[#This Row],[?]:[x]])</f>
        <v>0</v>
      </c>
      <c r="G14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6" s="3" t="s">
        <v>2495</v>
      </c>
      <c r="K1466" s="1" t="s">
        <v>2</v>
      </c>
      <c r="L1466" s="1" t="s">
        <v>2</v>
      </c>
      <c r="M1466" s="1" t="s">
        <v>2</v>
      </c>
      <c r="O1466" s="2"/>
      <c r="P1466" s="2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</row>
    <row r="1467" spans="1:32" s="1" customFormat="1" ht="20.25" customHeight="1" x14ac:dyDescent="0.25">
      <c r="A1467" s="2"/>
      <c r="B1467" s="2"/>
      <c r="C1467" s="2"/>
      <c r="D1467" s="2">
        <f>COUNTIF(contact[[#This Row],[Bagossy]:[Szo
03:00 - 10:00]],"=~?")</f>
        <v>0</v>
      </c>
      <c r="E1467" s="2">
        <f>COUNTIF(contact[[#This Row],[Bagossy]:[Szo
03:00 - 10:00]],"=x")</f>
        <v>0</v>
      </c>
      <c r="F1467" s="2">
        <f>SUM(contact[[#This Row],[?]:[x]])</f>
        <v>0</v>
      </c>
      <c r="G14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67" s="2"/>
      <c r="I1467" s="2"/>
      <c r="J1467" s="3" t="s">
        <v>3219</v>
      </c>
      <c r="K1467" s="1" t="s">
        <v>1067</v>
      </c>
      <c r="L1467" s="1" t="s">
        <v>2</v>
      </c>
      <c r="M1467" s="1" t="s">
        <v>2</v>
      </c>
      <c r="O1467" s="2"/>
      <c r="P1467" s="2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</row>
    <row r="1468" spans="1:32" s="1" customFormat="1" ht="20.25" customHeight="1" x14ac:dyDescent="0.25">
      <c r="A1468" s="2"/>
      <c r="B1468" s="2"/>
      <c r="C1468" s="2"/>
      <c r="D1468" s="2">
        <f>COUNTIF(contact[[#This Row],[Bagossy]:[Szo
03:00 - 10:00]],"=~?")</f>
        <v>0</v>
      </c>
      <c r="E1468" s="2">
        <f>COUNTIF(contact[[#This Row],[Bagossy]:[Szo
03:00 - 10:00]],"=x")</f>
        <v>0</v>
      </c>
      <c r="F1468" s="2">
        <f>SUM(contact[[#This Row],[?]:[x]])</f>
        <v>0</v>
      </c>
      <c r="G14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68" s="2"/>
      <c r="I1468" s="2"/>
      <c r="J1468" s="3" t="s">
        <v>3222</v>
      </c>
      <c r="K1468" s="1" t="s">
        <v>1598</v>
      </c>
      <c r="L1468" s="1" t="s">
        <v>2</v>
      </c>
      <c r="M1468" s="1" t="s">
        <v>2</v>
      </c>
      <c r="O1468" s="2"/>
      <c r="P1468" s="2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</row>
    <row r="1469" spans="1:32" s="1" customFormat="1" ht="20.25" customHeight="1" x14ac:dyDescent="0.25">
      <c r="A1469" s="2"/>
      <c r="B1469" s="2"/>
      <c r="C1469" s="2"/>
      <c r="D1469" s="2">
        <f>COUNTIF(contact[[#This Row],[Bagossy]:[Szo
03:00 - 10:00]],"=~?")</f>
        <v>0</v>
      </c>
      <c r="E1469" s="2">
        <f>COUNTIF(contact[[#This Row],[Bagossy]:[Szo
03:00 - 10:00]],"=x")</f>
        <v>0</v>
      </c>
      <c r="F1469" s="2">
        <f>SUM(contact[[#This Row],[?]:[x]])</f>
        <v>0</v>
      </c>
      <c r="G14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69" s="3" t="s">
        <v>3416</v>
      </c>
      <c r="K1469" s="1" t="s">
        <v>1601</v>
      </c>
      <c r="L1469" s="1" t="s">
        <v>2</v>
      </c>
      <c r="M1469" s="1" t="s">
        <v>2</v>
      </c>
      <c r="O1469" s="2"/>
      <c r="P1469" s="2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</row>
    <row r="1470" spans="1:32" s="1" customFormat="1" ht="20.25" customHeight="1" x14ac:dyDescent="0.25">
      <c r="A1470" s="2"/>
      <c r="B1470" s="2"/>
      <c r="C1470" s="2"/>
      <c r="D1470" s="2">
        <f>COUNTIF(contact[[#This Row],[Bagossy]:[Szo
03:00 - 10:00]],"=~?")</f>
        <v>0</v>
      </c>
      <c r="E1470" s="2">
        <f>COUNTIF(contact[[#This Row],[Bagossy]:[Szo
03:00 - 10:00]],"=x")</f>
        <v>0</v>
      </c>
      <c r="F1470" s="2">
        <f>SUM(contact[[#This Row],[?]:[x]])</f>
        <v>0</v>
      </c>
      <c r="G14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0" s="3" t="s">
        <v>4213</v>
      </c>
      <c r="K1470" s="1" t="s">
        <v>2</v>
      </c>
      <c r="L1470" s="1" t="s">
        <v>2</v>
      </c>
      <c r="M1470" s="1" t="s">
        <v>2</v>
      </c>
      <c r="O1470" s="2"/>
      <c r="P1470" s="2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</row>
    <row r="1471" spans="1:32" s="1" customFormat="1" ht="20.25" customHeight="1" x14ac:dyDescent="0.25">
      <c r="A1471" s="2"/>
      <c r="B1471" s="2"/>
      <c r="C1471" s="2"/>
      <c r="D1471" s="2">
        <f>COUNTIF(contact[[#This Row],[Bagossy]:[Szo
03:00 - 10:00]],"=~?")</f>
        <v>0</v>
      </c>
      <c r="E1471" s="2">
        <f>COUNTIF(contact[[#This Row],[Bagossy]:[Szo
03:00 - 10:00]],"=x")</f>
        <v>0</v>
      </c>
      <c r="F1471" s="2">
        <f>SUM(contact[[#This Row],[?]:[x]])</f>
        <v>0</v>
      </c>
      <c r="G14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1" s="3" t="s">
        <v>3556</v>
      </c>
      <c r="K1471" s="1" t="s">
        <v>2</v>
      </c>
      <c r="L1471" s="1" t="s">
        <v>2</v>
      </c>
      <c r="M1471" s="1" t="s">
        <v>2</v>
      </c>
      <c r="O1471" s="2"/>
      <c r="P1471" s="2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</row>
    <row r="1472" spans="1:32" s="1" customFormat="1" ht="20.25" customHeight="1" x14ac:dyDescent="0.25">
      <c r="A1472" s="2"/>
      <c r="B1472" s="2"/>
      <c r="C1472" s="2"/>
      <c r="D1472" s="2">
        <f>COUNTIF(contact[[#This Row],[Bagossy]:[Szo
03:00 - 10:00]],"=~?")</f>
        <v>0</v>
      </c>
      <c r="E1472" s="2">
        <f>COUNTIF(contact[[#This Row],[Bagossy]:[Szo
03:00 - 10:00]],"=x")</f>
        <v>0</v>
      </c>
      <c r="F1472" s="2">
        <f>SUM(contact[[#This Row],[?]:[x]])</f>
        <v>0</v>
      </c>
      <c r="G14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2" s="3" t="s">
        <v>4318</v>
      </c>
      <c r="K1472" s="1" t="s">
        <v>1187</v>
      </c>
      <c r="L1472" s="1" t="s">
        <v>2</v>
      </c>
      <c r="M1472" s="1" t="s">
        <v>2</v>
      </c>
      <c r="O1472" s="2"/>
      <c r="P1472" s="2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</row>
    <row r="1473" spans="1:32" s="1" customFormat="1" ht="20.25" customHeight="1" x14ac:dyDescent="0.25">
      <c r="A1473" s="2"/>
      <c r="B1473" s="2"/>
      <c r="C1473" s="2"/>
      <c r="D1473" s="2">
        <f>COUNTIF(contact[[#This Row],[Bagossy]:[Szo
03:00 - 10:00]],"=~?")</f>
        <v>0</v>
      </c>
      <c r="E1473" s="2">
        <f>COUNTIF(contact[[#This Row],[Bagossy]:[Szo
03:00 - 10:00]],"=x")</f>
        <v>0</v>
      </c>
      <c r="F1473" s="2">
        <f>SUM(contact[[#This Row],[?]:[x]])</f>
        <v>0</v>
      </c>
      <c r="G14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73" s="2"/>
      <c r="I1473" s="2"/>
      <c r="J1473" s="3" t="s">
        <v>3240</v>
      </c>
      <c r="K1473" s="1" t="s">
        <v>246</v>
      </c>
      <c r="L1473" s="1" t="s">
        <v>2</v>
      </c>
      <c r="M1473" s="1" t="s">
        <v>2</v>
      </c>
      <c r="O1473" s="2"/>
      <c r="P1473" s="2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</row>
    <row r="1474" spans="1:32" s="1" customFormat="1" ht="20.25" customHeight="1" x14ac:dyDescent="0.25">
      <c r="A1474" s="2"/>
      <c r="B1474" s="2"/>
      <c r="C1474" s="2"/>
      <c r="D1474" s="2">
        <f>COUNTIF(contact[[#This Row],[Bagossy]:[Szo
03:00 - 10:00]],"=~?")</f>
        <v>0</v>
      </c>
      <c r="E1474" s="2">
        <f>COUNTIF(contact[[#This Row],[Bagossy]:[Szo
03:00 - 10:00]],"=x")</f>
        <v>0</v>
      </c>
      <c r="F1474" s="2">
        <f>SUM(contact[[#This Row],[?]:[x]])</f>
        <v>0</v>
      </c>
      <c r="G14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4" s="3" t="s">
        <v>3465</v>
      </c>
      <c r="K1474" s="1" t="s">
        <v>1651</v>
      </c>
      <c r="L1474" s="1" t="s">
        <v>2</v>
      </c>
      <c r="M1474" s="1" t="s">
        <v>2</v>
      </c>
      <c r="O1474" s="2"/>
      <c r="P1474" s="2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</row>
    <row r="1475" spans="1:32" s="1" customFormat="1" ht="20.25" customHeight="1" x14ac:dyDescent="0.25">
      <c r="A1475" s="2"/>
      <c r="B1475" s="2"/>
      <c r="C1475" s="2"/>
      <c r="D1475" s="2">
        <f>COUNTIF(contact[[#This Row],[Bagossy]:[Szo
03:00 - 10:00]],"=~?")</f>
        <v>0</v>
      </c>
      <c r="E1475" s="2">
        <f>COUNTIF(contact[[#This Row],[Bagossy]:[Szo
03:00 - 10:00]],"=x")</f>
        <v>0</v>
      </c>
      <c r="F1475" s="2">
        <f>SUM(contact[[#This Row],[?]:[x]])</f>
        <v>0</v>
      </c>
      <c r="G14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5" s="3" t="s">
        <v>3095</v>
      </c>
      <c r="K1475" s="1" t="s">
        <v>642</v>
      </c>
      <c r="L1475" s="1" t="s">
        <v>2</v>
      </c>
      <c r="M1475" s="1" t="s">
        <v>2</v>
      </c>
      <c r="O1475" s="2"/>
      <c r="P1475" s="2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</row>
    <row r="1476" spans="1:32" s="1" customFormat="1" ht="20.25" customHeight="1" x14ac:dyDescent="0.25">
      <c r="A1476" s="2"/>
      <c r="B1476" s="2"/>
      <c r="C1476" s="2"/>
      <c r="D1476" s="2">
        <f>COUNTIF(contact[[#This Row],[Bagossy]:[Szo
03:00 - 10:00]],"=~?")</f>
        <v>0</v>
      </c>
      <c r="E1476" s="2">
        <f>COUNTIF(contact[[#This Row],[Bagossy]:[Szo
03:00 - 10:00]],"=x")</f>
        <v>0</v>
      </c>
      <c r="F1476" s="2">
        <f>SUM(contact[[#This Row],[?]:[x]])</f>
        <v>0</v>
      </c>
      <c r="G14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6" s="3" t="s">
        <v>2332</v>
      </c>
      <c r="K1476" s="1" t="s">
        <v>247</v>
      </c>
      <c r="L1476" s="1" t="s">
        <v>2</v>
      </c>
      <c r="M1476" s="1" t="s">
        <v>2</v>
      </c>
      <c r="O1476" s="2"/>
      <c r="P1476" s="2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</row>
    <row r="1477" spans="1:32" s="1" customFormat="1" ht="20.25" customHeight="1" x14ac:dyDescent="0.25">
      <c r="A1477" s="2"/>
      <c r="B1477" s="2"/>
      <c r="C1477" s="2"/>
      <c r="D1477" s="2">
        <f>COUNTIF(contact[[#This Row],[Bagossy]:[Szo
03:00 - 10:00]],"=~?")</f>
        <v>0</v>
      </c>
      <c r="E1477" s="2">
        <f>COUNTIF(contact[[#This Row],[Bagossy]:[Szo
03:00 - 10:00]],"=x")</f>
        <v>0</v>
      </c>
      <c r="F1477" s="2">
        <f>SUM(contact[[#This Row],[?]:[x]])</f>
        <v>0</v>
      </c>
      <c r="G14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7" s="3" t="s">
        <v>758</v>
      </c>
      <c r="K1477" s="1" t="s">
        <v>2</v>
      </c>
      <c r="L1477" s="1" t="s">
        <v>2</v>
      </c>
      <c r="M1477" s="1" t="s">
        <v>2</v>
      </c>
      <c r="O1477" s="2"/>
      <c r="P1477" s="2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</row>
    <row r="1478" spans="1:32" s="1" customFormat="1" ht="20.25" customHeight="1" x14ac:dyDescent="0.25">
      <c r="A1478" s="2"/>
      <c r="B1478" s="2"/>
      <c r="C1478" s="2"/>
      <c r="D1478" s="2">
        <f>COUNTIF(contact[[#This Row],[Bagossy]:[Szo
03:00 - 10:00]],"=~?")</f>
        <v>0</v>
      </c>
      <c r="E1478" s="2">
        <f>COUNTIF(contact[[#This Row],[Bagossy]:[Szo
03:00 - 10:00]],"=x")</f>
        <v>0</v>
      </c>
      <c r="F1478" s="2">
        <f>SUM(contact[[#This Row],[?]:[x]])</f>
        <v>0</v>
      </c>
      <c r="G14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8" s="3" t="s">
        <v>2142</v>
      </c>
      <c r="K1478" s="1" t="s">
        <v>2</v>
      </c>
      <c r="L1478" s="1" t="s">
        <v>2</v>
      </c>
      <c r="M1478" s="1" t="s">
        <v>2</v>
      </c>
      <c r="O1478" s="2"/>
      <c r="P1478" s="2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</row>
    <row r="1479" spans="1:32" s="1" customFormat="1" ht="20.25" customHeight="1" x14ac:dyDescent="0.25">
      <c r="A1479" s="2"/>
      <c r="B1479" s="2"/>
      <c r="C1479" s="2"/>
      <c r="D1479" s="2">
        <f>COUNTIF(contact[[#This Row],[Bagossy]:[Szo
03:00 - 10:00]],"=~?")</f>
        <v>0</v>
      </c>
      <c r="E1479" s="2">
        <f>COUNTIF(contact[[#This Row],[Bagossy]:[Szo
03:00 - 10:00]],"=x")</f>
        <v>0</v>
      </c>
      <c r="F1479" s="2">
        <f>SUM(contact[[#This Row],[?]:[x]])</f>
        <v>0</v>
      </c>
      <c r="G14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79" s="3" t="s">
        <v>3563</v>
      </c>
      <c r="K1479" s="1" t="s">
        <v>2</v>
      </c>
      <c r="L1479" s="1" t="s">
        <v>2</v>
      </c>
      <c r="M1479" s="1" t="s">
        <v>2</v>
      </c>
      <c r="O1479" s="2"/>
      <c r="P1479" s="2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</row>
    <row r="1480" spans="1:32" s="1" customFormat="1" ht="20.25" customHeight="1" x14ac:dyDescent="0.25">
      <c r="A1480" s="2"/>
      <c r="B1480" s="2"/>
      <c r="C1480" s="2"/>
      <c r="D1480" s="2">
        <f>COUNTIF(contact[[#This Row],[Bagossy]:[Szo
03:00 - 10:00]],"=~?")</f>
        <v>0</v>
      </c>
      <c r="E1480" s="2">
        <f>COUNTIF(contact[[#This Row],[Bagossy]:[Szo
03:00 - 10:00]],"=x")</f>
        <v>0</v>
      </c>
      <c r="F1480" s="2">
        <f>SUM(contact[[#This Row],[?]:[x]])</f>
        <v>0</v>
      </c>
      <c r="G14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0" s="3" t="s">
        <v>759</v>
      </c>
      <c r="K1480" s="1" t="s">
        <v>2</v>
      </c>
      <c r="L1480" s="1" t="s">
        <v>2</v>
      </c>
      <c r="M1480" s="1" t="s">
        <v>2</v>
      </c>
      <c r="O1480" s="2"/>
      <c r="P1480" s="2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</row>
    <row r="1481" spans="1:32" s="1" customFormat="1" ht="20.25" customHeight="1" x14ac:dyDescent="0.25">
      <c r="A1481" s="2"/>
      <c r="B1481" s="2"/>
      <c r="C1481" s="2"/>
      <c r="D1481" s="2">
        <f>COUNTIF(contact[[#This Row],[Bagossy]:[Szo
03:00 - 10:00]],"=~?")</f>
        <v>0</v>
      </c>
      <c r="E1481" s="2">
        <f>COUNTIF(contact[[#This Row],[Bagossy]:[Szo
03:00 - 10:00]],"=x")</f>
        <v>0</v>
      </c>
      <c r="F1481" s="2">
        <f>SUM(contact[[#This Row],[?]:[x]])</f>
        <v>0</v>
      </c>
      <c r="G14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1" s="3" t="s">
        <v>3325</v>
      </c>
      <c r="K1481" s="1" t="s">
        <v>747</v>
      </c>
      <c r="L1481" s="1" t="s">
        <v>2</v>
      </c>
      <c r="M1481" s="1" t="s">
        <v>2</v>
      </c>
      <c r="O1481" s="2"/>
      <c r="P1481" s="2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</row>
    <row r="1482" spans="1:32" s="1" customFormat="1" ht="20.25" customHeight="1" x14ac:dyDescent="0.25">
      <c r="A1482" s="2"/>
      <c r="B1482" s="2"/>
      <c r="C1482" s="2"/>
      <c r="D1482" s="2">
        <f>COUNTIF(contact[[#This Row],[Bagossy]:[Szo
03:00 - 10:00]],"=~?")</f>
        <v>0</v>
      </c>
      <c r="E1482" s="2">
        <f>COUNTIF(contact[[#This Row],[Bagossy]:[Szo
03:00 - 10:00]],"=x")</f>
        <v>0</v>
      </c>
      <c r="F1482" s="2">
        <f>SUM(contact[[#This Row],[?]:[x]])</f>
        <v>0</v>
      </c>
      <c r="G14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2" s="3" t="s">
        <v>3538</v>
      </c>
      <c r="K1482" s="1" t="s">
        <v>834</v>
      </c>
      <c r="L1482" s="1" t="s">
        <v>2</v>
      </c>
      <c r="M1482" s="1" t="s">
        <v>2</v>
      </c>
      <c r="O1482" s="2"/>
      <c r="P1482" s="2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</row>
    <row r="1483" spans="1:32" s="1" customFormat="1" ht="20.25" customHeight="1" x14ac:dyDescent="0.25">
      <c r="A1483" s="2"/>
      <c r="B1483" s="2"/>
      <c r="C1483" s="2"/>
      <c r="D1483" s="2">
        <f>COUNTIF(contact[[#This Row],[Bagossy]:[Szo
03:00 - 10:00]],"=~?")</f>
        <v>0</v>
      </c>
      <c r="E1483" s="2">
        <f>COUNTIF(contact[[#This Row],[Bagossy]:[Szo
03:00 - 10:00]],"=x")</f>
        <v>0</v>
      </c>
      <c r="F1483" s="2">
        <f>SUM(contact[[#This Row],[?]:[x]])</f>
        <v>0</v>
      </c>
      <c r="G14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3" s="3" t="s">
        <v>2145</v>
      </c>
      <c r="K1483" s="1" t="s">
        <v>2</v>
      </c>
      <c r="L1483" s="1" t="s">
        <v>2</v>
      </c>
      <c r="M1483" s="1" t="s">
        <v>2</v>
      </c>
      <c r="O1483" s="2"/>
      <c r="P1483" s="2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</row>
    <row r="1484" spans="1:32" s="1" customFormat="1" ht="20.25" customHeight="1" x14ac:dyDescent="0.25">
      <c r="A1484" s="2"/>
      <c r="B1484" s="2"/>
      <c r="C1484" s="2"/>
      <c r="D1484" s="2">
        <f>COUNTIF(contact[[#This Row],[Bagossy]:[Szo
03:00 - 10:00]],"=~?")</f>
        <v>0</v>
      </c>
      <c r="E1484" s="2">
        <f>COUNTIF(contact[[#This Row],[Bagossy]:[Szo
03:00 - 10:00]],"=x")</f>
        <v>0</v>
      </c>
      <c r="F1484" s="2">
        <f>SUM(contact[[#This Row],[?]:[x]])</f>
        <v>0</v>
      </c>
      <c r="G14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4" s="3" t="s">
        <v>2910</v>
      </c>
      <c r="K1484" s="1" t="s">
        <v>1293</v>
      </c>
      <c r="L1484" s="1" t="s">
        <v>2</v>
      </c>
      <c r="M1484" s="1" t="s">
        <v>2</v>
      </c>
      <c r="O1484" s="2"/>
      <c r="P1484" s="2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</row>
    <row r="1485" spans="1:32" s="1" customFormat="1" ht="20.25" customHeight="1" x14ac:dyDescent="0.25">
      <c r="A1485" s="2"/>
      <c r="B1485" s="2"/>
      <c r="C1485" s="2"/>
      <c r="D1485" s="2">
        <f>COUNTIF(contact[[#This Row],[Bagossy]:[Szo
03:00 - 10:00]],"=~?")</f>
        <v>0</v>
      </c>
      <c r="E1485" s="2">
        <f>COUNTIF(contact[[#This Row],[Bagossy]:[Szo
03:00 - 10:00]],"=x")</f>
        <v>0</v>
      </c>
      <c r="F1485" s="2">
        <f>SUM(contact[[#This Row],[?]:[x]])</f>
        <v>0</v>
      </c>
      <c r="G14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85" s="2"/>
      <c r="I1485" s="2"/>
      <c r="J1485" s="3" t="s">
        <v>3244</v>
      </c>
      <c r="K1485" s="1" t="s">
        <v>92</v>
      </c>
      <c r="L1485" s="1" t="s">
        <v>2</v>
      </c>
      <c r="M1485" s="1" t="s">
        <v>2</v>
      </c>
      <c r="O1485" s="2"/>
      <c r="P1485" s="2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</row>
    <row r="1486" spans="1:32" s="1" customFormat="1" ht="20.25" customHeight="1" x14ac:dyDescent="0.25">
      <c r="A1486" s="2"/>
      <c r="B1486" s="2"/>
      <c r="C1486" s="2"/>
      <c r="D1486" s="2">
        <f>COUNTIF(contact[[#This Row],[Bagossy]:[Szo
03:00 - 10:00]],"=~?")</f>
        <v>0</v>
      </c>
      <c r="E1486" s="2">
        <f>COUNTIF(contact[[#This Row],[Bagossy]:[Szo
03:00 - 10:00]],"=x")</f>
        <v>0</v>
      </c>
      <c r="F1486" s="2">
        <f>SUM(contact[[#This Row],[?]:[x]])</f>
        <v>0</v>
      </c>
      <c r="G14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6" s="3" t="s">
        <v>423</v>
      </c>
      <c r="K1486" s="1" t="s">
        <v>1652</v>
      </c>
      <c r="L1486" s="1" t="s">
        <v>2</v>
      </c>
      <c r="M1486" s="1" t="s">
        <v>2</v>
      </c>
      <c r="O1486" s="2"/>
      <c r="P1486" s="2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</row>
    <row r="1487" spans="1:32" s="1" customFormat="1" ht="20.25" customHeight="1" x14ac:dyDescent="0.25">
      <c r="A1487" s="2"/>
      <c r="B1487" s="2"/>
      <c r="C1487" s="2"/>
      <c r="D1487" s="2">
        <f>COUNTIF(contact[[#This Row],[Bagossy]:[Szo
03:00 - 10:00]],"=~?")</f>
        <v>0</v>
      </c>
      <c r="E1487" s="2">
        <f>COUNTIF(contact[[#This Row],[Bagossy]:[Szo
03:00 - 10:00]],"=x")</f>
        <v>0</v>
      </c>
      <c r="F1487" s="2">
        <f>SUM(contact[[#This Row],[?]:[x]])</f>
        <v>0</v>
      </c>
      <c r="G14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87" s="2"/>
      <c r="I1487" s="2"/>
      <c r="J1487" s="3" t="s">
        <v>3248</v>
      </c>
      <c r="K1487" s="1" t="s">
        <v>939</v>
      </c>
      <c r="L1487" s="1" t="s">
        <v>2</v>
      </c>
      <c r="M1487" s="1" t="s">
        <v>2</v>
      </c>
      <c r="O1487" s="2"/>
      <c r="P1487" s="2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</row>
    <row r="1488" spans="1:32" s="1" customFormat="1" ht="20.25" customHeight="1" x14ac:dyDescent="0.25">
      <c r="A1488" s="2"/>
      <c r="B1488" s="2"/>
      <c r="C1488" s="2"/>
      <c r="D1488" s="2">
        <f>COUNTIF(contact[[#This Row],[Bagossy]:[Szo
03:00 - 10:00]],"=~?")</f>
        <v>0</v>
      </c>
      <c r="E1488" s="2">
        <f>COUNTIF(contact[[#This Row],[Bagossy]:[Szo
03:00 - 10:00]],"=x")</f>
        <v>0</v>
      </c>
      <c r="F1488" s="2">
        <f>SUM(contact[[#This Row],[?]:[x]])</f>
        <v>0</v>
      </c>
      <c r="G14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8" s="3" t="s">
        <v>2634</v>
      </c>
      <c r="K1488" s="1" t="s">
        <v>422</v>
      </c>
      <c r="L1488" s="1" t="s">
        <v>354</v>
      </c>
      <c r="M1488" s="1" t="s">
        <v>423</v>
      </c>
      <c r="O1488" s="2"/>
      <c r="P1488" s="2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</row>
    <row r="1489" spans="1:32" s="1" customFormat="1" ht="20.25" customHeight="1" x14ac:dyDescent="0.25">
      <c r="A1489" s="2"/>
      <c r="B1489" s="2"/>
      <c r="C1489" s="2"/>
      <c r="D1489" s="2">
        <f>COUNTIF(contact[[#This Row],[Bagossy]:[Szo
03:00 - 10:00]],"=~?")</f>
        <v>0</v>
      </c>
      <c r="E1489" s="2">
        <f>COUNTIF(contact[[#This Row],[Bagossy]:[Szo
03:00 - 10:00]],"=x")</f>
        <v>0</v>
      </c>
      <c r="F1489" s="2">
        <f>SUM(contact[[#This Row],[?]:[x]])</f>
        <v>0</v>
      </c>
      <c r="G14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89" s="3" t="s">
        <v>3096</v>
      </c>
      <c r="K1489" s="1" t="s">
        <v>643</v>
      </c>
      <c r="L1489" s="1" t="s">
        <v>2</v>
      </c>
      <c r="M1489" s="1" t="s">
        <v>2</v>
      </c>
      <c r="O1489" s="2"/>
      <c r="P1489" s="2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</row>
    <row r="1490" spans="1:32" s="1" customFormat="1" ht="20.25" customHeight="1" x14ac:dyDescent="0.25">
      <c r="A1490" s="2"/>
      <c r="B1490" s="2"/>
      <c r="C1490" s="2"/>
      <c r="D1490" s="2">
        <f>COUNTIF(contact[[#This Row],[Bagossy]:[Szo
03:00 - 10:00]],"=~?")</f>
        <v>0</v>
      </c>
      <c r="E1490" s="2">
        <f>COUNTIF(contact[[#This Row],[Bagossy]:[Szo
03:00 - 10:00]],"=x")</f>
        <v>0</v>
      </c>
      <c r="F1490" s="2">
        <f>SUM(contact[[#This Row],[?]:[x]])</f>
        <v>0</v>
      </c>
      <c r="G14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0" s="3" t="s">
        <v>3417</v>
      </c>
      <c r="K1490" s="1" t="s">
        <v>786</v>
      </c>
      <c r="L1490" s="1" t="s">
        <v>2</v>
      </c>
      <c r="M1490" s="1" t="s">
        <v>2</v>
      </c>
      <c r="O1490" s="2"/>
      <c r="P1490" s="2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</row>
    <row r="1491" spans="1:32" s="1" customFormat="1" ht="20.25" customHeight="1" x14ac:dyDescent="0.25">
      <c r="A1491" s="2"/>
      <c r="B1491" s="2"/>
      <c r="C1491" s="2"/>
      <c r="D1491" s="2">
        <f>COUNTIF(contact[[#This Row],[Bagossy]:[Szo
03:00 - 10:00]],"=~?")</f>
        <v>0</v>
      </c>
      <c r="E1491" s="2">
        <f>COUNTIF(contact[[#This Row],[Bagossy]:[Szo
03:00 - 10:00]],"=x")</f>
        <v>0</v>
      </c>
      <c r="F1491" s="2">
        <f>SUM(contact[[#This Row],[?]:[x]])</f>
        <v>0</v>
      </c>
      <c r="G14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491" s="2"/>
      <c r="I1491" s="2"/>
      <c r="J1491" s="3" t="s">
        <v>3250</v>
      </c>
      <c r="K1491" s="1" t="s">
        <v>210</v>
      </c>
      <c r="L1491" s="1" t="s">
        <v>2</v>
      </c>
      <c r="M1491" s="1" t="s">
        <v>2</v>
      </c>
      <c r="O1491" s="2"/>
      <c r="P1491" s="2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</row>
    <row r="1492" spans="1:32" s="1" customFormat="1" ht="20.25" customHeight="1" x14ac:dyDescent="0.25">
      <c r="A1492" s="2"/>
      <c r="B1492" s="2"/>
      <c r="C1492" s="2"/>
      <c r="D1492" s="2">
        <f>COUNTIF(contact[[#This Row],[Bagossy]:[Szo
03:00 - 10:00]],"=~?")</f>
        <v>0</v>
      </c>
      <c r="E1492" s="2">
        <f>COUNTIF(contact[[#This Row],[Bagossy]:[Szo
03:00 - 10:00]],"=x")</f>
        <v>0</v>
      </c>
      <c r="F1492" s="2">
        <f>SUM(contact[[#This Row],[?]:[x]])</f>
        <v>0</v>
      </c>
      <c r="G14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2" s="3" t="s">
        <v>3306</v>
      </c>
      <c r="K1492" s="1" t="s">
        <v>2</v>
      </c>
      <c r="L1492" s="1" t="s">
        <v>2</v>
      </c>
      <c r="M1492" s="1" t="s">
        <v>2</v>
      </c>
      <c r="O1492" s="2"/>
      <c r="P1492" s="2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</row>
    <row r="1493" spans="1:32" s="1" customFormat="1" ht="20.25" customHeight="1" x14ac:dyDescent="0.25">
      <c r="A1493" s="2"/>
      <c r="B1493" s="2"/>
      <c r="C1493" s="2"/>
      <c r="D1493" s="2">
        <f>COUNTIF(contact[[#This Row],[Bagossy]:[Szo
03:00 - 10:00]],"=~?")</f>
        <v>0</v>
      </c>
      <c r="E1493" s="2">
        <f>COUNTIF(contact[[#This Row],[Bagossy]:[Szo
03:00 - 10:00]],"=x")</f>
        <v>0</v>
      </c>
      <c r="F1493" s="2">
        <f>SUM(contact[[#This Row],[?]:[x]])</f>
        <v>0</v>
      </c>
      <c r="G14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3" s="3" t="s">
        <v>3926</v>
      </c>
      <c r="K1493" s="1" t="s">
        <v>2</v>
      </c>
      <c r="L1493" s="1" t="s">
        <v>2</v>
      </c>
      <c r="M1493" s="1" t="s">
        <v>2</v>
      </c>
      <c r="O1493" s="2"/>
      <c r="P1493" s="2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</row>
    <row r="1494" spans="1:32" s="1" customFormat="1" ht="20.25" customHeight="1" x14ac:dyDescent="0.25">
      <c r="A1494" s="2"/>
      <c r="B1494" s="2"/>
      <c r="C1494" s="2"/>
      <c r="D1494" s="2">
        <f>COUNTIF(contact[[#This Row],[Bagossy]:[Szo
03:00 - 10:00]],"=~?")</f>
        <v>0</v>
      </c>
      <c r="E1494" s="2">
        <f>COUNTIF(contact[[#This Row],[Bagossy]:[Szo
03:00 - 10:00]],"=x")</f>
        <v>0</v>
      </c>
      <c r="F1494" s="2">
        <f>SUM(contact[[#This Row],[?]:[x]])</f>
        <v>0</v>
      </c>
      <c r="G14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4" s="3" t="s">
        <v>3326</v>
      </c>
      <c r="K1494" s="1" t="s">
        <v>748</v>
      </c>
      <c r="L1494" s="1" t="s">
        <v>2</v>
      </c>
      <c r="M1494" s="1" t="s">
        <v>2</v>
      </c>
      <c r="O1494" s="2"/>
      <c r="P1494" s="2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</row>
    <row r="1495" spans="1:32" s="1" customFormat="1" ht="20.25" customHeight="1" x14ac:dyDescent="0.25">
      <c r="A1495" s="2"/>
      <c r="B1495" s="2"/>
      <c r="C1495" s="2"/>
      <c r="D1495" s="2">
        <f>COUNTIF(contact[[#This Row],[Bagossy]:[Szo
03:00 - 10:00]],"=~?")</f>
        <v>0</v>
      </c>
      <c r="E1495" s="2">
        <f>COUNTIF(contact[[#This Row],[Bagossy]:[Szo
03:00 - 10:00]],"=x")</f>
        <v>0</v>
      </c>
      <c r="F1495" s="2">
        <f>SUM(contact[[#This Row],[?]:[x]])</f>
        <v>0</v>
      </c>
      <c r="G14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5" s="3" t="s">
        <v>3508</v>
      </c>
      <c r="K1495" s="1" t="s">
        <v>1374</v>
      </c>
      <c r="L1495" s="1" t="s">
        <v>2</v>
      </c>
      <c r="M1495" s="1" t="s">
        <v>2</v>
      </c>
      <c r="O1495" s="2"/>
      <c r="P1495" s="2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</row>
    <row r="1496" spans="1:32" s="1" customFormat="1" ht="20.25" customHeight="1" x14ac:dyDescent="0.25">
      <c r="A1496" s="2"/>
      <c r="B1496" s="2"/>
      <c r="C1496" s="2"/>
      <c r="D1496" s="2">
        <f>COUNTIF(contact[[#This Row],[Bagossy]:[Szo
03:00 - 10:00]],"=~?")</f>
        <v>0</v>
      </c>
      <c r="E1496" s="2">
        <f>COUNTIF(contact[[#This Row],[Bagossy]:[Szo
03:00 - 10:00]],"=x")</f>
        <v>0</v>
      </c>
      <c r="F1496" s="2">
        <f>SUM(contact[[#This Row],[?]:[x]])</f>
        <v>0</v>
      </c>
      <c r="G14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6" s="3" t="s">
        <v>4576</v>
      </c>
      <c r="K1496" s="1" t="s">
        <v>2</v>
      </c>
      <c r="L1496" s="1" t="s">
        <v>2</v>
      </c>
      <c r="M1496" s="1" t="s">
        <v>2</v>
      </c>
      <c r="O1496" s="2"/>
      <c r="P1496" s="2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</row>
    <row r="1497" spans="1:32" s="1" customFormat="1" ht="20.25" customHeight="1" x14ac:dyDescent="0.25">
      <c r="A1497" s="2"/>
      <c r="B1497" s="2"/>
      <c r="C1497" s="2"/>
      <c r="D1497" s="2">
        <f>COUNTIF(contact[[#This Row],[Bagossy]:[Szo
03:00 - 10:00]],"=~?")</f>
        <v>0</v>
      </c>
      <c r="E1497" s="2">
        <f>COUNTIF(contact[[#This Row],[Bagossy]:[Szo
03:00 - 10:00]],"=x")</f>
        <v>0</v>
      </c>
      <c r="F1497" s="2">
        <f>SUM(contact[[#This Row],[?]:[x]])</f>
        <v>0</v>
      </c>
      <c r="G14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7" s="3" t="s">
        <v>2255</v>
      </c>
      <c r="K1497" s="1" t="s">
        <v>1313</v>
      </c>
      <c r="L1497" s="1" t="s">
        <v>2</v>
      </c>
      <c r="M1497" s="1" t="s">
        <v>2</v>
      </c>
      <c r="O1497" s="2"/>
      <c r="P1497" s="2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</row>
    <row r="1498" spans="1:32" s="1" customFormat="1" ht="20.25" customHeight="1" x14ac:dyDescent="0.25">
      <c r="A1498" s="2"/>
      <c r="B1498" s="2"/>
      <c r="C1498" s="2"/>
      <c r="D1498" s="2">
        <f>COUNTIF(contact[[#This Row],[Bagossy]:[Szo
03:00 - 10:00]],"=~?")</f>
        <v>0</v>
      </c>
      <c r="E1498" s="2">
        <f>COUNTIF(contact[[#This Row],[Bagossy]:[Szo
03:00 - 10:00]],"=x")</f>
        <v>0</v>
      </c>
      <c r="F1498" s="2">
        <f>SUM(contact[[#This Row],[?]:[x]])</f>
        <v>0</v>
      </c>
      <c r="G14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8" s="3" t="s">
        <v>2726</v>
      </c>
      <c r="K1498" s="1" t="s">
        <v>463</v>
      </c>
      <c r="L1498" s="1" t="s">
        <v>45</v>
      </c>
      <c r="M1498" s="1" t="s">
        <v>464</v>
      </c>
      <c r="O1498" s="2"/>
      <c r="P1498" s="2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</row>
    <row r="1499" spans="1:32" s="1" customFormat="1" ht="20.25" customHeight="1" x14ac:dyDescent="0.25">
      <c r="A1499" s="2"/>
      <c r="B1499" s="2"/>
      <c r="C1499" s="2"/>
      <c r="D1499" s="2">
        <f>COUNTIF(contact[[#This Row],[Bagossy]:[Szo
03:00 - 10:00]],"=~?")</f>
        <v>0</v>
      </c>
      <c r="E1499" s="2">
        <f>COUNTIF(contact[[#This Row],[Bagossy]:[Szo
03:00 - 10:00]],"=x")</f>
        <v>0</v>
      </c>
      <c r="F1499" s="2">
        <f>SUM(contact[[#This Row],[?]:[x]])</f>
        <v>0</v>
      </c>
      <c r="G14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499" s="3" t="s">
        <v>4364</v>
      </c>
      <c r="K1499" s="1" t="s">
        <v>1213</v>
      </c>
      <c r="L1499" s="1" t="s">
        <v>2</v>
      </c>
      <c r="M1499" s="1" t="s">
        <v>2</v>
      </c>
      <c r="O1499" s="2"/>
      <c r="P1499" s="2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</row>
    <row r="1500" spans="1:32" s="1" customFormat="1" ht="20.25" customHeight="1" x14ac:dyDescent="0.25">
      <c r="A1500" s="2"/>
      <c r="B1500" s="2"/>
      <c r="C1500" s="2"/>
      <c r="D1500" s="2">
        <f>COUNTIF(contact[[#This Row],[Bagossy]:[Szo
03:00 - 10:00]],"=~?")</f>
        <v>0</v>
      </c>
      <c r="E1500" s="2">
        <f>COUNTIF(contact[[#This Row],[Bagossy]:[Szo
03:00 - 10:00]],"=x")</f>
        <v>0</v>
      </c>
      <c r="F1500" s="2">
        <f>SUM(contact[[#This Row],[?]:[x]])</f>
        <v>0</v>
      </c>
      <c r="G15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0" s="3" t="s">
        <v>3307</v>
      </c>
      <c r="K1500" s="1" t="s">
        <v>2</v>
      </c>
      <c r="L1500" s="1" t="s">
        <v>2</v>
      </c>
      <c r="M1500" s="1" t="s">
        <v>2</v>
      </c>
      <c r="O1500" s="2"/>
      <c r="P1500" s="2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</row>
    <row r="1501" spans="1:32" s="1" customFormat="1" ht="20.25" customHeight="1" x14ac:dyDescent="0.25">
      <c r="A1501" s="2"/>
      <c r="B1501" s="2"/>
      <c r="C1501" s="2"/>
      <c r="D1501" s="2">
        <f>COUNTIF(contact[[#This Row],[Bagossy]:[Szo
03:00 - 10:00]],"=~?")</f>
        <v>0</v>
      </c>
      <c r="E1501" s="2">
        <f>COUNTIF(contact[[#This Row],[Bagossy]:[Szo
03:00 - 10:00]],"=x")</f>
        <v>0</v>
      </c>
      <c r="F1501" s="2">
        <f>SUM(contact[[#This Row],[?]:[x]])</f>
        <v>0</v>
      </c>
      <c r="G15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01" s="2"/>
      <c r="I1501" s="2"/>
      <c r="J1501" s="3" t="s">
        <v>3251</v>
      </c>
      <c r="K1501" s="1" t="s">
        <v>674</v>
      </c>
      <c r="L1501" s="1" t="s">
        <v>2</v>
      </c>
      <c r="M1501" s="1" t="s">
        <v>2</v>
      </c>
      <c r="O1501" s="2"/>
      <c r="P1501" s="2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</row>
    <row r="1502" spans="1:32" s="1" customFormat="1" ht="20.25" customHeight="1" x14ac:dyDescent="0.25">
      <c r="A1502" s="2"/>
      <c r="B1502" s="2"/>
      <c r="C1502" s="2"/>
      <c r="D1502" s="2">
        <f>COUNTIF(contact[[#This Row],[Bagossy]:[Szo
03:00 - 10:00]],"=~?")</f>
        <v>0</v>
      </c>
      <c r="E1502" s="2">
        <f>COUNTIF(contact[[#This Row],[Bagossy]:[Szo
03:00 - 10:00]],"=x")</f>
        <v>0</v>
      </c>
      <c r="F1502" s="2">
        <f>SUM(contact[[#This Row],[?]:[x]])</f>
        <v>0</v>
      </c>
      <c r="G15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2" s="3" t="s">
        <v>4494</v>
      </c>
      <c r="K1502" s="1" t="s">
        <v>1256</v>
      </c>
      <c r="L1502" s="1" t="s">
        <v>2</v>
      </c>
      <c r="M1502" s="1" t="s">
        <v>2</v>
      </c>
      <c r="O1502" s="2"/>
      <c r="P1502" s="2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</row>
    <row r="1503" spans="1:32" s="1" customFormat="1" ht="20.25" customHeight="1" x14ac:dyDescent="0.25">
      <c r="A1503" s="2"/>
      <c r="B1503" s="2"/>
      <c r="C1503" s="2"/>
      <c r="D1503" s="2">
        <f>COUNTIF(contact[[#This Row],[Bagossy]:[Szo
03:00 - 10:00]],"=~?")</f>
        <v>0</v>
      </c>
      <c r="E1503" s="2">
        <f>COUNTIF(contact[[#This Row],[Bagossy]:[Szo
03:00 - 10:00]],"=x")</f>
        <v>0</v>
      </c>
      <c r="F1503" s="2">
        <f>SUM(contact[[#This Row],[?]:[x]])</f>
        <v>0</v>
      </c>
      <c r="G15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3" s="3" t="s">
        <v>3520</v>
      </c>
      <c r="K1503" s="1" t="s">
        <v>822</v>
      </c>
      <c r="L1503" s="1" t="s">
        <v>2</v>
      </c>
      <c r="M1503" s="1" t="s">
        <v>2</v>
      </c>
      <c r="O1503" s="2"/>
      <c r="P1503" s="2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</row>
    <row r="1504" spans="1:32" s="1" customFormat="1" ht="20.25" customHeight="1" x14ac:dyDescent="0.25">
      <c r="A1504" s="2" t="s">
        <v>1285</v>
      </c>
      <c r="B1504" s="2" t="s">
        <v>1285</v>
      </c>
      <c r="C1504" s="2" t="s">
        <v>1285</v>
      </c>
      <c r="D1504" s="2">
        <f>COUNTIF(contact[[#This Row],[Bagossy]:[Szo
03:00 - 10:00]],"=~?")</f>
        <v>1</v>
      </c>
      <c r="E1504" s="2">
        <f>COUNTIF(contact[[#This Row],[Bagossy]:[Szo
03:00 - 10:00]],"=x")</f>
        <v>7</v>
      </c>
      <c r="F1504" s="2">
        <f>SUM(contact[[#This Row],[?]:[x]])</f>
        <v>8</v>
      </c>
      <c r="G1504" s="2">
        <f>COUNTIF(contact[[#This Row],[Sze
10:00 - 22:00]:[Cs
03:00 - 08:00]],"=x")+COUNTIF(contact[[#This Row],[P
08:00 - 12:00]:[P
03:00 - 08:00]],"=x")+COUNTIF(contact[[#This Row],[Szo
08:00 - 12:00]:[Szo
03:00 - 10:00]],"=x")</f>
        <v>7</v>
      </c>
      <c r="H1504" s="2" t="s">
        <v>4620</v>
      </c>
      <c r="I1504" s="2"/>
      <c r="J1504" s="3" t="s">
        <v>3256</v>
      </c>
      <c r="K1504" s="1" t="s">
        <v>772</v>
      </c>
      <c r="L1504" s="1" t="s">
        <v>2</v>
      </c>
      <c r="M1504" s="1" t="s">
        <v>2</v>
      </c>
      <c r="N1504" s="2" t="s">
        <v>4612</v>
      </c>
      <c r="O1504" s="2"/>
      <c r="P1504" s="2"/>
      <c r="Q1504" s="6" t="s">
        <v>4623</v>
      </c>
      <c r="R1504" s="6" t="s">
        <v>1285</v>
      </c>
      <c r="S1504" s="6" t="s">
        <v>1285</v>
      </c>
      <c r="T1504" s="6" t="s">
        <v>1285</v>
      </c>
      <c r="U1504" s="6" t="s">
        <v>4616</v>
      </c>
      <c r="V1504" s="6"/>
      <c r="W1504" s="6"/>
      <c r="X1504" s="6" t="s">
        <v>1285</v>
      </c>
      <c r="Y1504" s="6" t="s">
        <v>1285</v>
      </c>
      <c r="Z1504" s="6"/>
      <c r="AA1504" s="6"/>
      <c r="AB1504" s="6"/>
      <c r="AC1504" s="6" t="s">
        <v>1285</v>
      </c>
      <c r="AD1504" s="6" t="s">
        <v>1285</v>
      </c>
      <c r="AE1504" s="6"/>
      <c r="AF1504" s="6"/>
    </row>
    <row r="1505" spans="1:32" s="1" customFormat="1" ht="20.25" customHeight="1" x14ac:dyDescent="0.25">
      <c r="A1505" s="2"/>
      <c r="B1505" s="2"/>
      <c r="C1505" s="2"/>
      <c r="D1505" s="2">
        <f>COUNTIF(contact[[#This Row],[Bagossy]:[Szo
03:00 - 10:00]],"=~?")</f>
        <v>0</v>
      </c>
      <c r="E1505" s="2">
        <f>COUNTIF(contact[[#This Row],[Bagossy]:[Szo
03:00 - 10:00]],"=x")</f>
        <v>0</v>
      </c>
      <c r="F1505" s="2">
        <f>SUM(contact[[#This Row],[?]:[x]])</f>
        <v>0</v>
      </c>
      <c r="G15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5" s="3" t="s">
        <v>3601</v>
      </c>
      <c r="K1505" s="1" t="s">
        <v>1680</v>
      </c>
      <c r="L1505" s="1" t="s">
        <v>2</v>
      </c>
      <c r="M1505" s="1" t="s">
        <v>2</v>
      </c>
      <c r="O1505" s="2"/>
      <c r="P1505" s="2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</row>
    <row r="1506" spans="1:32" s="1" customFormat="1" ht="20.25" customHeight="1" x14ac:dyDescent="0.25">
      <c r="A1506" s="2"/>
      <c r="B1506" s="2"/>
      <c r="C1506" s="2"/>
      <c r="D1506" s="2">
        <f>COUNTIF(contact[[#This Row],[Bagossy]:[Szo
03:00 - 10:00]],"=~?")</f>
        <v>0</v>
      </c>
      <c r="E1506" s="2">
        <f>COUNTIF(contact[[#This Row],[Bagossy]:[Szo
03:00 - 10:00]],"=x")</f>
        <v>0</v>
      </c>
      <c r="F1506" s="2">
        <f>SUM(contact[[#This Row],[?]:[x]])</f>
        <v>0</v>
      </c>
      <c r="G15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6" s="3" t="s">
        <v>2750</v>
      </c>
      <c r="K1506" s="1" t="s">
        <v>2</v>
      </c>
      <c r="L1506" s="1" t="s">
        <v>2</v>
      </c>
      <c r="M1506" s="1" t="s">
        <v>2</v>
      </c>
      <c r="O1506" s="2"/>
      <c r="P1506" s="2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</row>
    <row r="1507" spans="1:32" s="1" customFormat="1" ht="20.25" customHeight="1" x14ac:dyDescent="0.25">
      <c r="A1507" s="2"/>
      <c r="B1507" s="2"/>
      <c r="C1507" s="2"/>
      <c r="D1507" s="2">
        <f>COUNTIF(contact[[#This Row],[Bagossy]:[Szo
03:00 - 10:00]],"=~?")</f>
        <v>0</v>
      </c>
      <c r="E1507" s="2">
        <f>COUNTIF(contact[[#This Row],[Bagossy]:[Szo
03:00 - 10:00]],"=x")</f>
        <v>0</v>
      </c>
      <c r="F1507" s="2">
        <f>SUM(contact[[#This Row],[?]:[x]])</f>
        <v>0</v>
      </c>
      <c r="G15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07" s="2"/>
      <c r="I1507" s="2"/>
      <c r="J1507" s="3" t="s">
        <v>3257</v>
      </c>
      <c r="K1507" s="1" t="s">
        <v>1603</v>
      </c>
      <c r="L1507" s="1" t="s">
        <v>2</v>
      </c>
      <c r="M1507" s="1" t="s">
        <v>2</v>
      </c>
      <c r="O1507" s="2"/>
      <c r="P1507" s="2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</row>
    <row r="1508" spans="1:32" s="1" customFormat="1" ht="20.25" customHeight="1" x14ac:dyDescent="0.25">
      <c r="A1508" s="2"/>
      <c r="B1508" s="2"/>
      <c r="C1508" s="2"/>
      <c r="D1508" s="2">
        <f>COUNTIF(contact[[#This Row],[Bagossy]:[Szo
03:00 - 10:00]],"=~?")</f>
        <v>0</v>
      </c>
      <c r="E1508" s="2">
        <f>COUNTIF(contact[[#This Row],[Bagossy]:[Szo
03:00 - 10:00]],"=x")</f>
        <v>0</v>
      </c>
      <c r="F1508" s="2">
        <f>SUM(contact[[#This Row],[?]:[x]])</f>
        <v>0</v>
      </c>
      <c r="G15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8" s="3" t="s">
        <v>1928</v>
      </c>
      <c r="K1508" s="1" t="s">
        <v>1293</v>
      </c>
      <c r="L1508" s="1" t="s">
        <v>2</v>
      </c>
      <c r="M1508" s="1" t="s">
        <v>2</v>
      </c>
      <c r="O1508" s="2"/>
      <c r="P1508" s="2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</row>
    <row r="1509" spans="1:32" s="1" customFormat="1" ht="20.25" customHeight="1" x14ac:dyDescent="0.25">
      <c r="A1509" s="2"/>
      <c r="B1509" s="2"/>
      <c r="C1509" s="2"/>
      <c r="D1509" s="2">
        <f>COUNTIF(contact[[#This Row],[Bagossy]:[Szo
03:00 - 10:00]],"=~?")</f>
        <v>0</v>
      </c>
      <c r="E1509" s="2">
        <f>COUNTIF(contact[[#This Row],[Bagossy]:[Szo
03:00 - 10:00]],"=x")</f>
        <v>0</v>
      </c>
      <c r="F1509" s="2">
        <f>SUM(contact[[#This Row],[?]:[x]])</f>
        <v>0</v>
      </c>
      <c r="G15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09" s="3" t="s">
        <v>1950</v>
      </c>
      <c r="K1509" s="1" t="s">
        <v>2</v>
      </c>
      <c r="L1509" s="1" t="s">
        <v>2</v>
      </c>
      <c r="M1509" s="1" t="s">
        <v>2</v>
      </c>
      <c r="O1509" s="2"/>
      <c r="P1509" s="2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</row>
    <row r="1510" spans="1:32" s="1" customFormat="1" ht="20.25" customHeight="1" x14ac:dyDescent="0.25">
      <c r="A1510" s="2"/>
      <c r="B1510" s="2"/>
      <c r="C1510" s="2"/>
      <c r="D1510" s="2">
        <f>COUNTIF(contact[[#This Row],[Bagossy]:[Szo
03:00 - 10:00]],"=~?")</f>
        <v>0</v>
      </c>
      <c r="E1510" s="2">
        <f>COUNTIF(contact[[#This Row],[Bagossy]:[Szo
03:00 - 10:00]],"=x")</f>
        <v>0</v>
      </c>
      <c r="F1510" s="2">
        <f>SUM(contact[[#This Row],[?]:[x]])</f>
        <v>0</v>
      </c>
      <c r="G15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0" s="3" t="s">
        <v>1966</v>
      </c>
      <c r="K1510" s="1" t="s">
        <v>1301</v>
      </c>
      <c r="L1510" s="1" t="s">
        <v>2</v>
      </c>
      <c r="M1510" s="1" t="s">
        <v>2</v>
      </c>
      <c r="O1510" s="2"/>
      <c r="P1510" s="2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</row>
    <row r="1511" spans="1:32" s="1" customFormat="1" ht="20.25" customHeight="1" x14ac:dyDescent="0.25">
      <c r="A1511" s="2"/>
      <c r="B1511" s="2"/>
      <c r="C1511" s="2" t="s">
        <v>1285</v>
      </c>
      <c r="D1511" s="2">
        <f>COUNTIF(contact[[#This Row],[Bagossy]:[Szo
03:00 - 10:00]],"=~?")</f>
        <v>0</v>
      </c>
      <c r="E1511" s="2">
        <f>COUNTIF(contact[[#This Row],[Bagossy]:[Szo
03:00 - 10:00]],"=x")</f>
        <v>0</v>
      </c>
      <c r="F1511" s="2">
        <f>SUM(contact[[#This Row],[?]:[x]])</f>
        <v>0</v>
      </c>
      <c r="G15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11" s="2"/>
      <c r="I1511" s="2"/>
      <c r="J1511" s="3" t="s">
        <v>3282</v>
      </c>
      <c r="K1511" s="1" t="s">
        <v>6</v>
      </c>
      <c r="L1511" s="1" t="s">
        <v>2</v>
      </c>
      <c r="M1511" s="1" t="s">
        <v>2</v>
      </c>
      <c r="O1511" s="2"/>
      <c r="P1511" s="2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</row>
    <row r="1512" spans="1:32" s="1" customFormat="1" ht="20.25" customHeight="1" x14ac:dyDescent="0.25">
      <c r="A1512" s="2"/>
      <c r="B1512" s="2"/>
      <c r="C1512" s="2"/>
      <c r="D1512" s="2">
        <f>COUNTIF(contact[[#This Row],[Bagossy]:[Szo
03:00 - 10:00]],"=~?")</f>
        <v>0</v>
      </c>
      <c r="E1512" s="2">
        <f>COUNTIF(contact[[#This Row],[Bagossy]:[Szo
03:00 - 10:00]],"=x")</f>
        <v>0</v>
      </c>
      <c r="F1512" s="2">
        <f>SUM(contact[[#This Row],[?]:[x]])</f>
        <v>0</v>
      </c>
      <c r="G15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2" s="3" t="s">
        <v>2059</v>
      </c>
      <c r="K1512" s="1" t="s">
        <v>93</v>
      </c>
      <c r="L1512" s="1" t="s">
        <v>2</v>
      </c>
      <c r="M1512" s="1" t="s">
        <v>2</v>
      </c>
      <c r="O1512" s="2"/>
      <c r="P1512" s="2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</row>
    <row r="1513" spans="1:32" s="1" customFormat="1" ht="20.25" customHeight="1" x14ac:dyDescent="0.25">
      <c r="A1513" s="2"/>
      <c r="B1513" s="2"/>
      <c r="C1513" s="2"/>
      <c r="D1513" s="2">
        <f>COUNTIF(contact[[#This Row],[Bagossy]:[Szo
03:00 - 10:00]],"=~?")</f>
        <v>0</v>
      </c>
      <c r="E1513" s="2">
        <f>COUNTIF(contact[[#This Row],[Bagossy]:[Szo
03:00 - 10:00]],"=x")</f>
        <v>0</v>
      </c>
      <c r="F1513" s="2">
        <f>SUM(contact[[#This Row],[?]:[x]])</f>
        <v>0</v>
      </c>
      <c r="G15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3" s="3" t="s">
        <v>2059</v>
      </c>
      <c r="K1513" s="1" t="s">
        <v>1293</v>
      </c>
      <c r="L1513" s="1" t="s">
        <v>2</v>
      </c>
      <c r="M1513" s="1" t="s">
        <v>2</v>
      </c>
      <c r="O1513" s="2"/>
      <c r="P1513" s="2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</row>
    <row r="1514" spans="1:32" s="1" customFormat="1" ht="20.25" customHeight="1" x14ac:dyDescent="0.25">
      <c r="A1514" s="2"/>
      <c r="B1514" s="2"/>
      <c r="C1514" s="2"/>
      <c r="D1514" s="2">
        <f>COUNTIF(contact[[#This Row],[Bagossy]:[Szo
03:00 - 10:00]],"=~?")</f>
        <v>0</v>
      </c>
      <c r="E1514" s="2">
        <f>COUNTIF(contact[[#This Row],[Bagossy]:[Szo
03:00 - 10:00]],"=x")</f>
        <v>0</v>
      </c>
      <c r="F1514" s="2">
        <f>SUM(contact[[#This Row],[?]:[x]])</f>
        <v>0</v>
      </c>
      <c r="G15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4" s="3" t="s">
        <v>2075</v>
      </c>
      <c r="K1514" s="1" t="s">
        <v>102</v>
      </c>
      <c r="L1514" s="1" t="s">
        <v>2</v>
      </c>
      <c r="M1514" s="1" t="s">
        <v>2</v>
      </c>
      <c r="O1514" s="2"/>
      <c r="P1514" s="2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</row>
    <row r="1515" spans="1:32" s="1" customFormat="1" ht="20.25" customHeight="1" x14ac:dyDescent="0.25">
      <c r="A1515" s="2"/>
      <c r="B1515" s="2"/>
      <c r="C1515" s="2"/>
      <c r="D1515" s="2">
        <f>COUNTIF(contact[[#This Row],[Bagossy]:[Szo
03:00 - 10:00]],"=~?")</f>
        <v>0</v>
      </c>
      <c r="E1515" s="2">
        <f>COUNTIF(contact[[#This Row],[Bagossy]:[Szo
03:00 - 10:00]],"=x")</f>
        <v>0</v>
      </c>
      <c r="F1515" s="2">
        <f>SUM(contact[[#This Row],[?]:[x]])</f>
        <v>0</v>
      </c>
      <c r="G15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5" s="3" t="s">
        <v>2085</v>
      </c>
      <c r="K1515" s="1" t="s">
        <v>2</v>
      </c>
      <c r="L1515" s="1" t="s">
        <v>2</v>
      </c>
      <c r="M1515" s="1" t="s">
        <v>2</v>
      </c>
      <c r="O1515" s="2"/>
      <c r="P1515" s="2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</row>
    <row r="1516" spans="1:32" s="1" customFormat="1" ht="20.25" customHeight="1" x14ac:dyDescent="0.25">
      <c r="A1516" s="2"/>
      <c r="B1516" s="2"/>
      <c r="C1516" s="2"/>
      <c r="D1516" s="2">
        <f>COUNTIF(contact[[#This Row],[Bagossy]:[Szo
03:00 - 10:00]],"=~?")</f>
        <v>0</v>
      </c>
      <c r="E1516" s="2">
        <f>COUNTIF(contact[[#This Row],[Bagossy]:[Szo
03:00 - 10:00]],"=x")</f>
        <v>0</v>
      </c>
      <c r="F1516" s="2">
        <f>SUM(contact[[#This Row],[?]:[x]])</f>
        <v>0</v>
      </c>
      <c r="G15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6" s="3" t="s">
        <v>2152</v>
      </c>
      <c r="K1516" s="1" t="s">
        <v>144</v>
      </c>
      <c r="L1516" s="1" t="s">
        <v>2</v>
      </c>
      <c r="M1516" s="1" t="s">
        <v>2</v>
      </c>
      <c r="O1516" s="2"/>
      <c r="P1516" s="2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</row>
    <row r="1517" spans="1:32" s="1" customFormat="1" ht="20.25" customHeight="1" x14ac:dyDescent="0.25">
      <c r="A1517" s="2"/>
      <c r="B1517" s="2"/>
      <c r="C1517" s="2"/>
      <c r="D1517" s="2">
        <f>COUNTIF(contact[[#This Row],[Bagossy]:[Szo
03:00 - 10:00]],"=~?")</f>
        <v>0</v>
      </c>
      <c r="E1517" s="2">
        <f>COUNTIF(contact[[#This Row],[Bagossy]:[Szo
03:00 - 10:00]],"=x")</f>
        <v>0</v>
      </c>
      <c r="F1517" s="2">
        <f>SUM(contact[[#This Row],[?]:[x]])</f>
        <v>0</v>
      </c>
      <c r="G15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7" s="3" t="s">
        <v>2190</v>
      </c>
      <c r="K1517" s="1" t="s">
        <v>163</v>
      </c>
      <c r="L1517" s="1" t="s">
        <v>2</v>
      </c>
      <c r="M1517" s="1" t="s">
        <v>2</v>
      </c>
      <c r="O1517" s="2"/>
      <c r="P1517" s="2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</row>
    <row r="1518" spans="1:32" s="1" customFormat="1" ht="20.25" customHeight="1" x14ac:dyDescent="0.25">
      <c r="A1518" s="2"/>
      <c r="B1518" s="2"/>
      <c r="C1518" s="2" t="s">
        <v>1285</v>
      </c>
      <c r="D1518" s="2">
        <f>COUNTIF(contact[[#This Row],[Bagossy]:[Szo
03:00 - 10:00]],"=~?")</f>
        <v>0</v>
      </c>
      <c r="E1518" s="2">
        <f>COUNTIF(contact[[#This Row],[Bagossy]:[Szo
03:00 - 10:00]],"=x")</f>
        <v>0</v>
      </c>
      <c r="F1518" s="2">
        <f>SUM(contact[[#This Row],[?]:[x]])</f>
        <v>0</v>
      </c>
      <c r="G15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18" s="2"/>
      <c r="I1518" s="2"/>
      <c r="J1518" s="3" t="s">
        <v>3284</v>
      </c>
      <c r="K1518" s="1" t="s">
        <v>209</v>
      </c>
      <c r="L1518" s="1" t="s">
        <v>2</v>
      </c>
      <c r="M1518" s="1" t="s">
        <v>2</v>
      </c>
      <c r="O1518" s="2"/>
      <c r="P1518" s="2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</row>
    <row r="1519" spans="1:32" s="1" customFormat="1" ht="20.25" customHeight="1" x14ac:dyDescent="0.25">
      <c r="A1519" s="2"/>
      <c r="B1519" s="2"/>
      <c r="C1519" s="2"/>
      <c r="D1519" s="2">
        <f>COUNTIF(contact[[#This Row],[Bagossy]:[Szo
03:00 - 10:00]],"=~?")</f>
        <v>0</v>
      </c>
      <c r="E1519" s="2">
        <f>COUNTIF(contact[[#This Row],[Bagossy]:[Szo
03:00 - 10:00]],"=x")</f>
        <v>0</v>
      </c>
      <c r="F1519" s="2">
        <f>SUM(contact[[#This Row],[?]:[x]])</f>
        <v>0</v>
      </c>
      <c r="G15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19" s="3" t="s">
        <v>2297</v>
      </c>
      <c r="K1519" s="1" t="s">
        <v>1385</v>
      </c>
      <c r="L1519" s="1" t="s">
        <v>2</v>
      </c>
      <c r="M1519" s="1" t="s">
        <v>2</v>
      </c>
      <c r="O1519" s="2"/>
      <c r="P1519" s="2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</row>
    <row r="1520" spans="1:32" s="1" customFormat="1" ht="20.25" customHeight="1" x14ac:dyDescent="0.25">
      <c r="A1520" s="2"/>
      <c r="B1520" s="2"/>
      <c r="C1520" s="2"/>
      <c r="D1520" s="2">
        <f>COUNTIF(contact[[#This Row],[Bagossy]:[Szo
03:00 - 10:00]],"=~?")</f>
        <v>0</v>
      </c>
      <c r="E1520" s="2">
        <f>COUNTIF(contact[[#This Row],[Bagossy]:[Szo
03:00 - 10:00]],"=x")</f>
        <v>0</v>
      </c>
      <c r="F1520" s="2">
        <f>SUM(contact[[#This Row],[?]:[x]])</f>
        <v>0</v>
      </c>
      <c r="G15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0" s="3" t="s">
        <v>2333</v>
      </c>
      <c r="K1520" s="1" t="s">
        <v>248</v>
      </c>
      <c r="L1520" s="1" t="s">
        <v>2</v>
      </c>
      <c r="M1520" s="1" t="s">
        <v>2</v>
      </c>
      <c r="O1520" s="2"/>
      <c r="P1520" s="2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</row>
    <row r="1521" spans="1:32" s="1" customFormat="1" ht="20.25" customHeight="1" x14ac:dyDescent="0.25">
      <c r="A1521" s="2"/>
      <c r="B1521" s="2"/>
      <c r="C1521" s="2"/>
      <c r="D1521" s="2">
        <f>COUNTIF(contact[[#This Row],[Bagossy]:[Szo
03:00 - 10:00]],"=~?")</f>
        <v>0</v>
      </c>
      <c r="E1521" s="2">
        <f>COUNTIF(contact[[#This Row],[Bagossy]:[Szo
03:00 - 10:00]],"=x")</f>
        <v>0</v>
      </c>
      <c r="F1521" s="2">
        <f>SUM(contact[[#This Row],[?]:[x]])</f>
        <v>0</v>
      </c>
      <c r="G15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1" s="3" t="s">
        <v>2329</v>
      </c>
      <c r="K1521" s="1" t="s">
        <v>2</v>
      </c>
      <c r="L1521" s="1" t="s">
        <v>2</v>
      </c>
      <c r="M1521" s="1" t="s">
        <v>2</v>
      </c>
      <c r="O1521" s="2"/>
      <c r="P1521" s="2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</row>
    <row r="1522" spans="1:32" s="1" customFormat="1" ht="20.25" customHeight="1" x14ac:dyDescent="0.25">
      <c r="A1522" s="2"/>
      <c r="B1522" s="2"/>
      <c r="C1522" s="2"/>
      <c r="D1522" s="2">
        <f>COUNTIF(contact[[#This Row],[Bagossy]:[Szo
03:00 - 10:00]],"=~?")</f>
        <v>0</v>
      </c>
      <c r="E1522" s="2">
        <f>COUNTIF(contact[[#This Row],[Bagossy]:[Szo
03:00 - 10:00]],"=x")</f>
        <v>0</v>
      </c>
      <c r="F1522" s="2">
        <f>SUM(contact[[#This Row],[?]:[x]])</f>
        <v>0</v>
      </c>
      <c r="G15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2" s="3" t="s">
        <v>2409</v>
      </c>
      <c r="K1522" s="1" t="s">
        <v>2</v>
      </c>
      <c r="L1522" s="1" t="s">
        <v>2</v>
      </c>
      <c r="M1522" s="1" t="s">
        <v>2</v>
      </c>
      <c r="O1522" s="2"/>
      <c r="P1522" s="2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</row>
    <row r="1523" spans="1:32" s="1" customFormat="1" ht="20.25" customHeight="1" x14ac:dyDescent="0.25">
      <c r="A1523" s="2"/>
      <c r="B1523" s="2"/>
      <c r="C1523" s="2"/>
      <c r="D1523" s="2">
        <f>COUNTIF(contact[[#This Row],[Bagossy]:[Szo
03:00 - 10:00]],"=~?")</f>
        <v>0</v>
      </c>
      <c r="E1523" s="2">
        <f>COUNTIF(contact[[#This Row],[Bagossy]:[Szo
03:00 - 10:00]],"=x")</f>
        <v>0</v>
      </c>
      <c r="F1523" s="2">
        <f>SUM(contact[[#This Row],[?]:[x]])</f>
        <v>0</v>
      </c>
      <c r="G15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3" s="3" t="s">
        <v>2446</v>
      </c>
      <c r="K1523" s="1" t="s">
        <v>312</v>
      </c>
      <c r="L1523" s="1" t="s">
        <v>2</v>
      </c>
      <c r="M1523" s="1" t="s">
        <v>2</v>
      </c>
      <c r="O1523" s="2"/>
      <c r="P1523" s="2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</row>
    <row r="1524" spans="1:32" s="1" customFormat="1" ht="20.25" customHeight="1" x14ac:dyDescent="0.25">
      <c r="A1524" s="2"/>
      <c r="B1524" s="2"/>
      <c r="C1524" s="2"/>
      <c r="D1524" s="2">
        <f>COUNTIF(contact[[#This Row],[Bagossy]:[Szo
03:00 - 10:00]],"=~?")</f>
        <v>0</v>
      </c>
      <c r="E1524" s="2">
        <f>COUNTIF(contact[[#This Row],[Bagossy]:[Szo
03:00 - 10:00]],"=x")</f>
        <v>0</v>
      </c>
      <c r="F1524" s="2">
        <f>SUM(contact[[#This Row],[?]:[x]])</f>
        <v>0</v>
      </c>
      <c r="G15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4" s="3" t="s">
        <v>2679</v>
      </c>
      <c r="K1524" s="1" t="s">
        <v>441</v>
      </c>
      <c r="L1524" s="1" t="s">
        <v>2</v>
      </c>
      <c r="M1524" s="1" t="s">
        <v>2</v>
      </c>
      <c r="O1524" s="2"/>
      <c r="P1524" s="2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</row>
    <row r="1525" spans="1:32" s="1" customFormat="1" ht="20.25" customHeight="1" x14ac:dyDescent="0.25">
      <c r="A1525" s="2"/>
      <c r="B1525" s="2"/>
      <c r="C1525" s="2"/>
      <c r="D1525" s="2">
        <f>COUNTIF(contact[[#This Row],[Bagossy]:[Szo
03:00 - 10:00]],"=~?")</f>
        <v>0</v>
      </c>
      <c r="E1525" s="2">
        <f>COUNTIF(contact[[#This Row],[Bagossy]:[Szo
03:00 - 10:00]],"=x")</f>
        <v>0</v>
      </c>
      <c r="F1525" s="2">
        <f>SUM(contact[[#This Row],[?]:[x]])</f>
        <v>0</v>
      </c>
      <c r="G15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5" s="3" t="s">
        <v>2704</v>
      </c>
      <c r="K1525" s="1" t="s">
        <v>2</v>
      </c>
      <c r="L1525" s="1" t="s">
        <v>2</v>
      </c>
      <c r="M1525" s="1" t="s">
        <v>2</v>
      </c>
      <c r="O1525" s="2"/>
      <c r="P1525" s="2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</row>
    <row r="1526" spans="1:32" s="1" customFormat="1" ht="20.25" customHeight="1" x14ac:dyDescent="0.25">
      <c r="A1526" s="2"/>
      <c r="B1526" s="2"/>
      <c r="C1526" s="2"/>
      <c r="D1526" s="2">
        <f>COUNTIF(contact[[#This Row],[Bagossy]:[Szo
03:00 - 10:00]],"=~?")</f>
        <v>0</v>
      </c>
      <c r="E1526" s="2">
        <f>COUNTIF(contact[[#This Row],[Bagossy]:[Szo
03:00 - 10:00]],"=x")</f>
        <v>0</v>
      </c>
      <c r="F1526" s="2">
        <f>SUM(contact[[#This Row],[?]:[x]])</f>
        <v>0</v>
      </c>
      <c r="G15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6" s="3" t="s">
        <v>2727</v>
      </c>
      <c r="K1526" s="1" t="s">
        <v>465</v>
      </c>
      <c r="L1526" s="1" t="s">
        <v>2</v>
      </c>
      <c r="M1526" s="1" t="s">
        <v>2</v>
      </c>
      <c r="O1526" s="2"/>
      <c r="P1526" s="2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</row>
    <row r="1527" spans="1:32" s="1" customFormat="1" ht="20.25" customHeight="1" x14ac:dyDescent="0.25">
      <c r="A1527" s="2"/>
      <c r="B1527" s="2"/>
      <c r="C1527" s="2"/>
      <c r="D1527" s="2">
        <f>COUNTIF(contact[[#This Row],[Bagossy]:[Szo
03:00 - 10:00]],"=~?")</f>
        <v>0</v>
      </c>
      <c r="E1527" s="2">
        <f>COUNTIF(contact[[#This Row],[Bagossy]:[Szo
03:00 - 10:00]],"=x")</f>
        <v>0</v>
      </c>
      <c r="F1527" s="2">
        <f>SUM(contact[[#This Row],[?]:[x]])</f>
        <v>0</v>
      </c>
      <c r="G15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7" s="3" t="s">
        <v>2751</v>
      </c>
      <c r="K1527" s="1" t="s">
        <v>2</v>
      </c>
      <c r="L1527" s="1" t="s">
        <v>2</v>
      </c>
      <c r="M1527" s="1" t="s">
        <v>2</v>
      </c>
      <c r="O1527" s="2"/>
      <c r="P1527" s="2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</row>
    <row r="1528" spans="1:32" s="1" customFormat="1" ht="20.25" customHeight="1" x14ac:dyDescent="0.25">
      <c r="A1528" s="2"/>
      <c r="B1528" s="2"/>
      <c r="C1528" s="2"/>
      <c r="D1528" s="2">
        <f>COUNTIF(contact[[#This Row],[Bagossy]:[Szo
03:00 - 10:00]],"=~?")</f>
        <v>0</v>
      </c>
      <c r="E1528" s="2">
        <f>COUNTIF(contact[[#This Row],[Bagossy]:[Szo
03:00 - 10:00]],"=x")</f>
        <v>0</v>
      </c>
      <c r="F1528" s="2">
        <f>SUM(contact[[#This Row],[?]:[x]])</f>
        <v>0</v>
      </c>
      <c r="G15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8" s="3" t="s">
        <v>2848</v>
      </c>
      <c r="K1528" s="1" t="s">
        <v>2</v>
      </c>
      <c r="L1528" s="1" t="s">
        <v>2</v>
      </c>
      <c r="M1528" s="1" t="s">
        <v>2</v>
      </c>
      <c r="O1528" s="2"/>
      <c r="P1528" s="2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</row>
    <row r="1529" spans="1:32" s="1" customFormat="1" ht="20.25" customHeight="1" x14ac:dyDescent="0.25">
      <c r="A1529" s="2"/>
      <c r="B1529" s="2"/>
      <c r="C1529" s="2"/>
      <c r="D1529" s="2">
        <f>COUNTIF(contact[[#This Row],[Bagossy]:[Szo
03:00 - 10:00]],"=~?")</f>
        <v>0</v>
      </c>
      <c r="E1529" s="2">
        <f>COUNTIF(contact[[#This Row],[Bagossy]:[Szo
03:00 - 10:00]],"=x")</f>
        <v>0</v>
      </c>
      <c r="F1529" s="2">
        <f>SUM(contact[[#This Row],[?]:[x]])</f>
        <v>0</v>
      </c>
      <c r="G15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29" s="3" t="s">
        <v>2848</v>
      </c>
      <c r="K1529" s="1" t="s">
        <v>1498</v>
      </c>
      <c r="L1529" s="1" t="s">
        <v>2</v>
      </c>
      <c r="M1529" s="1" t="s">
        <v>2</v>
      </c>
      <c r="O1529" s="2"/>
      <c r="P1529" s="2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</row>
    <row r="1530" spans="1:32" s="1" customFormat="1" ht="20.25" customHeight="1" x14ac:dyDescent="0.25">
      <c r="A1530" s="2"/>
      <c r="B1530" s="2"/>
      <c r="C1530" s="2"/>
      <c r="D1530" s="2">
        <f>COUNTIF(contact[[#This Row],[Bagossy]:[Szo
03:00 - 10:00]],"=~?")</f>
        <v>0</v>
      </c>
      <c r="E1530" s="2">
        <f>COUNTIF(contact[[#This Row],[Bagossy]:[Szo
03:00 - 10:00]],"=x")</f>
        <v>0</v>
      </c>
      <c r="F1530" s="2">
        <f>SUM(contact[[#This Row],[?]:[x]])</f>
        <v>0</v>
      </c>
      <c r="G15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0" s="3" t="s">
        <v>2848</v>
      </c>
      <c r="K1530" s="1" t="s">
        <v>2</v>
      </c>
      <c r="L1530" s="1" t="s">
        <v>2</v>
      </c>
      <c r="M1530" s="1" t="s">
        <v>2</v>
      </c>
      <c r="O1530" s="2"/>
      <c r="P1530" s="2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</row>
    <row r="1531" spans="1:32" s="1" customFormat="1" ht="20.25" customHeight="1" x14ac:dyDescent="0.25">
      <c r="A1531" s="2"/>
      <c r="B1531" s="2"/>
      <c r="C1531" s="2"/>
      <c r="D1531" s="2">
        <f>COUNTIF(contact[[#This Row],[Bagossy]:[Szo
03:00 - 10:00]],"=~?")</f>
        <v>0</v>
      </c>
      <c r="E1531" s="2">
        <f>COUNTIF(contact[[#This Row],[Bagossy]:[Szo
03:00 - 10:00]],"=x")</f>
        <v>0</v>
      </c>
      <c r="F1531" s="2">
        <f>SUM(contact[[#This Row],[?]:[x]])</f>
        <v>0</v>
      </c>
      <c r="G15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1" s="3" t="s">
        <v>2911</v>
      </c>
      <c r="K1531" s="1" t="s">
        <v>2</v>
      </c>
      <c r="L1531" s="1" t="s">
        <v>2</v>
      </c>
      <c r="M1531" s="1" t="s">
        <v>2</v>
      </c>
      <c r="O1531" s="2"/>
      <c r="P1531" s="2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</row>
    <row r="1532" spans="1:32" s="1" customFormat="1" ht="20.25" customHeight="1" x14ac:dyDescent="0.25">
      <c r="A1532" s="2"/>
      <c r="B1532" s="2"/>
      <c r="C1532" s="2"/>
      <c r="D1532" s="2">
        <f>COUNTIF(contact[[#This Row],[Bagossy]:[Szo
03:00 - 10:00]],"=~?")</f>
        <v>0</v>
      </c>
      <c r="E1532" s="2">
        <f>COUNTIF(contact[[#This Row],[Bagossy]:[Szo
03:00 - 10:00]],"=x")</f>
        <v>0</v>
      </c>
      <c r="F1532" s="2">
        <f>SUM(contact[[#This Row],[?]:[x]])</f>
        <v>0</v>
      </c>
      <c r="G15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2" s="3" t="s">
        <v>2937</v>
      </c>
      <c r="K1532" s="1" t="s">
        <v>568</v>
      </c>
      <c r="L1532" s="1" t="s">
        <v>2</v>
      </c>
      <c r="M1532" s="1" t="s">
        <v>2</v>
      </c>
      <c r="O1532" s="2"/>
      <c r="P1532" s="2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</row>
    <row r="1533" spans="1:32" s="1" customFormat="1" ht="20.25" customHeight="1" x14ac:dyDescent="0.25">
      <c r="A1533" s="2"/>
      <c r="B1533" s="2"/>
      <c r="C1533" s="2"/>
      <c r="D1533" s="2">
        <f>COUNTIF(contact[[#This Row],[Bagossy]:[Szo
03:00 - 10:00]],"=~?")</f>
        <v>0</v>
      </c>
      <c r="E1533" s="2">
        <f>COUNTIF(contact[[#This Row],[Bagossy]:[Szo
03:00 - 10:00]],"=x")</f>
        <v>0</v>
      </c>
      <c r="F1533" s="2">
        <f>SUM(contact[[#This Row],[?]:[x]])</f>
        <v>0</v>
      </c>
      <c r="G15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33" s="2"/>
      <c r="I1533" s="2"/>
      <c r="J1533" s="3" t="s">
        <v>3285</v>
      </c>
      <c r="K1533" s="1" t="s">
        <v>6</v>
      </c>
      <c r="L1533" s="1" t="s">
        <v>2</v>
      </c>
      <c r="M1533" s="1" t="s">
        <v>2</v>
      </c>
      <c r="O1533" s="2"/>
      <c r="P1533" s="2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</row>
    <row r="1534" spans="1:32" s="1" customFormat="1" ht="20.25" customHeight="1" x14ac:dyDescent="0.25">
      <c r="A1534" s="2"/>
      <c r="B1534" s="2"/>
      <c r="C1534" s="2"/>
      <c r="D1534" s="2">
        <f>COUNTIF(contact[[#This Row],[Bagossy]:[Szo
03:00 - 10:00]],"=~?")</f>
        <v>0</v>
      </c>
      <c r="E1534" s="2">
        <f>COUNTIF(contact[[#This Row],[Bagossy]:[Szo
03:00 - 10:00]],"=x")</f>
        <v>0</v>
      </c>
      <c r="F1534" s="2">
        <f>SUM(contact[[#This Row],[?]:[x]])</f>
        <v>0</v>
      </c>
      <c r="G15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4" s="3" t="s">
        <v>2948</v>
      </c>
      <c r="K1534" s="1" t="s">
        <v>571</v>
      </c>
      <c r="L1534" s="1" t="s">
        <v>2</v>
      </c>
      <c r="M1534" s="1" t="s">
        <v>2</v>
      </c>
      <c r="O1534" s="2"/>
      <c r="P1534" s="2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</row>
    <row r="1535" spans="1:32" s="1" customFormat="1" ht="20.25" customHeight="1" x14ac:dyDescent="0.25">
      <c r="A1535" s="2"/>
      <c r="B1535" s="2"/>
      <c r="C1535" s="2"/>
      <c r="D1535" s="2">
        <f>COUNTIF(contact[[#This Row],[Bagossy]:[Szo
03:00 - 10:00]],"=~?")</f>
        <v>0</v>
      </c>
      <c r="E1535" s="2">
        <f>COUNTIF(contact[[#This Row],[Bagossy]:[Szo
03:00 - 10:00]],"=x")</f>
        <v>0</v>
      </c>
      <c r="F1535" s="2">
        <f>SUM(contact[[#This Row],[?]:[x]])</f>
        <v>0</v>
      </c>
      <c r="G15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35" s="2"/>
      <c r="I1535" s="2"/>
      <c r="J1535" s="3" t="s">
        <v>3287</v>
      </c>
      <c r="K1535" s="1" t="s">
        <v>1611</v>
      </c>
      <c r="L1535" s="1" t="s">
        <v>2</v>
      </c>
      <c r="M1535" s="1" t="s">
        <v>2</v>
      </c>
      <c r="O1535" s="2"/>
      <c r="P1535" s="2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</row>
    <row r="1536" spans="1:32" s="1" customFormat="1" ht="20.25" customHeight="1" x14ac:dyDescent="0.25">
      <c r="A1536" s="2"/>
      <c r="B1536" s="2"/>
      <c r="C1536" s="2"/>
      <c r="D1536" s="2">
        <f>COUNTIF(contact[[#This Row],[Bagossy]:[Szo
03:00 - 10:00]],"=~?")</f>
        <v>0</v>
      </c>
      <c r="E1536" s="2">
        <f>COUNTIF(contact[[#This Row],[Bagossy]:[Szo
03:00 - 10:00]],"=x")</f>
        <v>0</v>
      </c>
      <c r="F1536" s="2">
        <f>SUM(contact[[#This Row],[?]:[x]])</f>
        <v>0</v>
      </c>
      <c r="G15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6" s="3" t="s">
        <v>2995</v>
      </c>
      <c r="K1536" s="1" t="s">
        <v>2</v>
      </c>
      <c r="L1536" s="1" t="s">
        <v>2</v>
      </c>
      <c r="M1536" s="1" t="s">
        <v>2</v>
      </c>
      <c r="O1536" s="2"/>
      <c r="P1536" s="2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</row>
    <row r="1537" spans="1:32" s="1" customFormat="1" ht="20.25" customHeight="1" x14ac:dyDescent="0.25">
      <c r="A1537" s="2"/>
      <c r="B1537" s="2"/>
      <c r="C1537" s="2"/>
      <c r="D1537" s="2">
        <f>COUNTIF(contact[[#This Row],[Bagossy]:[Szo
03:00 - 10:00]],"=~?")</f>
        <v>0</v>
      </c>
      <c r="E1537" s="2">
        <f>COUNTIF(contact[[#This Row],[Bagossy]:[Szo
03:00 - 10:00]],"=x")</f>
        <v>0</v>
      </c>
      <c r="F1537" s="2">
        <f>SUM(contact[[#This Row],[?]:[x]])</f>
        <v>0</v>
      </c>
      <c r="G15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7" s="3" t="s">
        <v>2999</v>
      </c>
      <c r="K1537" s="1" t="s">
        <v>1293</v>
      </c>
      <c r="L1537" s="1" t="s">
        <v>2</v>
      </c>
      <c r="M1537" s="1" t="s">
        <v>2</v>
      </c>
      <c r="O1537" s="2"/>
      <c r="P1537" s="2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</row>
    <row r="1538" spans="1:32" s="1" customFormat="1" ht="20.25" customHeight="1" x14ac:dyDescent="0.25">
      <c r="A1538" s="2"/>
      <c r="B1538" s="2"/>
      <c r="C1538" s="2"/>
      <c r="D1538" s="2">
        <f>COUNTIF(contact[[#This Row],[Bagossy]:[Szo
03:00 - 10:00]],"=~?")</f>
        <v>0</v>
      </c>
      <c r="E1538" s="2">
        <f>COUNTIF(contact[[#This Row],[Bagossy]:[Szo
03:00 - 10:00]],"=x")</f>
        <v>0</v>
      </c>
      <c r="F1538" s="2">
        <f>SUM(contact[[#This Row],[?]:[x]])</f>
        <v>0</v>
      </c>
      <c r="G15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8" s="3" t="s">
        <v>3040</v>
      </c>
      <c r="K1538" s="1" t="s">
        <v>568</v>
      </c>
      <c r="L1538" s="1" t="s">
        <v>2</v>
      </c>
      <c r="M1538" s="1" t="s">
        <v>2</v>
      </c>
      <c r="O1538" s="2"/>
      <c r="P1538" s="2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</row>
    <row r="1539" spans="1:32" s="1" customFormat="1" ht="20.25" customHeight="1" x14ac:dyDescent="0.25">
      <c r="A1539" s="2"/>
      <c r="B1539" s="2"/>
      <c r="C1539" s="2"/>
      <c r="D1539" s="2">
        <f>COUNTIF(contact[[#This Row],[Bagossy]:[Szo
03:00 - 10:00]],"=~?")</f>
        <v>0</v>
      </c>
      <c r="E1539" s="2">
        <f>COUNTIF(contact[[#This Row],[Bagossy]:[Szo
03:00 - 10:00]],"=x")</f>
        <v>0</v>
      </c>
      <c r="F1539" s="2">
        <f>SUM(contact[[#This Row],[?]:[x]])</f>
        <v>0</v>
      </c>
      <c r="G15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39" s="3" t="s">
        <v>3097</v>
      </c>
      <c r="K1539" s="1" t="s">
        <v>1564</v>
      </c>
      <c r="L1539" s="1" t="s">
        <v>2</v>
      </c>
      <c r="M1539" s="1" t="s">
        <v>2</v>
      </c>
      <c r="O1539" s="2"/>
      <c r="P1539" s="2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</row>
    <row r="1540" spans="1:32" s="1" customFormat="1" ht="20.25" customHeight="1" x14ac:dyDescent="0.25">
      <c r="A1540" s="2"/>
      <c r="B1540" s="2"/>
      <c r="C1540" s="2"/>
      <c r="D1540" s="2">
        <f>COUNTIF(contact[[#This Row],[Bagossy]:[Szo
03:00 - 10:00]],"=~?")</f>
        <v>0</v>
      </c>
      <c r="E1540" s="2">
        <f>COUNTIF(contact[[#This Row],[Bagossy]:[Szo
03:00 - 10:00]],"=x")</f>
        <v>0</v>
      </c>
      <c r="F1540" s="2">
        <f>SUM(contact[[#This Row],[?]:[x]])</f>
        <v>0</v>
      </c>
      <c r="G15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0" s="3" t="s">
        <v>3168</v>
      </c>
      <c r="K1540" s="1" t="s">
        <v>675</v>
      </c>
      <c r="L1540" s="1" t="s">
        <v>2</v>
      </c>
      <c r="M1540" s="1" t="s">
        <v>2</v>
      </c>
      <c r="O1540" s="2"/>
      <c r="P1540" s="2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</row>
    <row r="1541" spans="1:32" s="1" customFormat="1" ht="20.25" customHeight="1" x14ac:dyDescent="0.25">
      <c r="A1541" s="2"/>
      <c r="B1541" s="2"/>
      <c r="C1541" s="2"/>
      <c r="D1541" s="2">
        <f>COUNTIF(contact[[#This Row],[Bagossy]:[Szo
03:00 - 10:00]],"=~?")</f>
        <v>0</v>
      </c>
      <c r="E1541" s="2">
        <f>COUNTIF(contact[[#This Row],[Bagossy]:[Szo
03:00 - 10:00]],"=x")</f>
        <v>0</v>
      </c>
      <c r="F1541" s="2">
        <f>SUM(contact[[#This Row],[?]:[x]])</f>
        <v>0</v>
      </c>
      <c r="G15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1" s="3" t="s">
        <v>3228</v>
      </c>
      <c r="K1541" s="1" t="s">
        <v>699</v>
      </c>
      <c r="L1541" s="1" t="s">
        <v>2</v>
      </c>
      <c r="M1541" s="1" t="s">
        <v>2</v>
      </c>
      <c r="O1541" s="2"/>
      <c r="P1541" s="2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</row>
    <row r="1542" spans="1:32" s="1" customFormat="1" ht="20.25" customHeight="1" x14ac:dyDescent="0.25">
      <c r="A1542" s="2"/>
      <c r="B1542" s="2"/>
      <c r="C1542" s="2"/>
      <c r="D1542" s="2">
        <f>COUNTIF(contact[[#This Row],[Bagossy]:[Szo
03:00 - 10:00]],"=~?")</f>
        <v>0</v>
      </c>
      <c r="E1542" s="2">
        <f>COUNTIF(contact[[#This Row],[Bagossy]:[Szo
03:00 - 10:00]],"=x")</f>
        <v>0</v>
      </c>
      <c r="F1542" s="2">
        <f>SUM(contact[[#This Row],[?]:[x]])</f>
        <v>0</v>
      </c>
      <c r="G15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2" s="3" t="s">
        <v>3254</v>
      </c>
      <c r="K1542" s="1" t="s">
        <v>717</v>
      </c>
      <c r="L1542" s="1" t="s">
        <v>2</v>
      </c>
      <c r="M1542" s="1" t="s">
        <v>2</v>
      </c>
      <c r="O1542" s="2"/>
      <c r="P1542" s="2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</row>
    <row r="1543" spans="1:32" s="1" customFormat="1" ht="20.25" customHeight="1" x14ac:dyDescent="0.25">
      <c r="A1543" s="2"/>
      <c r="B1543" s="2" t="s">
        <v>1285</v>
      </c>
      <c r="C1543" s="2" t="s">
        <v>1285</v>
      </c>
      <c r="D1543" s="2">
        <f>COUNTIF(contact[[#This Row],[Bagossy]:[Szo
03:00 - 10:00]],"=~?")</f>
        <v>0</v>
      </c>
      <c r="E1543" s="2">
        <f>COUNTIF(contact[[#This Row],[Bagossy]:[Szo
03:00 - 10:00]],"=x")</f>
        <v>0</v>
      </c>
      <c r="F1543" s="2">
        <f>SUM(contact[[#This Row],[?]:[x]])</f>
        <v>0</v>
      </c>
      <c r="G15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43" s="2" t="s">
        <v>4616</v>
      </c>
      <c r="I1543" s="2"/>
      <c r="J1543" s="3" t="s">
        <v>3290</v>
      </c>
      <c r="K1543" s="1" t="s">
        <v>1612</v>
      </c>
      <c r="L1543" s="1" t="s">
        <v>2</v>
      </c>
      <c r="M1543" s="1" t="s">
        <v>2</v>
      </c>
      <c r="O1543" s="2"/>
      <c r="P1543" s="2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</row>
    <row r="1544" spans="1:32" s="1" customFormat="1" ht="20.25" customHeight="1" x14ac:dyDescent="0.25">
      <c r="A1544" s="2"/>
      <c r="B1544" s="2"/>
      <c r="C1544" s="2"/>
      <c r="D1544" s="2">
        <f>COUNTIF(contact[[#This Row],[Bagossy]:[Szo
03:00 - 10:00]],"=~?")</f>
        <v>0</v>
      </c>
      <c r="E1544" s="2">
        <f>COUNTIF(contact[[#This Row],[Bagossy]:[Szo
03:00 - 10:00]],"=x")</f>
        <v>0</v>
      </c>
      <c r="F1544" s="2">
        <f>SUM(contact[[#This Row],[?]:[x]])</f>
        <v>0</v>
      </c>
      <c r="G15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4" s="3" t="s">
        <v>3290</v>
      </c>
      <c r="K1544" s="1" t="s">
        <v>2</v>
      </c>
      <c r="L1544" s="1" t="s">
        <v>2</v>
      </c>
      <c r="M1544" s="1" t="s">
        <v>2</v>
      </c>
      <c r="O1544" s="2"/>
      <c r="P1544" s="2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</row>
    <row r="1545" spans="1:32" s="1" customFormat="1" ht="20.25" customHeight="1" x14ac:dyDescent="0.25">
      <c r="A1545" s="2"/>
      <c r="B1545" s="2"/>
      <c r="C1545" s="2"/>
      <c r="D1545" s="2">
        <f>COUNTIF(contact[[#This Row],[Bagossy]:[Szo
03:00 - 10:00]],"=~?")</f>
        <v>0</v>
      </c>
      <c r="E1545" s="2">
        <f>COUNTIF(contact[[#This Row],[Bagossy]:[Szo
03:00 - 10:00]],"=x")</f>
        <v>0</v>
      </c>
      <c r="F1545" s="2">
        <f>SUM(contact[[#This Row],[?]:[x]])</f>
        <v>0</v>
      </c>
      <c r="G15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5" s="3" t="s">
        <v>3418</v>
      </c>
      <c r="K1545" s="1" t="s">
        <v>1327</v>
      </c>
      <c r="L1545" s="1" t="s">
        <v>2</v>
      </c>
      <c r="M1545" s="1" t="s">
        <v>2</v>
      </c>
      <c r="O1545" s="2"/>
      <c r="P1545" s="2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</row>
    <row r="1546" spans="1:32" s="1" customFormat="1" ht="20.25" customHeight="1" x14ac:dyDescent="0.25">
      <c r="A1546" s="2"/>
      <c r="B1546" s="2"/>
      <c r="C1546" s="2"/>
      <c r="D1546" s="2">
        <f>COUNTIF(contact[[#This Row],[Bagossy]:[Szo
03:00 - 10:00]],"=~?")</f>
        <v>0</v>
      </c>
      <c r="E1546" s="2">
        <f>COUNTIF(contact[[#This Row],[Bagossy]:[Szo
03:00 - 10:00]],"=x")</f>
        <v>0</v>
      </c>
      <c r="F1546" s="2">
        <f>SUM(contact[[#This Row],[?]:[x]])</f>
        <v>0</v>
      </c>
      <c r="G15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6" s="3" t="s">
        <v>3466</v>
      </c>
      <c r="K1546" s="1" t="s">
        <v>803</v>
      </c>
      <c r="L1546" s="1" t="s">
        <v>2</v>
      </c>
      <c r="M1546" s="1" t="s">
        <v>2</v>
      </c>
      <c r="O1546" s="2"/>
      <c r="P1546" s="2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</row>
    <row r="1547" spans="1:32" s="1" customFormat="1" ht="20.25" customHeight="1" x14ac:dyDescent="0.25">
      <c r="A1547" s="2"/>
      <c r="B1547" s="2"/>
      <c r="C1547" s="2" t="s">
        <v>1285</v>
      </c>
      <c r="D1547" s="2">
        <f>COUNTIF(contact[[#This Row],[Bagossy]:[Szo
03:00 - 10:00]],"=~?")</f>
        <v>0</v>
      </c>
      <c r="E1547" s="2">
        <f>COUNTIF(contact[[#This Row],[Bagossy]:[Szo
03:00 - 10:00]],"=x")</f>
        <v>0</v>
      </c>
      <c r="F1547" s="2">
        <f>SUM(contact[[#This Row],[?]:[x]])</f>
        <v>0</v>
      </c>
      <c r="G15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47" s="2"/>
      <c r="I1547" s="2"/>
      <c r="J1547" s="3" t="s">
        <v>3333</v>
      </c>
      <c r="K1547" s="1" t="s">
        <v>823</v>
      </c>
      <c r="L1547" s="1" t="s">
        <v>2</v>
      </c>
      <c r="M1547" s="1" t="s">
        <v>2</v>
      </c>
      <c r="O1547" s="2"/>
      <c r="P1547" s="2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</row>
    <row r="1548" spans="1:32" s="1" customFormat="1" ht="20.25" customHeight="1" x14ac:dyDescent="0.25">
      <c r="A1548" s="2"/>
      <c r="B1548" s="2"/>
      <c r="C1548" s="2"/>
      <c r="D1548" s="2">
        <f>COUNTIF(contact[[#This Row],[Bagossy]:[Szo
03:00 - 10:00]],"=~?")</f>
        <v>0</v>
      </c>
      <c r="E1548" s="2">
        <f>COUNTIF(contact[[#This Row],[Bagossy]:[Szo
03:00 - 10:00]],"=x")</f>
        <v>0</v>
      </c>
      <c r="F1548" s="2">
        <f>SUM(contact[[#This Row],[?]:[x]])</f>
        <v>0</v>
      </c>
      <c r="G15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8" s="3" t="s">
        <v>3527</v>
      </c>
      <c r="K1548" s="1" t="s">
        <v>2</v>
      </c>
      <c r="L1548" s="1" t="s">
        <v>2</v>
      </c>
      <c r="M1548" s="1" t="s">
        <v>2</v>
      </c>
      <c r="O1548" s="2"/>
      <c r="P1548" s="2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</row>
    <row r="1549" spans="1:32" s="1" customFormat="1" ht="20.25" customHeight="1" x14ac:dyDescent="0.25">
      <c r="A1549" s="2"/>
      <c r="B1549" s="2"/>
      <c r="C1549" s="2"/>
      <c r="D1549" s="2">
        <f>COUNTIF(contact[[#This Row],[Bagossy]:[Szo
03:00 - 10:00]],"=~?")</f>
        <v>0</v>
      </c>
      <c r="E1549" s="2">
        <f>COUNTIF(contact[[#This Row],[Bagossy]:[Szo
03:00 - 10:00]],"=x")</f>
        <v>0</v>
      </c>
      <c r="F1549" s="2">
        <f>SUM(contact[[#This Row],[?]:[x]])</f>
        <v>0</v>
      </c>
      <c r="G15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49" s="3" t="s">
        <v>3558</v>
      </c>
      <c r="K1549" s="1" t="s">
        <v>844</v>
      </c>
      <c r="L1549" s="1" t="s">
        <v>2</v>
      </c>
      <c r="M1549" s="1" t="s">
        <v>2</v>
      </c>
      <c r="O1549" s="2"/>
      <c r="P1549" s="2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</row>
    <row r="1550" spans="1:32" s="1" customFormat="1" ht="20.25" customHeight="1" x14ac:dyDescent="0.25">
      <c r="A1550" s="2"/>
      <c r="B1550" s="2"/>
      <c r="C1550" s="2"/>
      <c r="D1550" s="2">
        <f>COUNTIF(contact[[#This Row],[Bagossy]:[Szo
03:00 - 10:00]],"=~?")</f>
        <v>0</v>
      </c>
      <c r="E1550" s="2">
        <f>COUNTIF(contact[[#This Row],[Bagossy]:[Szo
03:00 - 10:00]],"=x")</f>
        <v>0</v>
      </c>
      <c r="F1550" s="2">
        <f>SUM(contact[[#This Row],[?]:[x]])</f>
        <v>0</v>
      </c>
      <c r="G15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0" s="3" t="s">
        <v>3639</v>
      </c>
      <c r="K1550" s="1" t="s">
        <v>875</v>
      </c>
      <c r="L1550" s="1" t="s">
        <v>2</v>
      </c>
      <c r="M1550" s="1" t="s">
        <v>2</v>
      </c>
      <c r="O1550" s="2"/>
      <c r="P1550" s="2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</row>
    <row r="1551" spans="1:32" s="1" customFormat="1" ht="20.25" customHeight="1" x14ac:dyDescent="0.25">
      <c r="A1551" s="2"/>
      <c r="B1551" s="2"/>
      <c r="C1551" s="2"/>
      <c r="D1551" s="2">
        <f>COUNTIF(contact[[#This Row],[Bagossy]:[Szo
03:00 - 10:00]],"=~?")</f>
        <v>0</v>
      </c>
      <c r="E1551" s="2">
        <f>COUNTIF(contact[[#This Row],[Bagossy]:[Szo
03:00 - 10:00]],"=x")</f>
        <v>0</v>
      </c>
      <c r="F1551" s="2">
        <f>SUM(contact[[#This Row],[?]:[x]])</f>
        <v>0</v>
      </c>
      <c r="G15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1" s="3" t="s">
        <v>3705</v>
      </c>
      <c r="K1551" s="1" t="s">
        <v>2</v>
      </c>
      <c r="L1551" s="1" t="s">
        <v>2</v>
      </c>
      <c r="M1551" s="1" t="s">
        <v>2</v>
      </c>
      <c r="O1551" s="2"/>
      <c r="P1551" s="2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</row>
    <row r="1552" spans="1:32" s="1" customFormat="1" ht="20.25" customHeight="1" x14ac:dyDescent="0.25">
      <c r="A1552" s="2"/>
      <c r="B1552" s="2"/>
      <c r="C1552" s="2"/>
      <c r="D1552" s="2">
        <f>COUNTIF(contact[[#This Row],[Bagossy]:[Szo
03:00 - 10:00]],"=~?")</f>
        <v>0</v>
      </c>
      <c r="E1552" s="2">
        <f>COUNTIF(contact[[#This Row],[Bagossy]:[Szo
03:00 - 10:00]],"=x")</f>
        <v>0</v>
      </c>
      <c r="F1552" s="2">
        <f>SUM(contact[[#This Row],[?]:[x]])</f>
        <v>0</v>
      </c>
      <c r="G15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2" s="3" t="s">
        <v>3711</v>
      </c>
      <c r="K1552" s="1" t="s">
        <v>1323</v>
      </c>
      <c r="L1552" s="1" t="s">
        <v>2</v>
      </c>
      <c r="M1552" s="1" t="s">
        <v>2</v>
      </c>
      <c r="O1552" s="2"/>
      <c r="P1552" s="2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</row>
    <row r="1553" spans="1:32" s="1" customFormat="1" ht="20.25" customHeight="1" x14ac:dyDescent="0.25">
      <c r="A1553" s="2"/>
      <c r="B1553" s="2"/>
      <c r="C1553" s="2"/>
      <c r="D1553" s="2">
        <f>COUNTIF(contact[[#This Row],[Bagossy]:[Szo
03:00 - 10:00]],"=~?")</f>
        <v>0</v>
      </c>
      <c r="E1553" s="2">
        <f>COUNTIF(contact[[#This Row],[Bagossy]:[Szo
03:00 - 10:00]],"=x")</f>
        <v>0</v>
      </c>
      <c r="F1553" s="2">
        <f>SUM(contact[[#This Row],[?]:[x]])</f>
        <v>0</v>
      </c>
      <c r="G15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53" s="2"/>
      <c r="I1553" s="2"/>
      <c r="J1553" s="3" t="s">
        <v>3334</v>
      </c>
      <c r="K1553" s="1" t="s">
        <v>1617</v>
      </c>
      <c r="L1553" s="1" t="s">
        <v>2</v>
      </c>
      <c r="M1553" s="1" t="s">
        <v>2</v>
      </c>
      <c r="O1553" s="2"/>
      <c r="P1553" s="2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</row>
    <row r="1554" spans="1:32" s="1" customFormat="1" ht="20.25" customHeight="1" x14ac:dyDescent="0.25">
      <c r="A1554" s="2"/>
      <c r="B1554" s="2"/>
      <c r="C1554" s="2"/>
      <c r="D1554" s="2">
        <f>COUNTIF(contact[[#This Row],[Bagossy]:[Szo
03:00 - 10:00]],"=~?")</f>
        <v>0</v>
      </c>
      <c r="E1554" s="2">
        <f>COUNTIF(contact[[#This Row],[Bagossy]:[Szo
03:00 - 10:00]],"=x")</f>
        <v>0</v>
      </c>
      <c r="F1554" s="2">
        <f>SUM(contact[[#This Row],[?]:[x]])</f>
        <v>0</v>
      </c>
      <c r="G15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4" s="3" t="s">
        <v>3841</v>
      </c>
      <c r="K1554" s="1" t="s">
        <v>975</v>
      </c>
      <c r="L1554" s="1" t="s">
        <v>2</v>
      </c>
      <c r="M1554" s="1" t="s">
        <v>2</v>
      </c>
      <c r="O1554" s="2"/>
      <c r="P1554" s="2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</row>
    <row r="1555" spans="1:32" s="1" customFormat="1" ht="20.25" customHeight="1" x14ac:dyDescent="0.25">
      <c r="A1555" s="2"/>
      <c r="B1555" s="2"/>
      <c r="C1555" s="2"/>
      <c r="D1555" s="2">
        <f>COUNTIF(contact[[#This Row],[Bagossy]:[Szo
03:00 - 10:00]],"=~?")</f>
        <v>0</v>
      </c>
      <c r="E1555" s="2">
        <f>COUNTIF(contact[[#This Row],[Bagossy]:[Szo
03:00 - 10:00]],"=x")</f>
        <v>0</v>
      </c>
      <c r="F1555" s="2">
        <f>SUM(contact[[#This Row],[?]:[x]])</f>
        <v>0</v>
      </c>
      <c r="G15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5" s="3" t="s">
        <v>4050</v>
      </c>
      <c r="K1555" s="1" t="s">
        <v>2</v>
      </c>
      <c r="L1555" s="1" t="s">
        <v>2</v>
      </c>
      <c r="M1555" s="1" t="s">
        <v>2</v>
      </c>
      <c r="O1555" s="2"/>
      <c r="P1555" s="2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</row>
    <row r="1556" spans="1:32" s="1" customFormat="1" ht="20.25" customHeight="1" x14ac:dyDescent="0.25">
      <c r="A1556" s="2"/>
      <c r="B1556" s="2"/>
      <c r="C1556" s="2"/>
      <c r="D1556" s="2">
        <f>COUNTIF(contact[[#This Row],[Bagossy]:[Szo
03:00 - 10:00]],"=~?")</f>
        <v>0</v>
      </c>
      <c r="E1556" s="2">
        <f>COUNTIF(contact[[#This Row],[Bagossy]:[Szo
03:00 - 10:00]],"=x")</f>
        <v>0</v>
      </c>
      <c r="F1556" s="2">
        <f>SUM(contact[[#This Row],[?]:[x]])</f>
        <v>0</v>
      </c>
      <c r="G15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6" s="3" t="s">
        <v>4083</v>
      </c>
      <c r="K1556" s="1" t="s">
        <v>1779</v>
      </c>
      <c r="L1556" s="1" t="s">
        <v>2</v>
      </c>
      <c r="M1556" s="1" t="s">
        <v>2</v>
      </c>
      <c r="O1556" s="2"/>
      <c r="P1556" s="2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</row>
    <row r="1557" spans="1:32" s="1" customFormat="1" ht="20.25" customHeight="1" x14ac:dyDescent="0.25">
      <c r="A1557" s="2"/>
      <c r="B1557" s="2"/>
      <c r="C1557" s="2"/>
      <c r="D1557" s="2">
        <f>COUNTIF(contact[[#This Row],[Bagossy]:[Szo
03:00 - 10:00]],"=~?")</f>
        <v>0</v>
      </c>
      <c r="E1557" s="2">
        <f>COUNTIF(contact[[#This Row],[Bagossy]:[Szo
03:00 - 10:00]],"=x")</f>
        <v>0</v>
      </c>
      <c r="F1557" s="2">
        <f>SUM(contact[[#This Row],[?]:[x]])</f>
        <v>0</v>
      </c>
      <c r="G15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7" s="3" t="s">
        <v>4164</v>
      </c>
      <c r="K1557" s="1" t="s">
        <v>1126</v>
      </c>
      <c r="L1557" s="1" t="s">
        <v>2</v>
      </c>
      <c r="M1557" s="1" t="s">
        <v>2</v>
      </c>
      <c r="O1557" s="2"/>
      <c r="P1557" s="2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</row>
    <row r="1558" spans="1:32" s="1" customFormat="1" ht="20.25" customHeight="1" x14ac:dyDescent="0.25">
      <c r="A1558" s="2"/>
      <c r="B1558" s="2"/>
      <c r="C1558" s="2"/>
      <c r="D1558" s="2">
        <f>COUNTIF(contact[[#This Row],[Bagossy]:[Szo
03:00 - 10:00]],"=~?")</f>
        <v>0</v>
      </c>
      <c r="E1558" s="2">
        <f>COUNTIF(contact[[#This Row],[Bagossy]:[Szo
03:00 - 10:00]],"=x")</f>
        <v>0</v>
      </c>
      <c r="F1558" s="2">
        <f>SUM(contact[[#This Row],[?]:[x]])</f>
        <v>0</v>
      </c>
      <c r="G15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8" s="3" t="s">
        <v>4382</v>
      </c>
      <c r="K1558" s="1" t="s">
        <v>358</v>
      </c>
      <c r="L1558" s="1" t="s">
        <v>2</v>
      </c>
      <c r="M1558" s="1" t="s">
        <v>2</v>
      </c>
      <c r="O1558" s="2"/>
      <c r="P1558" s="2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</row>
    <row r="1559" spans="1:32" s="1" customFormat="1" ht="20.25" customHeight="1" x14ac:dyDescent="0.25">
      <c r="A1559" s="2"/>
      <c r="B1559" s="2"/>
      <c r="C1559" s="2"/>
      <c r="D1559" s="2">
        <f>COUNTIF(contact[[#This Row],[Bagossy]:[Szo
03:00 - 10:00]],"=~?")</f>
        <v>0</v>
      </c>
      <c r="E1559" s="2">
        <f>COUNTIF(contact[[#This Row],[Bagossy]:[Szo
03:00 - 10:00]],"=x")</f>
        <v>0</v>
      </c>
      <c r="F1559" s="2">
        <f>SUM(contact[[#This Row],[?]:[x]])</f>
        <v>0</v>
      </c>
      <c r="G15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59" s="3" t="s">
        <v>4413</v>
      </c>
      <c r="K1559" s="1" t="s">
        <v>972</v>
      </c>
      <c r="L1559" s="1" t="s">
        <v>2</v>
      </c>
      <c r="M1559" s="1" t="s">
        <v>2</v>
      </c>
      <c r="O1559" s="2"/>
      <c r="P1559" s="2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</row>
    <row r="1560" spans="1:32" s="1" customFormat="1" ht="20.25" customHeight="1" x14ac:dyDescent="0.25">
      <c r="A1560" s="2"/>
      <c r="B1560" s="2"/>
      <c r="C1560" s="2"/>
      <c r="D1560" s="2">
        <f>COUNTIF(contact[[#This Row],[Bagossy]:[Szo
03:00 - 10:00]],"=~?")</f>
        <v>0</v>
      </c>
      <c r="E1560" s="2">
        <f>COUNTIF(contact[[#This Row],[Bagossy]:[Szo
03:00 - 10:00]],"=x")</f>
        <v>0</v>
      </c>
      <c r="F1560" s="2">
        <f>SUM(contact[[#This Row],[?]:[x]])</f>
        <v>0</v>
      </c>
      <c r="G15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0" s="3" t="s">
        <v>4413</v>
      </c>
      <c r="K1560" s="1" t="s">
        <v>2</v>
      </c>
      <c r="L1560" s="1" t="s">
        <v>2</v>
      </c>
      <c r="M1560" s="1" t="s">
        <v>2</v>
      </c>
      <c r="O1560" s="2"/>
      <c r="P1560" s="2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</row>
    <row r="1561" spans="1:32" s="1" customFormat="1" ht="20.25" customHeight="1" x14ac:dyDescent="0.25">
      <c r="A1561" s="2"/>
      <c r="B1561" s="2"/>
      <c r="C1561" s="2"/>
      <c r="D1561" s="2">
        <f>COUNTIF(contact[[#This Row],[Bagossy]:[Szo
03:00 - 10:00]],"=~?")</f>
        <v>0</v>
      </c>
      <c r="E1561" s="2">
        <f>COUNTIF(contact[[#This Row],[Bagossy]:[Szo
03:00 - 10:00]],"=x")</f>
        <v>0</v>
      </c>
      <c r="F1561" s="2">
        <f>SUM(contact[[#This Row],[?]:[x]])</f>
        <v>0</v>
      </c>
      <c r="G15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61" s="2"/>
      <c r="I1561" s="2"/>
      <c r="J1561" s="3" t="s">
        <v>3337</v>
      </c>
      <c r="K1561" s="1" t="s">
        <v>6</v>
      </c>
      <c r="L1561" s="1" t="s">
        <v>2</v>
      </c>
      <c r="M1561" s="1" t="s">
        <v>2</v>
      </c>
      <c r="O1561" s="2"/>
      <c r="P1561" s="2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</row>
    <row r="1562" spans="1:32" s="1" customFormat="1" ht="20.25" customHeight="1" x14ac:dyDescent="0.25">
      <c r="A1562" s="2"/>
      <c r="B1562" s="2"/>
      <c r="C1562" s="2"/>
      <c r="D1562" s="2">
        <f>COUNTIF(contact[[#This Row],[Bagossy]:[Szo
03:00 - 10:00]],"=~?")</f>
        <v>0</v>
      </c>
      <c r="E1562" s="2">
        <f>COUNTIF(contact[[#This Row],[Bagossy]:[Szo
03:00 - 10:00]],"=x")</f>
        <v>0</v>
      </c>
      <c r="F1562" s="2">
        <f>SUM(contact[[#This Row],[?]:[x]])</f>
        <v>0</v>
      </c>
      <c r="G15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2" s="3" t="s">
        <v>4498</v>
      </c>
      <c r="K1562" s="1" t="s">
        <v>2</v>
      </c>
      <c r="L1562" s="1" t="s">
        <v>2</v>
      </c>
      <c r="M1562" s="1" t="s">
        <v>2</v>
      </c>
      <c r="O1562" s="2"/>
      <c r="P1562" s="2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</row>
    <row r="1563" spans="1:32" s="1" customFormat="1" ht="20.25" customHeight="1" x14ac:dyDescent="0.25">
      <c r="A1563" s="2"/>
      <c r="B1563" s="2"/>
      <c r="C1563" s="2"/>
      <c r="D1563" s="2">
        <f>COUNTIF(contact[[#This Row],[Bagossy]:[Szo
03:00 - 10:00]],"=~?")</f>
        <v>0</v>
      </c>
      <c r="E1563" s="2">
        <f>COUNTIF(contact[[#This Row],[Bagossy]:[Szo
03:00 - 10:00]],"=x")</f>
        <v>0</v>
      </c>
      <c r="F1563" s="2">
        <f>SUM(contact[[#This Row],[?]:[x]])</f>
        <v>0</v>
      </c>
      <c r="G15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3" s="3" t="s">
        <v>4541</v>
      </c>
      <c r="K1563" s="1" t="s">
        <v>2</v>
      </c>
      <c r="L1563" s="1" t="s">
        <v>2</v>
      </c>
      <c r="M1563" s="1" t="s">
        <v>2</v>
      </c>
      <c r="O1563" s="2"/>
      <c r="P1563" s="2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</row>
    <row r="1564" spans="1:32" s="1" customFormat="1" ht="20.25" customHeight="1" x14ac:dyDescent="0.25">
      <c r="A1564" s="2"/>
      <c r="B1564" s="2"/>
      <c r="C1564" s="2"/>
      <c r="D1564" s="2">
        <f>COUNTIF(contact[[#This Row],[Bagossy]:[Szo
03:00 - 10:00]],"=~?")</f>
        <v>0</v>
      </c>
      <c r="E1564" s="2">
        <f>COUNTIF(contact[[#This Row],[Bagossy]:[Szo
03:00 - 10:00]],"=x")</f>
        <v>0</v>
      </c>
      <c r="F1564" s="2">
        <f>SUM(contact[[#This Row],[?]:[x]])</f>
        <v>0</v>
      </c>
      <c r="G15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4" s="3" t="s">
        <v>4582</v>
      </c>
      <c r="K1564" s="1" t="s">
        <v>1276</v>
      </c>
      <c r="L1564" s="1" t="s">
        <v>2</v>
      </c>
      <c r="M1564" s="1" t="s">
        <v>2</v>
      </c>
      <c r="O1564" s="2"/>
      <c r="P1564" s="2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</row>
    <row r="1565" spans="1:32" s="1" customFormat="1" ht="20.25" customHeight="1" x14ac:dyDescent="0.25">
      <c r="A1565" s="2"/>
      <c r="B1565" s="2"/>
      <c r="C1565" s="2"/>
      <c r="D1565" s="2">
        <f>COUNTIF(contact[[#This Row],[Bagossy]:[Szo
03:00 - 10:00]],"=~?")</f>
        <v>0</v>
      </c>
      <c r="E1565" s="2">
        <f>COUNTIF(contact[[#This Row],[Bagossy]:[Szo
03:00 - 10:00]],"=x")</f>
        <v>0</v>
      </c>
      <c r="F1565" s="2">
        <f>SUM(contact[[#This Row],[?]:[x]])</f>
        <v>0</v>
      </c>
      <c r="G15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5" s="3" t="s">
        <v>4215</v>
      </c>
      <c r="K1565" s="1" t="s">
        <v>1144</v>
      </c>
      <c r="L1565" s="1" t="s">
        <v>2</v>
      </c>
      <c r="M1565" s="1" t="s">
        <v>2</v>
      </c>
      <c r="O1565" s="2"/>
      <c r="P1565" s="2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</row>
    <row r="1566" spans="1:32" s="1" customFormat="1" ht="20.25" customHeight="1" x14ac:dyDescent="0.25">
      <c r="A1566" s="2"/>
      <c r="B1566" s="2"/>
      <c r="C1566" s="2"/>
      <c r="D1566" s="2">
        <f>COUNTIF(contact[[#This Row],[Bagossy]:[Szo
03:00 - 10:00]],"=~?")</f>
        <v>0</v>
      </c>
      <c r="E1566" s="2">
        <f>COUNTIF(contact[[#This Row],[Bagossy]:[Szo
03:00 - 10:00]],"=x")</f>
        <v>0</v>
      </c>
      <c r="F1566" s="2">
        <f>SUM(contact[[#This Row],[?]:[x]])</f>
        <v>0</v>
      </c>
      <c r="G15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6" s="3" t="s">
        <v>2558</v>
      </c>
      <c r="K1566" s="1" t="s">
        <v>372</v>
      </c>
      <c r="L1566" s="1" t="s">
        <v>373</v>
      </c>
      <c r="M1566" s="1" t="s">
        <v>374</v>
      </c>
      <c r="O1566" s="2"/>
      <c r="P1566" s="2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</row>
    <row r="1567" spans="1:32" s="1" customFormat="1" ht="20.25" customHeight="1" x14ac:dyDescent="0.25">
      <c r="A1567" s="2"/>
      <c r="B1567" s="2"/>
      <c r="C1567" s="2"/>
      <c r="D1567" s="2">
        <f>COUNTIF(contact[[#This Row],[Bagossy]:[Szo
03:00 - 10:00]],"=~?")</f>
        <v>0</v>
      </c>
      <c r="E1567" s="2">
        <f>COUNTIF(contact[[#This Row],[Bagossy]:[Szo
03:00 - 10:00]],"=x")</f>
        <v>0</v>
      </c>
      <c r="F1567" s="2">
        <f>SUM(contact[[#This Row],[?]:[x]])</f>
        <v>0</v>
      </c>
      <c r="G15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7" s="3" t="s">
        <v>3652</v>
      </c>
      <c r="K1567" s="1" t="s">
        <v>2</v>
      </c>
      <c r="L1567" s="1" t="s">
        <v>2</v>
      </c>
      <c r="M1567" s="1" t="s">
        <v>2</v>
      </c>
      <c r="O1567" s="2"/>
      <c r="P1567" s="2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</row>
    <row r="1568" spans="1:32" s="1" customFormat="1" ht="20.25" customHeight="1" x14ac:dyDescent="0.25">
      <c r="A1568" s="2"/>
      <c r="B1568" s="2"/>
      <c r="C1568" s="2"/>
      <c r="D1568" s="2">
        <f>COUNTIF(contact[[#This Row],[Bagossy]:[Szo
03:00 - 10:00]],"=~?")</f>
        <v>0</v>
      </c>
      <c r="E1568" s="2">
        <f>COUNTIF(contact[[#This Row],[Bagossy]:[Szo
03:00 - 10:00]],"=x")</f>
        <v>0</v>
      </c>
      <c r="F1568" s="2">
        <f>SUM(contact[[#This Row],[?]:[x]])</f>
        <v>0</v>
      </c>
      <c r="G15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8" s="3" t="s">
        <v>766</v>
      </c>
      <c r="K1568" s="1" t="s">
        <v>2</v>
      </c>
      <c r="L1568" s="1" t="s">
        <v>2</v>
      </c>
      <c r="M1568" s="1" t="s">
        <v>2</v>
      </c>
      <c r="O1568" s="2"/>
      <c r="P1568" s="2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</row>
    <row r="1569" spans="1:32" s="1" customFormat="1" ht="20.25" customHeight="1" x14ac:dyDescent="0.25">
      <c r="A1569" s="2"/>
      <c r="B1569" s="2"/>
      <c r="C1569" s="2"/>
      <c r="D1569" s="2">
        <f>COUNTIF(contact[[#This Row],[Bagossy]:[Szo
03:00 - 10:00]],"=~?")</f>
        <v>0</v>
      </c>
      <c r="E1569" s="2">
        <f>COUNTIF(contact[[#This Row],[Bagossy]:[Szo
03:00 - 10:00]],"=x")</f>
        <v>0</v>
      </c>
      <c r="F1569" s="2">
        <f>SUM(contact[[#This Row],[?]:[x]])</f>
        <v>0</v>
      </c>
      <c r="G15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69" s="3" t="s">
        <v>2025</v>
      </c>
      <c r="K1569" s="1" t="s">
        <v>2</v>
      </c>
      <c r="L1569" s="1" t="s">
        <v>2</v>
      </c>
      <c r="M1569" s="1" t="s">
        <v>2</v>
      </c>
      <c r="O1569" s="2"/>
      <c r="P1569" s="2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</row>
    <row r="1570" spans="1:32" s="1" customFormat="1" ht="20.25" customHeight="1" x14ac:dyDescent="0.25">
      <c r="A1570" s="2"/>
      <c r="B1570" s="2"/>
      <c r="C1570" s="2" t="s">
        <v>1285</v>
      </c>
      <c r="D1570" s="2">
        <f>COUNTIF(contact[[#This Row],[Bagossy]:[Szo
03:00 - 10:00]],"=~?")</f>
        <v>0</v>
      </c>
      <c r="E1570" s="2">
        <f>COUNTIF(contact[[#This Row],[Bagossy]:[Szo
03:00 - 10:00]],"=x")</f>
        <v>0</v>
      </c>
      <c r="F1570" s="2">
        <f>SUM(contact[[#This Row],[?]:[x]])</f>
        <v>0</v>
      </c>
      <c r="G15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70" s="2"/>
      <c r="I1570" s="2"/>
      <c r="J1570" s="3" t="s">
        <v>3340</v>
      </c>
      <c r="K1570" s="1" t="s">
        <v>1618</v>
      </c>
      <c r="L1570" s="1" t="s">
        <v>2</v>
      </c>
      <c r="M1570" s="1" t="s">
        <v>2</v>
      </c>
      <c r="O1570" s="2"/>
      <c r="P1570" s="2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</row>
    <row r="1571" spans="1:32" s="1" customFormat="1" ht="20.25" customHeight="1" x14ac:dyDescent="0.25">
      <c r="A1571" s="2"/>
      <c r="B1571" s="2"/>
      <c r="C1571" s="2"/>
      <c r="D1571" s="2">
        <f>COUNTIF(contact[[#This Row],[Bagossy]:[Szo
03:00 - 10:00]],"=~?")</f>
        <v>0</v>
      </c>
      <c r="E1571" s="2">
        <f>COUNTIF(contact[[#This Row],[Bagossy]:[Szo
03:00 - 10:00]],"=x")</f>
        <v>0</v>
      </c>
      <c r="F1571" s="2">
        <f>SUM(contact[[#This Row],[?]:[x]])</f>
        <v>0</v>
      </c>
      <c r="G15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1" s="3" t="s">
        <v>3098</v>
      </c>
      <c r="K1571" s="1" t="s">
        <v>2</v>
      </c>
      <c r="L1571" s="1" t="s">
        <v>2</v>
      </c>
      <c r="M1571" s="1" t="s">
        <v>2</v>
      </c>
      <c r="O1571" s="2"/>
      <c r="P1571" s="2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</row>
    <row r="1572" spans="1:32" s="1" customFormat="1" ht="20.25" customHeight="1" x14ac:dyDescent="0.25">
      <c r="A1572" s="2"/>
      <c r="B1572" s="2"/>
      <c r="C1572" s="2"/>
      <c r="D1572" s="2">
        <f>COUNTIF(contact[[#This Row],[Bagossy]:[Szo
03:00 - 10:00]],"=~?")</f>
        <v>0</v>
      </c>
      <c r="E1572" s="2">
        <f>COUNTIF(contact[[#This Row],[Bagossy]:[Szo
03:00 - 10:00]],"=x")</f>
        <v>0</v>
      </c>
      <c r="F1572" s="2">
        <f>SUM(contact[[#This Row],[?]:[x]])</f>
        <v>0</v>
      </c>
      <c r="G15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2" s="3" t="s">
        <v>4282</v>
      </c>
      <c r="K1572" s="1" t="s">
        <v>1830</v>
      </c>
      <c r="L1572" s="1" t="s">
        <v>2</v>
      </c>
      <c r="M1572" s="1" t="s">
        <v>2</v>
      </c>
      <c r="O1572" s="2"/>
      <c r="P1572" s="2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</row>
    <row r="1573" spans="1:32" s="1" customFormat="1" ht="20.25" customHeight="1" x14ac:dyDescent="0.25">
      <c r="A1573" s="2"/>
      <c r="B1573" s="2"/>
      <c r="C1573" s="2"/>
      <c r="D1573" s="2">
        <f>COUNTIF(contact[[#This Row],[Bagossy]:[Szo
03:00 - 10:00]],"=~?")</f>
        <v>0</v>
      </c>
      <c r="E1573" s="2">
        <f>COUNTIF(contact[[#This Row],[Bagossy]:[Szo
03:00 - 10:00]],"=x")</f>
        <v>0</v>
      </c>
      <c r="F1573" s="2">
        <f>SUM(contact[[#This Row],[?]:[x]])</f>
        <v>0</v>
      </c>
      <c r="G15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3" s="3" t="s">
        <v>2124</v>
      </c>
      <c r="K1573" s="1" t="s">
        <v>124</v>
      </c>
      <c r="L1573" s="1" t="s">
        <v>2</v>
      </c>
      <c r="M1573" s="1" t="s">
        <v>2</v>
      </c>
      <c r="O1573" s="2"/>
      <c r="P1573" s="2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</row>
    <row r="1574" spans="1:32" s="1" customFormat="1" ht="20.25" customHeight="1" x14ac:dyDescent="0.25">
      <c r="A1574" s="2"/>
      <c r="B1574" s="2"/>
      <c r="C1574" s="2"/>
      <c r="D1574" s="2">
        <f>COUNTIF(contact[[#This Row],[Bagossy]:[Szo
03:00 - 10:00]],"=~?")</f>
        <v>0</v>
      </c>
      <c r="E1574" s="2">
        <f>COUNTIF(contact[[#This Row],[Bagossy]:[Szo
03:00 - 10:00]],"=x")</f>
        <v>0</v>
      </c>
      <c r="F1574" s="2">
        <f>SUM(contact[[#This Row],[?]:[x]])</f>
        <v>0</v>
      </c>
      <c r="G15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4" s="3" t="s">
        <v>3294</v>
      </c>
      <c r="K1574" s="1" t="s">
        <v>740</v>
      </c>
      <c r="L1574" s="1" t="s">
        <v>2</v>
      </c>
      <c r="M1574" s="1" t="s">
        <v>2</v>
      </c>
      <c r="O1574" s="2"/>
      <c r="P1574" s="2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</row>
    <row r="1575" spans="1:32" s="1" customFormat="1" ht="20.25" customHeight="1" x14ac:dyDescent="0.25">
      <c r="A1575" s="2"/>
      <c r="B1575" s="2"/>
      <c r="C1575" s="2"/>
      <c r="D1575" s="2">
        <f>COUNTIF(contact[[#This Row],[Bagossy]:[Szo
03:00 - 10:00]],"=~?")</f>
        <v>0</v>
      </c>
      <c r="E1575" s="2">
        <f>COUNTIF(contact[[#This Row],[Bagossy]:[Szo
03:00 - 10:00]],"=x")</f>
        <v>0</v>
      </c>
      <c r="F1575" s="2">
        <f>SUM(contact[[#This Row],[?]:[x]])</f>
        <v>0</v>
      </c>
      <c r="G15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5" s="3" t="s">
        <v>3169</v>
      </c>
      <c r="K1575" s="1" t="s">
        <v>2</v>
      </c>
      <c r="L1575" s="1" t="s">
        <v>2</v>
      </c>
      <c r="M1575" s="1" t="s">
        <v>2</v>
      </c>
      <c r="O1575" s="2"/>
      <c r="P1575" s="2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</row>
    <row r="1576" spans="1:32" s="1" customFormat="1" ht="20.25" customHeight="1" x14ac:dyDescent="0.25">
      <c r="A1576" s="2"/>
      <c r="B1576" s="2"/>
      <c r="C1576" s="2"/>
      <c r="D1576" s="2">
        <f>COUNTIF(contact[[#This Row],[Bagossy]:[Szo
03:00 - 10:00]],"=~?")</f>
        <v>0</v>
      </c>
      <c r="E1576" s="2">
        <f>COUNTIF(contact[[#This Row],[Bagossy]:[Szo
03:00 - 10:00]],"=x")</f>
        <v>0</v>
      </c>
      <c r="F1576" s="2">
        <f>SUM(contact[[#This Row],[?]:[x]])</f>
        <v>0</v>
      </c>
      <c r="G15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76" s="2"/>
      <c r="I1576" s="2"/>
      <c r="J1576" s="3" t="s">
        <v>3342</v>
      </c>
      <c r="K1576" s="1" t="s">
        <v>757</v>
      </c>
      <c r="L1576" s="1" t="s">
        <v>2</v>
      </c>
      <c r="M1576" s="1" t="s">
        <v>2</v>
      </c>
      <c r="O1576" s="2"/>
      <c r="P1576" s="2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</row>
    <row r="1577" spans="1:32" s="1" customFormat="1" ht="20.25" customHeight="1" x14ac:dyDescent="0.25">
      <c r="A1577" s="2"/>
      <c r="B1577" s="2"/>
      <c r="C1577" s="2"/>
      <c r="D1577" s="2">
        <f>COUNTIF(contact[[#This Row],[Bagossy]:[Szo
03:00 - 10:00]],"=~?")</f>
        <v>0</v>
      </c>
      <c r="E1577" s="2">
        <f>COUNTIF(contact[[#This Row],[Bagossy]:[Szo
03:00 - 10:00]],"=x")</f>
        <v>0</v>
      </c>
      <c r="F1577" s="2">
        <f>SUM(contact[[#This Row],[?]:[x]])</f>
        <v>0</v>
      </c>
      <c r="G15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7" s="3" t="s">
        <v>2588</v>
      </c>
      <c r="K1577" s="1" t="s">
        <v>1449</v>
      </c>
      <c r="L1577" s="1" t="s">
        <v>2</v>
      </c>
      <c r="M1577" s="1" t="s">
        <v>2</v>
      </c>
      <c r="O1577" s="2"/>
      <c r="P1577" s="2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</row>
    <row r="1578" spans="1:32" s="1" customFormat="1" ht="20.25" customHeight="1" x14ac:dyDescent="0.25">
      <c r="A1578" s="2"/>
      <c r="B1578" s="2"/>
      <c r="C1578" s="2"/>
      <c r="D1578" s="2">
        <f>COUNTIF(contact[[#This Row],[Bagossy]:[Szo
03:00 - 10:00]],"=~?")</f>
        <v>0</v>
      </c>
      <c r="E1578" s="2">
        <f>COUNTIF(contact[[#This Row],[Bagossy]:[Szo
03:00 - 10:00]],"=x")</f>
        <v>0</v>
      </c>
      <c r="F1578" s="2">
        <f>SUM(contact[[#This Row],[?]:[x]])</f>
        <v>0</v>
      </c>
      <c r="G15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8" s="3" t="s">
        <v>3640</v>
      </c>
      <c r="K1578" s="1" t="s">
        <v>30</v>
      </c>
      <c r="L1578" s="1" t="s">
        <v>2</v>
      </c>
      <c r="M1578" s="1" t="s">
        <v>2</v>
      </c>
      <c r="O1578" s="2"/>
      <c r="P1578" s="2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</row>
    <row r="1579" spans="1:32" s="1" customFormat="1" ht="20.25" customHeight="1" x14ac:dyDescent="0.25">
      <c r="A1579" s="2"/>
      <c r="B1579" s="2"/>
      <c r="C1579" s="2"/>
      <c r="D1579" s="2">
        <f>COUNTIF(contact[[#This Row],[Bagossy]:[Szo
03:00 - 10:00]],"=~?")</f>
        <v>0</v>
      </c>
      <c r="E1579" s="2">
        <f>COUNTIF(contact[[#This Row],[Bagossy]:[Szo
03:00 - 10:00]],"=x")</f>
        <v>0</v>
      </c>
      <c r="F1579" s="2">
        <f>SUM(contact[[#This Row],[?]:[x]])</f>
        <v>0</v>
      </c>
      <c r="G15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79" s="3" t="s">
        <v>2410</v>
      </c>
      <c r="K1579" s="1" t="s">
        <v>289</v>
      </c>
      <c r="L1579" s="1" t="s">
        <v>2</v>
      </c>
      <c r="M1579" s="1" t="s">
        <v>2</v>
      </c>
      <c r="O1579" s="2"/>
      <c r="P1579" s="2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</row>
    <row r="1580" spans="1:32" s="1" customFormat="1" ht="20.25" customHeight="1" x14ac:dyDescent="0.25">
      <c r="A1580" s="2"/>
      <c r="B1580" s="2"/>
      <c r="C1580" s="2"/>
      <c r="D1580" s="2">
        <f>COUNTIF(contact[[#This Row],[Bagossy]:[Szo
03:00 - 10:00]],"=~?")</f>
        <v>0</v>
      </c>
      <c r="E1580" s="2">
        <f>COUNTIF(contact[[#This Row],[Bagossy]:[Szo
03:00 - 10:00]],"=x")</f>
        <v>0</v>
      </c>
      <c r="F1580" s="2">
        <f>SUM(contact[[#This Row],[?]:[x]])</f>
        <v>0</v>
      </c>
      <c r="G15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0" s="3" t="s">
        <v>2534</v>
      </c>
      <c r="K1580" s="1" t="s">
        <v>361</v>
      </c>
      <c r="L1580" s="1" t="s">
        <v>2</v>
      </c>
      <c r="M1580" s="1" t="s">
        <v>2</v>
      </c>
      <c r="O1580" s="2"/>
      <c r="P1580" s="2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</row>
    <row r="1581" spans="1:32" s="1" customFormat="1" ht="20.25" customHeight="1" x14ac:dyDescent="0.25">
      <c r="A1581" s="2"/>
      <c r="B1581" s="2"/>
      <c r="C1581" s="2"/>
      <c r="D1581" s="2">
        <f>COUNTIF(contact[[#This Row],[Bagossy]:[Szo
03:00 - 10:00]],"=~?")</f>
        <v>0</v>
      </c>
      <c r="E1581" s="2">
        <f>COUNTIF(contact[[#This Row],[Bagossy]:[Szo
03:00 - 10:00]],"=x")</f>
        <v>0</v>
      </c>
      <c r="F1581" s="2">
        <f>SUM(contact[[#This Row],[?]:[x]])</f>
        <v>0</v>
      </c>
      <c r="G15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1" s="3" t="s">
        <v>3965</v>
      </c>
      <c r="K1581" s="1" t="s">
        <v>126</v>
      </c>
      <c r="L1581" s="1" t="s">
        <v>2</v>
      </c>
      <c r="M1581" s="1" t="s">
        <v>2</v>
      </c>
      <c r="O1581" s="2"/>
      <c r="P1581" s="2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</row>
    <row r="1582" spans="1:32" s="1" customFormat="1" ht="20.25" customHeight="1" x14ac:dyDescent="0.25">
      <c r="A1582" s="2"/>
      <c r="B1582" s="2"/>
      <c r="C1582" s="2"/>
      <c r="D1582" s="2">
        <f>COUNTIF(contact[[#This Row],[Bagossy]:[Szo
03:00 - 10:00]],"=~?")</f>
        <v>0</v>
      </c>
      <c r="E1582" s="2">
        <f>COUNTIF(contact[[#This Row],[Bagossy]:[Szo
03:00 - 10:00]],"=x")</f>
        <v>0</v>
      </c>
      <c r="F1582" s="2">
        <f>SUM(contact[[#This Row],[?]:[x]])</f>
        <v>0</v>
      </c>
      <c r="G15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2" s="3" t="s">
        <v>4542</v>
      </c>
      <c r="K1582" s="1" t="s">
        <v>55</v>
      </c>
      <c r="L1582" s="1" t="s">
        <v>2</v>
      </c>
      <c r="M1582" s="1" t="s">
        <v>2</v>
      </c>
      <c r="O1582" s="2"/>
      <c r="P1582" s="2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</row>
    <row r="1583" spans="1:32" s="1" customFormat="1" ht="20.25" customHeight="1" x14ac:dyDescent="0.25">
      <c r="A1583" s="2"/>
      <c r="B1583" s="2"/>
      <c r="C1583" s="2"/>
      <c r="D1583" s="2">
        <f>COUNTIF(contact[[#This Row],[Bagossy]:[Szo
03:00 - 10:00]],"=~?")</f>
        <v>0</v>
      </c>
      <c r="E1583" s="2">
        <f>COUNTIF(contact[[#This Row],[Bagossy]:[Szo
03:00 - 10:00]],"=x")</f>
        <v>0</v>
      </c>
      <c r="F1583" s="2">
        <f>SUM(contact[[#This Row],[?]:[x]])</f>
        <v>0</v>
      </c>
      <c r="G15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3" s="3" t="s">
        <v>768</v>
      </c>
      <c r="K1583" s="1" t="s">
        <v>2</v>
      </c>
      <c r="L1583" s="1" t="s">
        <v>2</v>
      </c>
      <c r="M1583" s="1" t="s">
        <v>2</v>
      </c>
      <c r="O1583" s="2"/>
      <c r="P1583" s="2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</row>
    <row r="1584" spans="1:32" s="1" customFormat="1" ht="20.25" customHeight="1" x14ac:dyDescent="0.25">
      <c r="A1584" s="2"/>
      <c r="B1584" s="2"/>
      <c r="C1584" s="2"/>
      <c r="D1584" s="2">
        <f>COUNTIF(contact[[#This Row],[Bagossy]:[Szo
03:00 - 10:00]],"=~?")</f>
        <v>0</v>
      </c>
      <c r="E1584" s="2">
        <f>COUNTIF(contact[[#This Row],[Bagossy]:[Szo
03:00 - 10:00]],"=x")</f>
        <v>0</v>
      </c>
      <c r="F1584" s="2">
        <f>SUM(contact[[#This Row],[?]:[x]])</f>
        <v>0</v>
      </c>
      <c r="G15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84" s="2"/>
      <c r="I1584" s="2"/>
      <c r="J1584" s="3" t="s">
        <v>3343</v>
      </c>
      <c r="K1584" s="1" t="s">
        <v>1366</v>
      </c>
      <c r="L1584" s="1" t="s">
        <v>2</v>
      </c>
      <c r="M1584" s="1" t="s">
        <v>2</v>
      </c>
      <c r="O1584" s="2"/>
      <c r="P1584" s="2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</row>
    <row r="1585" spans="1:32" s="1" customFormat="1" ht="20.25" customHeight="1" x14ac:dyDescent="0.25">
      <c r="A1585" s="2"/>
      <c r="B1585" s="2"/>
      <c r="C1585" s="2"/>
      <c r="D1585" s="2">
        <f>COUNTIF(contact[[#This Row],[Bagossy]:[Szo
03:00 - 10:00]],"=~?")</f>
        <v>0</v>
      </c>
      <c r="E1585" s="2">
        <f>COUNTIF(contact[[#This Row],[Bagossy]:[Szo
03:00 - 10:00]],"=x")</f>
        <v>0</v>
      </c>
      <c r="F1585" s="2">
        <f>SUM(contact[[#This Row],[?]:[x]])</f>
        <v>0</v>
      </c>
      <c r="G15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5" s="3" t="s">
        <v>2849</v>
      </c>
      <c r="K1585" s="1" t="s">
        <v>2</v>
      </c>
      <c r="L1585" s="1" t="s">
        <v>2</v>
      </c>
      <c r="M1585" s="1" t="s">
        <v>2</v>
      </c>
      <c r="O1585" s="2"/>
      <c r="P1585" s="2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</row>
    <row r="1586" spans="1:32" s="1" customFormat="1" ht="20.25" customHeight="1" x14ac:dyDescent="0.25">
      <c r="A1586" s="2" t="s">
        <v>1285</v>
      </c>
      <c r="B1586" s="2" t="s">
        <v>1285</v>
      </c>
      <c r="C1586" s="2" t="s">
        <v>1285</v>
      </c>
      <c r="D1586" s="2">
        <f>COUNTIF(contact[[#This Row],[Bagossy]:[Szo
03:00 - 10:00]],"=~?")</f>
        <v>1</v>
      </c>
      <c r="E1586" s="2">
        <f>COUNTIF(contact[[#This Row],[Bagossy]:[Szo
03:00 - 10:00]],"=x")</f>
        <v>0</v>
      </c>
      <c r="F1586" s="2">
        <f>SUM(contact[[#This Row],[?]:[x]])</f>
        <v>1</v>
      </c>
      <c r="G15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86" s="2" t="s">
        <v>4625</v>
      </c>
      <c r="J1586" s="3" t="s">
        <v>3344</v>
      </c>
      <c r="K1586" s="1" t="s">
        <v>6</v>
      </c>
      <c r="L1586" s="1" t="s">
        <v>2</v>
      </c>
      <c r="M1586" s="1" t="s">
        <v>2</v>
      </c>
      <c r="N1586" s="2" t="s">
        <v>4612</v>
      </c>
      <c r="O1586" s="2"/>
      <c r="P1586" s="2"/>
      <c r="Q1586" s="6"/>
      <c r="R1586" s="6"/>
      <c r="S1586" s="6"/>
      <c r="T1586" s="6"/>
      <c r="U1586" s="6"/>
      <c r="V1586" s="6"/>
      <c r="W1586" s="6" t="s">
        <v>4616</v>
      </c>
      <c r="X1586" s="6"/>
      <c r="Y1586" s="6"/>
      <c r="Z1586" s="6"/>
      <c r="AA1586" s="6"/>
      <c r="AB1586" s="6"/>
      <c r="AC1586" s="6"/>
      <c r="AD1586" s="6"/>
      <c r="AE1586" s="6"/>
      <c r="AF1586" s="6"/>
    </row>
    <row r="1587" spans="1:32" s="1" customFormat="1" ht="20.25" customHeight="1" x14ac:dyDescent="0.25">
      <c r="A1587" s="2"/>
      <c r="B1587" s="2"/>
      <c r="C1587" s="2"/>
      <c r="D1587" s="2">
        <f>COUNTIF(contact[[#This Row],[Bagossy]:[Szo
03:00 - 10:00]],"=~?")</f>
        <v>0</v>
      </c>
      <c r="E1587" s="2">
        <f>COUNTIF(contact[[#This Row],[Bagossy]:[Szo
03:00 - 10:00]],"=x")</f>
        <v>0</v>
      </c>
      <c r="F1587" s="2">
        <f>SUM(contact[[#This Row],[?]:[x]])</f>
        <v>0</v>
      </c>
      <c r="G15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7" s="3" t="s">
        <v>4154</v>
      </c>
      <c r="K1587" s="1" t="s">
        <v>2</v>
      </c>
      <c r="L1587" s="1" t="s">
        <v>2</v>
      </c>
      <c r="M1587" s="1" t="s">
        <v>2</v>
      </c>
      <c r="O1587" s="2"/>
      <c r="P1587" s="2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</row>
    <row r="1588" spans="1:32" s="1" customFormat="1" ht="20.25" customHeight="1" x14ac:dyDescent="0.25">
      <c r="A1588" s="2"/>
      <c r="B1588" s="2"/>
      <c r="C1588" s="2"/>
      <c r="D1588" s="2">
        <f>COUNTIF(contact[[#This Row],[Bagossy]:[Szo
03:00 - 10:00]],"=~?")</f>
        <v>0</v>
      </c>
      <c r="E1588" s="2">
        <f>COUNTIF(contact[[#This Row],[Bagossy]:[Szo
03:00 - 10:00]],"=x")</f>
        <v>0</v>
      </c>
      <c r="F1588" s="2">
        <f>SUM(contact[[#This Row],[?]:[x]])</f>
        <v>0</v>
      </c>
      <c r="G15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8" s="3" t="s">
        <v>4589</v>
      </c>
      <c r="K1588" s="1" t="s">
        <v>1281</v>
      </c>
      <c r="L1588" s="1" t="s">
        <v>2</v>
      </c>
      <c r="M1588" s="1" t="s">
        <v>2</v>
      </c>
      <c r="O1588" s="2"/>
      <c r="P1588" s="2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</row>
    <row r="1589" spans="1:32" s="1" customFormat="1" ht="20.25" customHeight="1" x14ac:dyDescent="0.25">
      <c r="A1589" s="2"/>
      <c r="B1589" s="2"/>
      <c r="C1589" s="2"/>
      <c r="D1589" s="2">
        <f>COUNTIF(contact[[#This Row],[Bagossy]:[Szo
03:00 - 10:00]],"=~?")</f>
        <v>0</v>
      </c>
      <c r="E1589" s="2">
        <f>COUNTIF(contact[[#This Row],[Bagossy]:[Szo
03:00 - 10:00]],"=x")</f>
        <v>0</v>
      </c>
      <c r="F1589" s="2">
        <f>SUM(contact[[#This Row],[?]:[x]])</f>
        <v>0</v>
      </c>
      <c r="G15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89" s="3" t="s">
        <v>3579</v>
      </c>
      <c r="K1589" s="1" t="s">
        <v>2</v>
      </c>
      <c r="L1589" s="1" t="s">
        <v>2</v>
      </c>
      <c r="M1589" s="1" t="s">
        <v>2</v>
      </c>
      <c r="O1589" s="2"/>
      <c r="P1589" s="2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</row>
    <row r="1590" spans="1:32" s="1" customFormat="1" ht="20.25" customHeight="1" x14ac:dyDescent="0.25">
      <c r="A1590" s="2"/>
      <c r="B1590" s="2"/>
      <c r="C1590" s="2"/>
      <c r="D1590" s="2">
        <f>COUNTIF(contact[[#This Row],[Bagossy]:[Szo
03:00 - 10:00]],"=~?")</f>
        <v>0</v>
      </c>
      <c r="E1590" s="2">
        <f>COUNTIF(contact[[#This Row],[Bagossy]:[Szo
03:00 - 10:00]],"=x")</f>
        <v>0</v>
      </c>
      <c r="F1590" s="2">
        <f>SUM(contact[[#This Row],[?]:[x]])</f>
        <v>0</v>
      </c>
      <c r="G15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0" s="3" t="s">
        <v>2076</v>
      </c>
      <c r="K1590" s="1" t="s">
        <v>2</v>
      </c>
      <c r="L1590" s="1" t="s">
        <v>2</v>
      </c>
      <c r="M1590" s="1" t="s">
        <v>2</v>
      </c>
      <c r="O1590" s="2"/>
      <c r="P1590" s="2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</row>
    <row r="1591" spans="1:32" s="1" customFormat="1" ht="20.25" customHeight="1" x14ac:dyDescent="0.25">
      <c r="A1591" s="2"/>
      <c r="B1591" s="2"/>
      <c r="C1591" s="2"/>
      <c r="D1591" s="2">
        <f>COUNTIF(contact[[#This Row],[Bagossy]:[Szo
03:00 - 10:00]],"=~?")</f>
        <v>0</v>
      </c>
      <c r="E1591" s="2">
        <f>COUNTIF(contact[[#This Row],[Bagossy]:[Szo
03:00 - 10:00]],"=x")</f>
        <v>0</v>
      </c>
      <c r="F1591" s="2">
        <f>SUM(contact[[#This Row],[?]:[x]])</f>
        <v>0</v>
      </c>
      <c r="G15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1" s="3" t="s">
        <v>2076</v>
      </c>
      <c r="K1591" s="1" t="s">
        <v>2</v>
      </c>
      <c r="L1591" s="1" t="s">
        <v>2</v>
      </c>
      <c r="M1591" s="1" t="s">
        <v>2</v>
      </c>
      <c r="O1591" s="2"/>
      <c r="P1591" s="2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</row>
    <row r="1592" spans="1:32" s="1" customFormat="1" ht="20.25" customHeight="1" x14ac:dyDescent="0.25">
      <c r="A1592" s="2"/>
      <c r="B1592" s="2"/>
      <c r="C1592" s="2"/>
      <c r="D1592" s="2">
        <f>COUNTIF(contact[[#This Row],[Bagossy]:[Szo
03:00 - 10:00]],"=~?")</f>
        <v>0</v>
      </c>
      <c r="E1592" s="2">
        <f>COUNTIF(contact[[#This Row],[Bagossy]:[Szo
03:00 - 10:00]],"=x")</f>
        <v>0</v>
      </c>
      <c r="F1592" s="2">
        <f>SUM(contact[[#This Row],[?]:[x]])</f>
        <v>0</v>
      </c>
      <c r="G15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2" s="3" t="s">
        <v>3379</v>
      </c>
      <c r="K1592" s="1" t="s">
        <v>2</v>
      </c>
      <c r="L1592" s="1" t="s">
        <v>2</v>
      </c>
      <c r="M1592" s="1" t="s">
        <v>2</v>
      </c>
      <c r="O1592" s="2"/>
      <c r="P1592" s="2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</row>
    <row r="1593" spans="1:32" s="1" customFormat="1" ht="20.25" customHeight="1" x14ac:dyDescent="0.25">
      <c r="A1593" s="2"/>
      <c r="B1593" s="2"/>
      <c r="C1593" s="2"/>
      <c r="D1593" s="2">
        <f>COUNTIF(contact[[#This Row],[Bagossy]:[Szo
03:00 - 10:00]],"=~?")</f>
        <v>0</v>
      </c>
      <c r="E1593" s="2">
        <f>COUNTIF(contact[[#This Row],[Bagossy]:[Szo
03:00 - 10:00]],"=x")</f>
        <v>0</v>
      </c>
      <c r="F1593" s="2">
        <f>SUM(contact[[#This Row],[?]:[x]])</f>
        <v>0</v>
      </c>
      <c r="G15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593" s="2"/>
      <c r="I1593" s="2"/>
      <c r="J1593" s="3" t="s">
        <v>774</v>
      </c>
      <c r="K1593" s="1" t="s">
        <v>1620</v>
      </c>
      <c r="L1593" s="1" t="s">
        <v>2</v>
      </c>
      <c r="M1593" s="1" t="s">
        <v>2</v>
      </c>
      <c r="O1593" s="2"/>
      <c r="P1593" s="2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</row>
    <row r="1594" spans="1:32" s="1" customFormat="1" ht="20.25" customHeight="1" x14ac:dyDescent="0.25">
      <c r="A1594" s="2"/>
      <c r="B1594" s="2"/>
      <c r="C1594" s="2"/>
      <c r="D1594" s="2">
        <f>COUNTIF(contact[[#This Row],[Bagossy]:[Szo
03:00 - 10:00]],"=~?")</f>
        <v>0</v>
      </c>
      <c r="E1594" s="2">
        <f>COUNTIF(contact[[#This Row],[Bagossy]:[Szo
03:00 - 10:00]],"=x")</f>
        <v>0</v>
      </c>
      <c r="F1594" s="2">
        <f>SUM(contact[[#This Row],[?]:[x]])</f>
        <v>0</v>
      </c>
      <c r="G15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4" s="3" t="s">
        <v>2958</v>
      </c>
      <c r="K1594" s="1" t="s">
        <v>580</v>
      </c>
      <c r="L1594" s="1" t="s">
        <v>2</v>
      </c>
      <c r="M1594" s="1" t="s">
        <v>2</v>
      </c>
      <c r="O1594" s="2"/>
      <c r="P1594" s="2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</row>
    <row r="1595" spans="1:32" s="1" customFormat="1" ht="20.25" customHeight="1" x14ac:dyDescent="0.25">
      <c r="A1595" s="2"/>
      <c r="B1595" s="2"/>
      <c r="C1595" s="2"/>
      <c r="D1595" s="2">
        <f>COUNTIF(contact[[#This Row],[Bagossy]:[Szo
03:00 - 10:00]],"=~?")</f>
        <v>0</v>
      </c>
      <c r="E1595" s="2">
        <f>COUNTIF(contact[[#This Row],[Bagossy]:[Szo
03:00 - 10:00]],"=x")</f>
        <v>0</v>
      </c>
      <c r="F1595" s="2">
        <f>SUM(contact[[#This Row],[?]:[x]])</f>
        <v>0</v>
      </c>
      <c r="G15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5" s="3" t="s">
        <v>3327</v>
      </c>
      <c r="K1595" s="1" t="s">
        <v>749</v>
      </c>
      <c r="L1595" s="1" t="s">
        <v>2</v>
      </c>
      <c r="M1595" s="1" t="s">
        <v>2</v>
      </c>
      <c r="O1595" s="2"/>
      <c r="P1595" s="2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</row>
    <row r="1596" spans="1:32" s="1" customFormat="1" ht="20.25" customHeight="1" x14ac:dyDescent="0.25">
      <c r="A1596" s="2"/>
      <c r="B1596" s="2"/>
      <c r="C1596" s="2"/>
      <c r="D1596" s="2">
        <f>COUNTIF(contact[[#This Row],[Bagossy]:[Szo
03:00 - 10:00]],"=~?")</f>
        <v>0</v>
      </c>
      <c r="E1596" s="2">
        <f>COUNTIF(contact[[#This Row],[Bagossy]:[Szo
03:00 - 10:00]],"=x")</f>
        <v>0</v>
      </c>
      <c r="F1596" s="2">
        <f>SUM(contact[[#This Row],[?]:[x]])</f>
        <v>0</v>
      </c>
      <c r="G15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6" s="3" t="s">
        <v>1990</v>
      </c>
      <c r="K1596" s="1" t="s">
        <v>56</v>
      </c>
      <c r="L1596" s="1" t="s">
        <v>2</v>
      </c>
      <c r="M1596" s="1" t="s">
        <v>2</v>
      </c>
      <c r="O1596" s="2"/>
      <c r="P1596" s="2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</row>
    <row r="1597" spans="1:32" s="1" customFormat="1" ht="20.25" customHeight="1" x14ac:dyDescent="0.25">
      <c r="A1597" s="2"/>
      <c r="B1597" s="2"/>
      <c r="C1597" s="2"/>
      <c r="D1597" s="2">
        <f>COUNTIF(contact[[#This Row],[Bagossy]:[Szo
03:00 - 10:00]],"=~?")</f>
        <v>0</v>
      </c>
      <c r="E1597" s="2">
        <f>COUNTIF(contact[[#This Row],[Bagossy]:[Szo
03:00 - 10:00]],"=x")</f>
        <v>0</v>
      </c>
      <c r="F1597" s="2">
        <f>SUM(contact[[#This Row],[?]:[x]])</f>
        <v>0</v>
      </c>
      <c r="G15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7" s="3" t="s">
        <v>3129</v>
      </c>
      <c r="K1597" s="1" t="s">
        <v>1327</v>
      </c>
      <c r="L1597" s="1" t="s">
        <v>2</v>
      </c>
      <c r="M1597" s="1" t="s">
        <v>2</v>
      </c>
      <c r="O1597" s="2"/>
      <c r="P1597" s="2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</row>
    <row r="1598" spans="1:32" s="1" customFormat="1" ht="20.25" customHeight="1" x14ac:dyDescent="0.25">
      <c r="A1598" s="2"/>
      <c r="B1598" s="2"/>
      <c r="C1598" s="2"/>
      <c r="D1598" s="2">
        <f>COUNTIF(contact[[#This Row],[Bagossy]:[Szo
03:00 - 10:00]],"=~?")</f>
        <v>0</v>
      </c>
      <c r="E1598" s="2">
        <f>COUNTIF(contact[[#This Row],[Bagossy]:[Szo
03:00 - 10:00]],"=x")</f>
        <v>0</v>
      </c>
      <c r="F1598" s="2">
        <f>SUM(contact[[#This Row],[?]:[x]])</f>
        <v>0</v>
      </c>
      <c r="G15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8" s="3" t="s">
        <v>4027</v>
      </c>
      <c r="K1598" s="1" t="s">
        <v>2</v>
      </c>
      <c r="L1598" s="1" t="s">
        <v>2</v>
      </c>
      <c r="M1598" s="1" t="s">
        <v>2</v>
      </c>
      <c r="O1598" s="2"/>
      <c r="P1598" s="2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</row>
    <row r="1599" spans="1:32" s="1" customFormat="1" ht="20.25" customHeight="1" x14ac:dyDescent="0.25">
      <c r="A1599" s="2"/>
      <c r="B1599" s="2"/>
      <c r="C1599" s="2"/>
      <c r="D1599" s="2">
        <f>COUNTIF(contact[[#This Row],[Bagossy]:[Szo
03:00 - 10:00]],"=~?")</f>
        <v>0</v>
      </c>
      <c r="E1599" s="2">
        <f>COUNTIF(contact[[#This Row],[Bagossy]:[Szo
03:00 - 10:00]],"=x")</f>
        <v>0</v>
      </c>
      <c r="F1599" s="2">
        <f>SUM(contact[[#This Row],[?]:[x]])</f>
        <v>0</v>
      </c>
      <c r="G15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599" s="3" t="s">
        <v>4012</v>
      </c>
      <c r="K1599" s="1" t="s">
        <v>1760</v>
      </c>
      <c r="L1599" s="1" t="s">
        <v>2</v>
      </c>
      <c r="M1599" s="1" t="s">
        <v>2</v>
      </c>
      <c r="O1599" s="2"/>
      <c r="P1599" s="2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</row>
    <row r="1600" spans="1:32" s="1" customFormat="1" ht="20.25" customHeight="1" x14ac:dyDescent="0.25">
      <c r="A1600" s="2"/>
      <c r="B1600" s="2"/>
      <c r="C1600" s="2" t="s">
        <v>1285</v>
      </c>
      <c r="D1600" s="2">
        <f>COUNTIF(contact[[#This Row],[Bagossy]:[Szo
03:00 - 10:00]],"=~?")</f>
        <v>0</v>
      </c>
      <c r="E1600" s="2">
        <f>COUNTIF(contact[[#This Row],[Bagossy]:[Szo
03:00 - 10:00]],"=x")</f>
        <v>0</v>
      </c>
      <c r="F1600" s="2">
        <f>SUM(contact[[#This Row],[?]:[x]])</f>
        <v>0</v>
      </c>
      <c r="G16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00" s="2"/>
      <c r="I1600" s="2"/>
      <c r="J1600" s="3" t="s">
        <v>3365</v>
      </c>
      <c r="K1600" s="1" t="s">
        <v>305</v>
      </c>
      <c r="L1600" s="1" t="s">
        <v>2</v>
      </c>
      <c r="M1600" s="1" t="s">
        <v>2</v>
      </c>
      <c r="O1600" s="2"/>
      <c r="P1600" s="2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</row>
    <row r="1601" spans="1:32" s="1" customFormat="1" ht="20.25" customHeight="1" x14ac:dyDescent="0.25">
      <c r="A1601" s="2"/>
      <c r="B1601" s="2"/>
      <c r="C1601" s="2"/>
      <c r="D1601" s="2">
        <f>COUNTIF(contact[[#This Row],[Bagossy]:[Szo
03:00 - 10:00]],"=~?")</f>
        <v>0</v>
      </c>
      <c r="E1601" s="2">
        <f>COUNTIF(contact[[#This Row],[Bagossy]:[Szo
03:00 - 10:00]],"=x")</f>
        <v>0</v>
      </c>
      <c r="F1601" s="2">
        <f>SUM(contact[[#This Row],[?]:[x]])</f>
        <v>0</v>
      </c>
      <c r="G16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01" s="3" t="s">
        <v>2496</v>
      </c>
      <c r="K1601" s="1" t="s">
        <v>1426</v>
      </c>
      <c r="L1601" s="1" t="s">
        <v>2</v>
      </c>
      <c r="M1601" s="1" t="s">
        <v>2</v>
      </c>
      <c r="O1601" s="2"/>
      <c r="P1601" s="2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</row>
    <row r="1602" spans="1:32" s="1" customFormat="1" ht="20.25" customHeight="1" x14ac:dyDescent="0.25">
      <c r="A1602" s="2"/>
      <c r="B1602" s="2"/>
      <c r="C1602" s="2"/>
      <c r="D1602" s="2">
        <f>COUNTIF(contact[[#This Row],[Bagossy]:[Szo
03:00 - 10:00]],"=~?")</f>
        <v>0</v>
      </c>
      <c r="E1602" s="2">
        <f>COUNTIF(contact[[#This Row],[Bagossy]:[Szo
03:00 - 10:00]],"=x")</f>
        <v>0</v>
      </c>
      <c r="F1602" s="2">
        <f>SUM(contact[[#This Row],[?]:[x]])</f>
        <v>0</v>
      </c>
      <c r="G16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02" s="2"/>
      <c r="I1602" s="2"/>
      <c r="J1602" s="3" t="s">
        <v>3366</v>
      </c>
      <c r="K1602" s="1" t="s">
        <v>24</v>
      </c>
      <c r="L1602" s="1" t="s">
        <v>2</v>
      </c>
      <c r="M1602" s="1" t="s">
        <v>2</v>
      </c>
      <c r="O1602" s="2"/>
      <c r="P1602" s="2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</row>
    <row r="1603" spans="1:32" s="1" customFormat="1" ht="20.25" customHeight="1" x14ac:dyDescent="0.25">
      <c r="A1603" s="2"/>
      <c r="B1603" s="2"/>
      <c r="C1603" s="2" t="s">
        <v>1285</v>
      </c>
      <c r="D1603" s="2">
        <f>COUNTIF(contact[[#This Row],[Bagossy]:[Szo
03:00 - 10:00]],"=~?")</f>
        <v>0</v>
      </c>
      <c r="E1603" s="2">
        <f>COUNTIF(contact[[#This Row],[Bagossy]:[Szo
03:00 - 10:00]],"=x")</f>
        <v>0</v>
      </c>
      <c r="F1603" s="2">
        <f>SUM(contact[[#This Row],[?]:[x]])</f>
        <v>0</v>
      </c>
      <c r="G16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03" s="2" t="s">
        <v>4616</v>
      </c>
      <c r="I1603" s="2"/>
      <c r="J1603" s="3" t="s">
        <v>3376</v>
      </c>
      <c r="K1603" s="1" t="s">
        <v>6</v>
      </c>
      <c r="L1603" s="1" t="s">
        <v>2</v>
      </c>
      <c r="M1603" s="1" t="s">
        <v>2</v>
      </c>
      <c r="O1603" s="2"/>
      <c r="P1603" s="2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</row>
    <row r="1604" spans="1:32" s="1" customFormat="1" ht="20.25" customHeight="1" x14ac:dyDescent="0.25">
      <c r="A1604" s="2"/>
      <c r="B1604" s="2"/>
      <c r="C1604" s="2"/>
      <c r="D1604" s="2">
        <f>COUNTIF(contact[[#This Row],[Bagossy]:[Szo
03:00 - 10:00]],"=~?")</f>
        <v>0</v>
      </c>
      <c r="E1604" s="2">
        <f>COUNTIF(contact[[#This Row],[Bagossy]:[Szo
03:00 - 10:00]],"=x")</f>
        <v>0</v>
      </c>
      <c r="F1604" s="2">
        <f>SUM(contact[[#This Row],[?]:[x]])</f>
        <v>0</v>
      </c>
      <c r="G16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04" s="3" t="s">
        <v>3328</v>
      </c>
      <c r="K1604" s="1" t="s">
        <v>249</v>
      </c>
      <c r="L1604" s="1" t="s">
        <v>2</v>
      </c>
      <c r="M1604" s="1" t="s">
        <v>2</v>
      </c>
      <c r="O1604" s="2"/>
      <c r="P1604" s="2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</row>
    <row r="1605" spans="1:32" s="1" customFormat="1" ht="20.25" customHeight="1" x14ac:dyDescent="0.25">
      <c r="A1605" s="2"/>
      <c r="B1605" s="2"/>
      <c r="C1605" s="2"/>
      <c r="D1605" s="2">
        <f>COUNTIF(contact[[#This Row],[Bagossy]:[Szo
03:00 - 10:00]],"=~?")</f>
        <v>0</v>
      </c>
      <c r="E1605" s="2">
        <f>COUNTIF(contact[[#This Row],[Bagossy]:[Szo
03:00 - 10:00]],"=x")</f>
        <v>0</v>
      </c>
      <c r="F1605" s="2">
        <f>SUM(contact[[#This Row],[?]:[x]])</f>
        <v>0</v>
      </c>
      <c r="G16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05" s="3" t="s">
        <v>783</v>
      </c>
      <c r="K1605" s="1" t="s">
        <v>2</v>
      </c>
      <c r="L1605" s="1" t="s">
        <v>2</v>
      </c>
      <c r="M1605" s="1" t="s">
        <v>2</v>
      </c>
      <c r="O1605" s="2"/>
      <c r="P1605" s="2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</row>
    <row r="1606" spans="1:32" s="1" customFormat="1" ht="20.25" customHeight="1" x14ac:dyDescent="0.25">
      <c r="A1606" s="2"/>
      <c r="B1606" s="2"/>
      <c r="C1606" s="2"/>
      <c r="D1606" s="2">
        <f>COUNTIF(contact[[#This Row],[Bagossy]:[Szo
03:00 - 10:00]],"=~?")</f>
        <v>0</v>
      </c>
      <c r="E1606" s="2">
        <f>COUNTIF(contact[[#This Row],[Bagossy]:[Szo
03:00 - 10:00]],"=x")</f>
        <v>0</v>
      </c>
      <c r="F1606" s="2">
        <f>SUM(contact[[#This Row],[?]:[x]])</f>
        <v>0</v>
      </c>
      <c r="G16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06" s="3" t="s">
        <v>2097</v>
      </c>
      <c r="K1606" s="1" t="s">
        <v>78</v>
      </c>
      <c r="L1606" s="1" t="s">
        <v>2</v>
      </c>
      <c r="M1606" s="1" t="s">
        <v>2</v>
      </c>
      <c r="O1606" s="2"/>
      <c r="P1606" s="2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</row>
    <row r="1607" spans="1:32" s="1" customFormat="1" ht="20.25" customHeight="1" x14ac:dyDescent="0.25">
      <c r="A1607" s="2"/>
      <c r="B1607" s="2"/>
      <c r="C1607" s="2"/>
      <c r="D1607" s="2">
        <f>COUNTIF(contact[[#This Row],[Bagossy]:[Szo
03:00 - 10:00]],"=~?")</f>
        <v>0</v>
      </c>
      <c r="E1607" s="2">
        <f>COUNTIF(contact[[#This Row],[Bagossy]:[Szo
03:00 - 10:00]],"=x")</f>
        <v>0</v>
      </c>
      <c r="F1607" s="2">
        <f>SUM(contact[[#This Row],[?]:[x]])</f>
        <v>0</v>
      </c>
      <c r="G16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07" s="3" t="s">
        <v>784</v>
      </c>
      <c r="K1607" s="1" t="s">
        <v>2</v>
      </c>
      <c r="L1607" s="1" t="s">
        <v>2</v>
      </c>
      <c r="M1607" s="1" t="s">
        <v>2</v>
      </c>
      <c r="O1607" s="2"/>
      <c r="P1607" s="2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</row>
    <row r="1608" spans="1:32" s="1" customFormat="1" ht="20.25" customHeight="1" x14ac:dyDescent="0.25">
      <c r="A1608" s="2"/>
      <c r="B1608" s="2"/>
      <c r="C1608" s="2"/>
      <c r="D1608" s="2">
        <f>COUNTIF(contact[[#This Row],[Bagossy]:[Szo
03:00 - 10:00]],"=~?")</f>
        <v>0</v>
      </c>
      <c r="E1608" s="2">
        <f>COUNTIF(contact[[#This Row],[Bagossy]:[Szo
03:00 - 10:00]],"=x")</f>
        <v>0</v>
      </c>
      <c r="F1608" s="2">
        <f>SUM(contact[[#This Row],[?]:[x]])</f>
        <v>0</v>
      </c>
      <c r="G16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08" s="3" t="s">
        <v>2986</v>
      </c>
      <c r="K1608" s="1" t="s">
        <v>593</v>
      </c>
      <c r="L1608" s="1" t="s">
        <v>2</v>
      </c>
      <c r="M1608" s="1" t="s">
        <v>2</v>
      </c>
      <c r="O1608" s="2"/>
      <c r="P1608" s="2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</row>
    <row r="1609" spans="1:32" s="1" customFormat="1" ht="20.25" customHeight="1" x14ac:dyDescent="0.25">
      <c r="A1609" s="2"/>
      <c r="B1609" s="2"/>
      <c r="C1609" s="2"/>
      <c r="D1609" s="2">
        <f>COUNTIF(contact[[#This Row],[Bagossy]:[Szo
03:00 - 10:00]],"=~?")</f>
        <v>0</v>
      </c>
      <c r="E1609" s="2">
        <f>COUNTIF(contact[[#This Row],[Bagossy]:[Szo
03:00 - 10:00]],"=x")</f>
        <v>0</v>
      </c>
      <c r="F1609" s="2">
        <f>SUM(contact[[#This Row],[?]:[x]])</f>
        <v>0</v>
      </c>
      <c r="G16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09" s="3" t="s">
        <v>2802</v>
      </c>
      <c r="K1609" s="1" t="s">
        <v>1490</v>
      </c>
      <c r="L1609" s="1" t="s">
        <v>2</v>
      </c>
      <c r="M1609" s="1" t="s">
        <v>2</v>
      </c>
      <c r="O1609" s="2"/>
      <c r="P1609" s="2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</row>
    <row r="1610" spans="1:32" s="1" customFormat="1" ht="20.25" customHeight="1" x14ac:dyDescent="0.25">
      <c r="A1610" s="2"/>
      <c r="B1610" s="2"/>
      <c r="C1610" s="2"/>
      <c r="D1610" s="2">
        <f>COUNTIF(contact[[#This Row],[Bagossy]:[Szo
03:00 - 10:00]],"=~?")</f>
        <v>0</v>
      </c>
      <c r="E1610" s="2">
        <f>COUNTIF(contact[[#This Row],[Bagossy]:[Szo
03:00 - 10:00]],"=x")</f>
        <v>0</v>
      </c>
      <c r="F1610" s="2">
        <f>SUM(contact[[#This Row],[?]:[x]])</f>
        <v>0</v>
      </c>
      <c r="G16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10" s="3" t="s">
        <v>3644</v>
      </c>
      <c r="K1610" s="1" t="s">
        <v>879</v>
      </c>
      <c r="L1610" s="1" t="s">
        <v>2</v>
      </c>
      <c r="M1610" s="1" t="s">
        <v>2</v>
      </c>
      <c r="O1610" s="2"/>
      <c r="P1610" s="2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</row>
    <row r="1611" spans="1:32" s="1" customFormat="1" ht="20.25" customHeight="1" x14ac:dyDescent="0.25">
      <c r="A1611" s="2"/>
      <c r="B1611" s="2"/>
      <c r="C1611" s="2"/>
      <c r="D1611" s="2">
        <f>COUNTIF(contact[[#This Row],[Bagossy]:[Szo
03:00 - 10:00]],"=~?")</f>
        <v>0</v>
      </c>
      <c r="E1611" s="2">
        <f>COUNTIF(contact[[#This Row],[Bagossy]:[Szo
03:00 - 10:00]],"=x")</f>
        <v>0</v>
      </c>
      <c r="F1611" s="2">
        <f>SUM(contact[[#This Row],[?]:[x]])</f>
        <v>0</v>
      </c>
      <c r="G16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11" s="2"/>
      <c r="I1611" s="2"/>
      <c r="J1611" s="3" t="s">
        <v>3377</v>
      </c>
      <c r="K1611" s="1" t="s">
        <v>1068</v>
      </c>
      <c r="L1611" s="1" t="s">
        <v>2</v>
      </c>
      <c r="M1611" s="1" t="s">
        <v>2</v>
      </c>
      <c r="O1611" s="2"/>
      <c r="P1611" s="2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</row>
    <row r="1612" spans="1:32" s="1" customFormat="1" ht="20.25" customHeight="1" x14ac:dyDescent="0.25">
      <c r="A1612" s="2"/>
      <c r="B1612" s="2"/>
      <c r="C1612" s="2"/>
      <c r="D1612" s="2">
        <f>COUNTIF(contact[[#This Row],[Bagossy]:[Szo
03:00 - 10:00]],"=~?")</f>
        <v>0</v>
      </c>
      <c r="E1612" s="2">
        <f>COUNTIF(contact[[#This Row],[Bagossy]:[Szo
03:00 - 10:00]],"=x")</f>
        <v>0</v>
      </c>
      <c r="F1612" s="2">
        <f>SUM(contact[[#This Row],[?]:[x]])</f>
        <v>0</v>
      </c>
      <c r="G16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12" s="2"/>
      <c r="I1612" s="2"/>
      <c r="J1612" s="3" t="s">
        <v>3378</v>
      </c>
      <c r="K1612" s="1" t="s">
        <v>1626</v>
      </c>
      <c r="L1612" s="1" t="s">
        <v>2</v>
      </c>
      <c r="M1612" s="1" t="s">
        <v>2</v>
      </c>
      <c r="O1612" s="2"/>
      <c r="P1612" s="2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</row>
    <row r="1613" spans="1:32" s="1" customFormat="1" ht="20.25" customHeight="1" x14ac:dyDescent="0.25">
      <c r="A1613" s="2"/>
      <c r="B1613" s="2"/>
      <c r="C1613" s="2"/>
      <c r="D1613" s="2">
        <f>COUNTIF(contact[[#This Row],[Bagossy]:[Szo
03:00 - 10:00]],"=~?")</f>
        <v>0</v>
      </c>
      <c r="E1613" s="2">
        <f>COUNTIF(contact[[#This Row],[Bagossy]:[Szo
03:00 - 10:00]],"=x")</f>
        <v>0</v>
      </c>
      <c r="F1613" s="2">
        <f>SUM(contact[[#This Row],[?]:[x]])</f>
        <v>0</v>
      </c>
      <c r="G16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13" s="2"/>
      <c r="I1613" s="2"/>
      <c r="J1613" s="3" t="s">
        <v>3380</v>
      </c>
      <c r="K1613" s="1" t="s">
        <v>1627</v>
      </c>
      <c r="L1613" s="1" t="s">
        <v>2</v>
      </c>
      <c r="M1613" s="1" t="s">
        <v>2</v>
      </c>
      <c r="O1613" s="2"/>
      <c r="P1613" s="2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</row>
    <row r="1614" spans="1:32" s="1" customFormat="1" ht="20.25" customHeight="1" x14ac:dyDescent="0.25">
      <c r="A1614" s="2"/>
      <c r="B1614" s="2"/>
      <c r="C1614" s="2"/>
      <c r="D1614" s="2">
        <f>COUNTIF(contact[[#This Row],[Bagossy]:[Szo
03:00 - 10:00]],"=~?")</f>
        <v>0</v>
      </c>
      <c r="E1614" s="2">
        <f>COUNTIF(contact[[#This Row],[Bagossy]:[Szo
03:00 - 10:00]],"=x")</f>
        <v>0</v>
      </c>
      <c r="F1614" s="2">
        <f>SUM(contact[[#This Row],[?]:[x]])</f>
        <v>0</v>
      </c>
      <c r="G16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14" s="2"/>
      <c r="I1614" s="2"/>
      <c r="J1614" s="3" t="s">
        <v>3381</v>
      </c>
      <c r="K1614" s="1" t="s">
        <v>92</v>
      </c>
      <c r="L1614" s="1" t="s">
        <v>2</v>
      </c>
      <c r="M1614" s="1" t="s">
        <v>2</v>
      </c>
      <c r="O1614" s="2"/>
      <c r="P1614" s="2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</row>
    <row r="1615" spans="1:32" s="1" customFormat="1" ht="20.25" customHeight="1" x14ac:dyDescent="0.25">
      <c r="A1615" s="2"/>
      <c r="B1615" s="2"/>
      <c r="C1615" s="2"/>
      <c r="D1615" s="2">
        <f>COUNTIF(contact[[#This Row],[Bagossy]:[Szo
03:00 - 10:00]],"=~?")</f>
        <v>0</v>
      </c>
      <c r="E1615" s="2">
        <f>COUNTIF(contact[[#This Row],[Bagossy]:[Szo
03:00 - 10:00]],"=x")</f>
        <v>0</v>
      </c>
      <c r="F1615" s="2">
        <f>SUM(contact[[#This Row],[?]:[x]])</f>
        <v>0</v>
      </c>
      <c r="G16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15" s="3" t="s">
        <v>3170</v>
      </c>
      <c r="K1615" s="1" t="s">
        <v>676</v>
      </c>
      <c r="L1615" s="1" t="s">
        <v>2</v>
      </c>
      <c r="M1615" s="1" t="s">
        <v>2</v>
      </c>
      <c r="O1615" s="2"/>
      <c r="P1615" s="2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</row>
    <row r="1616" spans="1:32" s="1" customFormat="1" ht="20.25" customHeight="1" x14ac:dyDescent="0.25">
      <c r="A1616" s="2"/>
      <c r="B1616" s="2"/>
      <c r="C1616" s="2"/>
      <c r="D1616" s="2">
        <f>COUNTIF(contact[[#This Row],[Bagossy]:[Szo
03:00 - 10:00]],"=~?")</f>
        <v>0</v>
      </c>
      <c r="E1616" s="2">
        <f>COUNTIF(contact[[#This Row],[Bagossy]:[Szo
03:00 - 10:00]],"=x")</f>
        <v>0</v>
      </c>
      <c r="F1616" s="2">
        <f>SUM(contact[[#This Row],[?]:[x]])</f>
        <v>0</v>
      </c>
      <c r="G16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16" s="3" t="s">
        <v>3949</v>
      </c>
      <c r="K1616" s="1" t="s">
        <v>1034</v>
      </c>
      <c r="L1616" s="1" t="s">
        <v>2</v>
      </c>
      <c r="M1616" s="1" t="s">
        <v>2</v>
      </c>
      <c r="O1616" s="2"/>
      <c r="P1616" s="2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</row>
    <row r="1617" spans="1:32" s="1" customFormat="1" ht="20.25" customHeight="1" x14ac:dyDescent="0.25">
      <c r="A1617" s="2"/>
      <c r="B1617" s="2"/>
      <c r="C1617" s="2"/>
      <c r="D1617" s="2">
        <f>COUNTIF(contact[[#This Row],[Bagossy]:[Szo
03:00 - 10:00]],"=~?")</f>
        <v>0</v>
      </c>
      <c r="E1617" s="2">
        <f>COUNTIF(contact[[#This Row],[Bagossy]:[Szo
03:00 - 10:00]],"=x")</f>
        <v>0</v>
      </c>
      <c r="F1617" s="2">
        <f>SUM(contact[[#This Row],[?]:[x]])</f>
        <v>0</v>
      </c>
      <c r="G16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17" s="3" t="s">
        <v>4467</v>
      </c>
      <c r="K1617" s="1" t="s">
        <v>1248</v>
      </c>
      <c r="L1617" s="1" t="s">
        <v>2</v>
      </c>
      <c r="M1617" s="1" t="s">
        <v>2</v>
      </c>
      <c r="O1617" s="2"/>
      <c r="P1617" s="2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</row>
    <row r="1618" spans="1:32" s="1" customFormat="1" ht="20.25" customHeight="1" x14ac:dyDescent="0.25">
      <c r="A1618" s="2"/>
      <c r="B1618" s="2"/>
      <c r="C1618" s="2"/>
      <c r="D1618" s="2">
        <f>COUNTIF(contact[[#This Row],[Bagossy]:[Szo
03:00 - 10:00]],"=~?")</f>
        <v>0</v>
      </c>
      <c r="E1618" s="2">
        <f>COUNTIF(contact[[#This Row],[Bagossy]:[Szo
03:00 - 10:00]],"=x")</f>
        <v>0</v>
      </c>
      <c r="F1618" s="2">
        <f>SUM(contact[[#This Row],[?]:[x]])</f>
        <v>0</v>
      </c>
      <c r="G16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18" s="3" t="s">
        <v>3099</v>
      </c>
      <c r="K1618" s="1" t="s">
        <v>1565</v>
      </c>
      <c r="L1618" s="1" t="s">
        <v>2</v>
      </c>
      <c r="M1618" s="1" t="s">
        <v>2</v>
      </c>
      <c r="O1618" s="2"/>
      <c r="P1618" s="2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</row>
    <row r="1619" spans="1:32" s="1" customFormat="1" ht="20.25" customHeight="1" x14ac:dyDescent="0.25">
      <c r="A1619" s="2"/>
      <c r="B1619" s="2"/>
      <c r="C1619" s="2"/>
      <c r="D1619" s="2">
        <f>COUNTIF(contact[[#This Row],[Bagossy]:[Szo
03:00 - 10:00]],"=~?")</f>
        <v>0</v>
      </c>
      <c r="E1619" s="2">
        <f>COUNTIF(contact[[#This Row],[Bagossy]:[Szo
03:00 - 10:00]],"=x")</f>
        <v>0</v>
      </c>
      <c r="F1619" s="2">
        <f>SUM(contact[[#This Row],[?]:[x]])</f>
        <v>0</v>
      </c>
      <c r="G16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19" s="3" t="s">
        <v>4590</v>
      </c>
      <c r="K1619" s="1" t="s">
        <v>1282</v>
      </c>
      <c r="L1619" s="1" t="s">
        <v>2</v>
      </c>
      <c r="M1619" s="1" t="s">
        <v>2</v>
      </c>
      <c r="O1619" s="2"/>
      <c r="P1619" s="2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</row>
    <row r="1620" spans="1:32" s="1" customFormat="1" ht="20.25" customHeight="1" x14ac:dyDescent="0.25">
      <c r="A1620" s="2"/>
      <c r="B1620" s="2"/>
      <c r="C1620" s="2"/>
      <c r="D1620" s="2">
        <f>COUNTIF(contact[[#This Row],[Bagossy]:[Szo
03:00 - 10:00]],"=~?")</f>
        <v>0</v>
      </c>
      <c r="E1620" s="2">
        <f>COUNTIF(contact[[#This Row],[Bagossy]:[Szo
03:00 - 10:00]],"=x")</f>
        <v>0</v>
      </c>
      <c r="F1620" s="2">
        <f>SUM(contact[[#This Row],[?]:[x]])</f>
        <v>0</v>
      </c>
      <c r="G16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0" s="3" t="s">
        <v>2609</v>
      </c>
      <c r="K1620" s="1" t="s">
        <v>2</v>
      </c>
      <c r="L1620" s="1" t="s">
        <v>2</v>
      </c>
      <c r="M1620" s="1" t="s">
        <v>2</v>
      </c>
      <c r="O1620" s="2"/>
      <c r="P1620" s="2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</row>
    <row r="1621" spans="1:32" s="1" customFormat="1" ht="20.25" customHeight="1" x14ac:dyDescent="0.25">
      <c r="A1621" s="2"/>
      <c r="B1621" s="2"/>
      <c r="C1621" s="2"/>
      <c r="D1621" s="2">
        <f>COUNTIF(contact[[#This Row],[Bagossy]:[Szo
03:00 - 10:00]],"=~?")</f>
        <v>0</v>
      </c>
      <c r="E1621" s="2">
        <f>COUNTIF(contact[[#This Row],[Bagossy]:[Szo
03:00 - 10:00]],"=x")</f>
        <v>0</v>
      </c>
      <c r="F1621" s="2">
        <f>SUM(contact[[#This Row],[?]:[x]])</f>
        <v>0</v>
      </c>
      <c r="G16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1" s="3" t="s">
        <v>3130</v>
      </c>
      <c r="K1621" s="1" t="s">
        <v>655</v>
      </c>
      <c r="L1621" s="1" t="s">
        <v>2</v>
      </c>
      <c r="M1621" s="1" t="s">
        <v>2</v>
      </c>
      <c r="O1621" s="2"/>
      <c r="P1621" s="2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</row>
    <row r="1622" spans="1:32" s="1" customFormat="1" ht="20.25" customHeight="1" x14ac:dyDescent="0.25">
      <c r="A1622" s="2"/>
      <c r="B1622" s="2"/>
      <c r="C1622" s="2"/>
      <c r="D1622" s="2">
        <f>COUNTIF(contact[[#This Row],[Bagossy]:[Szo
03:00 - 10:00]],"=~?")</f>
        <v>0</v>
      </c>
      <c r="E1622" s="2">
        <f>COUNTIF(contact[[#This Row],[Bagossy]:[Szo
03:00 - 10:00]],"=x")</f>
        <v>0</v>
      </c>
      <c r="F1622" s="2">
        <f>SUM(contact[[#This Row],[?]:[x]])</f>
        <v>0</v>
      </c>
      <c r="G16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2" s="3" t="s">
        <v>3468</v>
      </c>
      <c r="K1622" s="1" t="s">
        <v>1653</v>
      </c>
      <c r="L1622" s="1" t="s">
        <v>2</v>
      </c>
      <c r="M1622" s="1" t="s">
        <v>2</v>
      </c>
      <c r="O1622" s="2"/>
      <c r="P1622" s="2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</row>
    <row r="1623" spans="1:32" s="1" customFormat="1" ht="20.25" customHeight="1" x14ac:dyDescent="0.25">
      <c r="A1623" s="2"/>
      <c r="B1623" s="2"/>
      <c r="C1623" s="2"/>
      <c r="D1623" s="2">
        <f>COUNTIF(contact[[#This Row],[Bagossy]:[Szo
03:00 - 10:00]],"=~?")</f>
        <v>0</v>
      </c>
      <c r="E1623" s="2">
        <f>COUNTIF(contact[[#This Row],[Bagossy]:[Szo
03:00 - 10:00]],"=x")</f>
        <v>0</v>
      </c>
      <c r="F1623" s="2">
        <f>SUM(contact[[#This Row],[?]:[x]])</f>
        <v>0</v>
      </c>
      <c r="G16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3" s="3" t="s">
        <v>4344</v>
      </c>
      <c r="K1623" s="1" t="s">
        <v>2</v>
      </c>
      <c r="L1623" s="1" t="s">
        <v>2</v>
      </c>
      <c r="M1623" s="1" t="s">
        <v>2</v>
      </c>
      <c r="O1623" s="2"/>
      <c r="P1623" s="2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</row>
    <row r="1624" spans="1:32" s="1" customFormat="1" ht="20.25" customHeight="1" x14ac:dyDescent="0.25">
      <c r="A1624" s="2"/>
      <c r="B1624" s="2"/>
      <c r="C1624" s="2"/>
      <c r="D1624" s="2">
        <f>COUNTIF(contact[[#This Row],[Bagossy]:[Szo
03:00 - 10:00]],"=~?")</f>
        <v>0</v>
      </c>
      <c r="E1624" s="2">
        <f>COUNTIF(contact[[#This Row],[Bagossy]:[Szo
03:00 - 10:00]],"=x")</f>
        <v>0</v>
      </c>
      <c r="F1624" s="2">
        <f>SUM(contact[[#This Row],[?]:[x]])</f>
        <v>0</v>
      </c>
      <c r="G16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24" s="2"/>
      <c r="I1624" s="2"/>
      <c r="J1624" s="3" t="s">
        <v>3382</v>
      </c>
      <c r="K1624" s="1" t="s">
        <v>92</v>
      </c>
      <c r="L1624" s="1" t="s">
        <v>2</v>
      </c>
      <c r="M1624" s="1" t="s">
        <v>2</v>
      </c>
      <c r="O1624" s="2"/>
      <c r="P1624" s="2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</row>
    <row r="1625" spans="1:32" s="1" customFormat="1" ht="20.25" customHeight="1" x14ac:dyDescent="0.25">
      <c r="A1625" s="2"/>
      <c r="B1625" s="2"/>
      <c r="C1625" s="2"/>
      <c r="D1625" s="2">
        <f>COUNTIF(contact[[#This Row],[Bagossy]:[Szo
03:00 - 10:00]],"=~?")</f>
        <v>0</v>
      </c>
      <c r="E1625" s="2">
        <f>COUNTIF(contact[[#This Row],[Bagossy]:[Szo
03:00 - 10:00]],"=x")</f>
        <v>0</v>
      </c>
      <c r="F1625" s="2">
        <f>SUM(contact[[#This Row],[?]:[x]])</f>
        <v>0</v>
      </c>
      <c r="G16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5" s="3" t="s">
        <v>4172</v>
      </c>
      <c r="K1625" s="1" t="s">
        <v>1802</v>
      </c>
      <c r="L1625" s="1" t="s">
        <v>2</v>
      </c>
      <c r="M1625" s="1" t="s">
        <v>2</v>
      </c>
      <c r="O1625" s="2"/>
      <c r="P1625" s="2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</row>
    <row r="1626" spans="1:32" s="1" customFormat="1" ht="20.25" customHeight="1" x14ac:dyDescent="0.25">
      <c r="A1626" s="2"/>
      <c r="B1626" s="2"/>
      <c r="C1626" s="2"/>
      <c r="D1626" s="2">
        <f>COUNTIF(contact[[#This Row],[Bagossy]:[Szo
03:00 - 10:00]],"=~?")</f>
        <v>0</v>
      </c>
      <c r="E1626" s="2">
        <f>COUNTIF(contact[[#This Row],[Bagossy]:[Szo
03:00 - 10:00]],"=x")</f>
        <v>0</v>
      </c>
      <c r="F1626" s="2">
        <f>SUM(contact[[#This Row],[?]:[x]])</f>
        <v>0</v>
      </c>
      <c r="G16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6" s="3" t="s">
        <v>3810</v>
      </c>
      <c r="K1626" s="1" t="s">
        <v>954</v>
      </c>
      <c r="L1626" s="1" t="s">
        <v>2</v>
      </c>
      <c r="M1626" s="1" t="s">
        <v>2</v>
      </c>
      <c r="O1626" s="2"/>
      <c r="P1626" s="2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</row>
    <row r="1627" spans="1:32" s="1" customFormat="1" ht="20.25" customHeight="1" x14ac:dyDescent="0.25">
      <c r="A1627" s="2"/>
      <c r="B1627" s="2"/>
      <c r="C1627" s="2"/>
      <c r="D1627" s="2">
        <f>COUNTIF(contact[[#This Row],[Bagossy]:[Szo
03:00 - 10:00]],"=~?")</f>
        <v>0</v>
      </c>
      <c r="E1627" s="2">
        <f>COUNTIF(contact[[#This Row],[Bagossy]:[Szo
03:00 - 10:00]],"=x")</f>
        <v>0</v>
      </c>
      <c r="F1627" s="2">
        <f>SUM(contact[[#This Row],[?]:[x]])</f>
        <v>0</v>
      </c>
      <c r="G16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7" s="3" t="s">
        <v>4499</v>
      </c>
      <c r="K1627" s="1" t="s">
        <v>1257</v>
      </c>
      <c r="L1627" s="1" t="s">
        <v>2</v>
      </c>
      <c r="M1627" s="1" t="s">
        <v>2</v>
      </c>
      <c r="O1627" s="2"/>
      <c r="P1627" s="2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</row>
    <row r="1628" spans="1:32" s="1" customFormat="1" ht="20.25" customHeight="1" x14ac:dyDescent="0.25">
      <c r="A1628" s="2"/>
      <c r="B1628" s="2"/>
      <c r="C1628" s="2"/>
      <c r="D1628" s="2">
        <f>COUNTIF(contact[[#This Row],[Bagossy]:[Szo
03:00 - 10:00]],"=~?")</f>
        <v>0</v>
      </c>
      <c r="E1628" s="2">
        <f>COUNTIF(contact[[#This Row],[Bagossy]:[Szo
03:00 - 10:00]],"=x")</f>
        <v>0</v>
      </c>
      <c r="F1628" s="2">
        <f>SUM(contact[[#This Row],[?]:[x]])</f>
        <v>0</v>
      </c>
      <c r="G16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28" s="2"/>
      <c r="I1628" s="2"/>
      <c r="J1628" s="3" t="s">
        <v>3384</v>
      </c>
      <c r="K1628" s="1" t="s">
        <v>1055</v>
      </c>
      <c r="L1628" s="1" t="s">
        <v>2</v>
      </c>
      <c r="M1628" s="1" t="s">
        <v>2</v>
      </c>
      <c r="O1628" s="2"/>
      <c r="P1628" s="2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</row>
    <row r="1629" spans="1:32" s="1" customFormat="1" ht="20.25" customHeight="1" x14ac:dyDescent="0.25">
      <c r="A1629" s="2"/>
      <c r="B1629" s="2"/>
      <c r="C1629" s="2"/>
      <c r="D1629" s="2">
        <f>COUNTIF(contact[[#This Row],[Bagossy]:[Szo
03:00 - 10:00]],"=~?")</f>
        <v>0</v>
      </c>
      <c r="E1629" s="2">
        <f>COUNTIF(contact[[#This Row],[Bagossy]:[Szo
03:00 - 10:00]],"=x")</f>
        <v>0</v>
      </c>
      <c r="F1629" s="2">
        <f>SUM(contact[[#This Row],[?]:[x]])</f>
        <v>0</v>
      </c>
      <c r="G16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29" s="3" t="s">
        <v>2402</v>
      </c>
      <c r="K1629" s="1" t="s">
        <v>2</v>
      </c>
      <c r="L1629" s="1" t="s">
        <v>2</v>
      </c>
      <c r="M1629" s="1" t="s">
        <v>2</v>
      </c>
      <c r="O1629" s="2"/>
      <c r="P1629" s="2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</row>
    <row r="1630" spans="1:32" s="1" customFormat="1" ht="20.25" customHeight="1" x14ac:dyDescent="0.25">
      <c r="A1630" s="2"/>
      <c r="B1630" s="2"/>
      <c r="C1630" s="2"/>
      <c r="D1630" s="2">
        <f>COUNTIF(contact[[#This Row],[Bagossy]:[Szo
03:00 - 10:00]],"=~?")</f>
        <v>0</v>
      </c>
      <c r="E1630" s="2">
        <f>COUNTIF(contact[[#This Row],[Bagossy]:[Szo
03:00 - 10:00]],"=x")</f>
        <v>0</v>
      </c>
      <c r="F1630" s="2">
        <f>SUM(contact[[#This Row],[?]:[x]])</f>
        <v>0</v>
      </c>
      <c r="G16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30" s="3" t="s">
        <v>785</v>
      </c>
      <c r="K1630" s="1" t="s">
        <v>2</v>
      </c>
      <c r="L1630" s="1" t="s">
        <v>2</v>
      </c>
      <c r="M1630" s="1" t="s">
        <v>2</v>
      </c>
      <c r="O1630" s="2"/>
      <c r="P1630" s="2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</row>
    <row r="1631" spans="1:32" s="1" customFormat="1" ht="20.25" customHeight="1" x14ac:dyDescent="0.25">
      <c r="A1631" s="2"/>
      <c r="B1631" s="2"/>
      <c r="C1631" s="2"/>
      <c r="D1631" s="2">
        <f>COUNTIF(contact[[#This Row],[Bagossy]:[Szo
03:00 - 10:00]],"=~?")</f>
        <v>0</v>
      </c>
      <c r="E1631" s="2">
        <f>COUNTIF(contact[[#This Row],[Bagossy]:[Szo
03:00 - 10:00]],"=x")</f>
        <v>0</v>
      </c>
      <c r="F1631" s="2">
        <f>SUM(contact[[#This Row],[?]:[x]])</f>
        <v>0</v>
      </c>
      <c r="G16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31" s="3" t="s">
        <v>2235</v>
      </c>
      <c r="K1631" s="1" t="s">
        <v>195</v>
      </c>
      <c r="L1631" s="1" t="s">
        <v>2</v>
      </c>
      <c r="M1631" s="1" t="s">
        <v>2</v>
      </c>
      <c r="O1631" s="2"/>
      <c r="P1631" s="2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</row>
    <row r="1632" spans="1:32" s="1" customFormat="1" ht="20.25" customHeight="1" x14ac:dyDescent="0.25">
      <c r="A1632" s="2"/>
      <c r="B1632" s="2"/>
      <c r="C1632" s="2"/>
      <c r="D1632" s="2">
        <f>COUNTIF(contact[[#This Row],[Bagossy]:[Szo
03:00 - 10:00]],"=~?")</f>
        <v>0</v>
      </c>
      <c r="E1632" s="2">
        <f>COUNTIF(contact[[#This Row],[Bagossy]:[Szo
03:00 - 10:00]],"=x")</f>
        <v>0</v>
      </c>
      <c r="F1632" s="2">
        <f>SUM(contact[[#This Row],[?]:[x]])</f>
        <v>0</v>
      </c>
      <c r="G16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32" s="3" t="s">
        <v>4544</v>
      </c>
      <c r="K1632" s="1" t="s">
        <v>2</v>
      </c>
      <c r="L1632" s="1" t="s">
        <v>2</v>
      </c>
      <c r="M1632" s="1" t="s">
        <v>2</v>
      </c>
      <c r="O1632" s="2"/>
      <c r="P1632" s="2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</row>
    <row r="1633" spans="1:32" s="1" customFormat="1" ht="20.25" customHeight="1" x14ac:dyDescent="0.25">
      <c r="A1633" s="2" t="s">
        <v>1285</v>
      </c>
      <c r="B1633" s="2" t="s">
        <v>1285</v>
      </c>
      <c r="C1633" s="2" t="s">
        <v>1285</v>
      </c>
      <c r="D1633" s="2">
        <f>COUNTIF(contact[[#This Row],[Bagossy]:[Szo
03:00 - 10:00]],"=~?")</f>
        <v>0</v>
      </c>
      <c r="E1633" s="2">
        <f>COUNTIF(contact[[#This Row],[Bagossy]:[Szo
03:00 - 10:00]],"=x")</f>
        <v>4</v>
      </c>
      <c r="F1633" s="2">
        <f>SUM(contact[[#This Row],[?]:[x]])</f>
        <v>4</v>
      </c>
      <c r="G1633" s="2">
        <f>COUNTIF(contact[[#This Row],[Sze
10:00 - 22:00]:[Cs
03:00 - 08:00]],"=x")+COUNTIF(contact[[#This Row],[P
08:00 - 12:00]:[P
03:00 - 08:00]],"=x")+COUNTIF(contact[[#This Row],[Szo
08:00 - 12:00]:[Szo
03:00 - 10:00]],"=x")</f>
        <v>3</v>
      </c>
      <c r="H1633" s="2" t="s">
        <v>4620</v>
      </c>
      <c r="I1633" s="2"/>
      <c r="J1633" s="3" t="s">
        <v>3386</v>
      </c>
      <c r="K1633" s="1" t="s">
        <v>1628</v>
      </c>
      <c r="L1633" s="1" t="s">
        <v>2</v>
      </c>
      <c r="M1633" s="1" t="s">
        <v>2</v>
      </c>
      <c r="N1633" s="2" t="s">
        <v>4612</v>
      </c>
      <c r="O1633" s="2" t="s">
        <v>1285</v>
      </c>
      <c r="P1633" s="2"/>
      <c r="Q1633" s="6" t="s">
        <v>1285</v>
      </c>
      <c r="R1633" s="6"/>
      <c r="S1633" s="6"/>
      <c r="T1633" s="6" t="s">
        <v>1285</v>
      </c>
      <c r="U1633" s="6" t="s">
        <v>1285</v>
      </c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</row>
    <row r="1634" spans="1:32" s="1" customFormat="1" ht="20.25" customHeight="1" x14ac:dyDescent="0.25">
      <c r="A1634" s="2"/>
      <c r="B1634" s="2"/>
      <c r="C1634" s="2"/>
      <c r="D1634" s="2">
        <f>COUNTIF(contact[[#This Row],[Bagossy]:[Szo
03:00 - 10:00]],"=~?")</f>
        <v>0</v>
      </c>
      <c r="E1634" s="2">
        <f>COUNTIF(contact[[#This Row],[Bagossy]:[Szo
03:00 - 10:00]],"=x")</f>
        <v>0</v>
      </c>
      <c r="F1634" s="2">
        <f>SUM(contact[[#This Row],[?]:[x]])</f>
        <v>0</v>
      </c>
      <c r="G16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34" s="2"/>
      <c r="I1634" s="2"/>
      <c r="J1634" s="3" t="s">
        <v>3387</v>
      </c>
      <c r="K1634" s="1" t="s">
        <v>940</v>
      </c>
      <c r="L1634" s="1" t="s">
        <v>2</v>
      </c>
      <c r="M1634" s="1" t="s">
        <v>2</v>
      </c>
      <c r="O1634" s="2"/>
      <c r="P1634" s="2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</row>
    <row r="1635" spans="1:32" s="1" customFormat="1" ht="20.25" customHeight="1" x14ac:dyDescent="0.25">
      <c r="A1635" s="2"/>
      <c r="B1635" s="2"/>
      <c r="C1635" s="2" t="s">
        <v>1285</v>
      </c>
      <c r="D1635" s="2">
        <f>COUNTIF(contact[[#This Row],[Bagossy]:[Szo
03:00 - 10:00]],"=~?")</f>
        <v>0</v>
      </c>
      <c r="E1635" s="2">
        <f>COUNTIF(contact[[#This Row],[Bagossy]:[Szo
03:00 - 10:00]],"=x")</f>
        <v>0</v>
      </c>
      <c r="F1635" s="2">
        <f>SUM(contact[[#This Row],[?]:[x]])</f>
        <v>0</v>
      </c>
      <c r="G16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35" s="2"/>
      <c r="I1635" s="2"/>
      <c r="J1635" s="3" t="s">
        <v>3410</v>
      </c>
      <c r="K1635" s="1" t="s">
        <v>196</v>
      </c>
      <c r="L1635" s="1" t="s">
        <v>2</v>
      </c>
      <c r="M1635" s="1" t="s">
        <v>2</v>
      </c>
      <c r="O1635" s="2"/>
      <c r="P1635" s="2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</row>
    <row r="1636" spans="1:32" s="1" customFormat="1" ht="20.25" customHeight="1" x14ac:dyDescent="0.25">
      <c r="A1636" s="2"/>
      <c r="B1636" s="2"/>
      <c r="C1636" s="2"/>
      <c r="D1636" s="2">
        <f>COUNTIF(contact[[#This Row],[Bagossy]:[Szo
03:00 - 10:00]],"=~?")</f>
        <v>0</v>
      </c>
      <c r="E1636" s="2">
        <f>COUNTIF(contact[[#This Row],[Bagossy]:[Szo
03:00 - 10:00]],"=x")</f>
        <v>0</v>
      </c>
      <c r="F1636" s="2">
        <f>SUM(contact[[#This Row],[?]:[x]])</f>
        <v>0</v>
      </c>
      <c r="G16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36" s="3" t="s">
        <v>2347</v>
      </c>
      <c r="K1636" s="1" t="s">
        <v>1327</v>
      </c>
      <c r="L1636" s="1" t="s">
        <v>2</v>
      </c>
      <c r="M1636" s="1" t="s">
        <v>2</v>
      </c>
      <c r="O1636" s="2"/>
      <c r="P1636" s="2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</row>
    <row r="1637" spans="1:32" s="1" customFormat="1" ht="20.25" customHeight="1" x14ac:dyDescent="0.25">
      <c r="A1637" s="2"/>
      <c r="B1637" s="2"/>
      <c r="C1637" s="2"/>
      <c r="D1637" s="2">
        <f>COUNTIF(contact[[#This Row],[Bagossy]:[Szo
03:00 - 10:00]],"=~?")</f>
        <v>0</v>
      </c>
      <c r="E1637" s="2">
        <f>COUNTIF(contact[[#This Row],[Bagossy]:[Szo
03:00 - 10:00]],"=x")</f>
        <v>0</v>
      </c>
      <c r="F1637" s="2">
        <f>SUM(contact[[#This Row],[?]:[x]])</f>
        <v>0</v>
      </c>
      <c r="G16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37" s="3" t="s">
        <v>4545</v>
      </c>
      <c r="K1637" s="1" t="s">
        <v>1327</v>
      </c>
      <c r="L1637" s="1" t="s">
        <v>2</v>
      </c>
      <c r="M1637" s="1" t="s">
        <v>2</v>
      </c>
      <c r="O1637" s="2"/>
      <c r="P1637" s="2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</row>
    <row r="1638" spans="1:32" s="1" customFormat="1" ht="20.25" customHeight="1" x14ac:dyDescent="0.25">
      <c r="A1638" s="2"/>
      <c r="B1638" s="2"/>
      <c r="C1638" s="2"/>
      <c r="D1638" s="2">
        <f>COUNTIF(contact[[#This Row],[Bagossy]:[Szo
03:00 - 10:00]],"=~?")</f>
        <v>0</v>
      </c>
      <c r="E1638" s="2">
        <f>COUNTIF(contact[[#This Row],[Bagossy]:[Szo
03:00 - 10:00]],"=x")</f>
        <v>0</v>
      </c>
      <c r="F1638" s="2">
        <f>SUM(contact[[#This Row],[?]:[x]])</f>
        <v>0</v>
      </c>
      <c r="G16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38" s="2"/>
      <c r="I1638" s="2"/>
      <c r="J1638" s="3" t="s">
        <v>3411</v>
      </c>
      <c r="K1638" s="1" t="s">
        <v>1636</v>
      </c>
      <c r="L1638" s="1" t="s">
        <v>2</v>
      </c>
      <c r="M1638" s="1" t="s">
        <v>2</v>
      </c>
      <c r="O1638" s="2"/>
      <c r="P1638" s="2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</row>
    <row r="1639" spans="1:32" s="1" customFormat="1" ht="20.25" customHeight="1" x14ac:dyDescent="0.25">
      <c r="A1639" s="2"/>
      <c r="B1639" s="2"/>
      <c r="C1639" s="2"/>
      <c r="D1639" s="2">
        <f>COUNTIF(contact[[#This Row],[Bagossy]:[Szo
03:00 - 10:00]],"=~?")</f>
        <v>0</v>
      </c>
      <c r="E1639" s="2">
        <f>COUNTIF(contact[[#This Row],[Bagossy]:[Szo
03:00 - 10:00]],"=x")</f>
        <v>0</v>
      </c>
      <c r="F1639" s="2">
        <f>SUM(contact[[#This Row],[?]:[x]])</f>
        <v>0</v>
      </c>
      <c r="G16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39" s="3" t="s">
        <v>2562</v>
      </c>
      <c r="K1639" s="1" t="s">
        <v>377</v>
      </c>
      <c r="L1639" s="1" t="s">
        <v>2</v>
      </c>
      <c r="M1639" s="1" t="s">
        <v>2</v>
      </c>
      <c r="O1639" s="2"/>
      <c r="P1639" s="2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</row>
    <row r="1640" spans="1:32" s="1" customFormat="1" ht="20.25" customHeight="1" x14ac:dyDescent="0.25">
      <c r="A1640" s="2"/>
      <c r="B1640" s="2"/>
      <c r="C1640" s="2"/>
      <c r="D1640" s="2">
        <f>COUNTIF(contact[[#This Row],[Bagossy]:[Szo
03:00 - 10:00]],"=~?")</f>
        <v>0</v>
      </c>
      <c r="E1640" s="2">
        <f>COUNTIF(contact[[#This Row],[Bagossy]:[Szo
03:00 - 10:00]],"=x")</f>
        <v>0</v>
      </c>
      <c r="F1640" s="2">
        <f>SUM(contact[[#This Row],[?]:[x]])</f>
        <v>0</v>
      </c>
      <c r="G16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0" s="3" t="s">
        <v>3288</v>
      </c>
      <c r="K1640" s="1" t="s">
        <v>39</v>
      </c>
      <c r="L1640" s="1" t="s">
        <v>2</v>
      </c>
      <c r="M1640" s="1" t="s">
        <v>2</v>
      </c>
      <c r="O1640" s="2"/>
      <c r="P1640" s="2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</row>
    <row r="1641" spans="1:32" s="1" customFormat="1" ht="20.25" customHeight="1" x14ac:dyDescent="0.25">
      <c r="A1641" s="2"/>
      <c r="B1641" s="2"/>
      <c r="C1641" s="2"/>
      <c r="D1641" s="2">
        <f>COUNTIF(contact[[#This Row],[Bagossy]:[Szo
03:00 - 10:00]],"=~?")</f>
        <v>0</v>
      </c>
      <c r="E1641" s="2">
        <f>COUNTIF(contact[[#This Row],[Bagossy]:[Szo
03:00 - 10:00]],"=x")</f>
        <v>0</v>
      </c>
      <c r="F1641" s="2">
        <f>SUM(contact[[#This Row],[?]:[x]])</f>
        <v>0</v>
      </c>
      <c r="G16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1" s="3" t="s">
        <v>3825</v>
      </c>
      <c r="K1641" s="1" t="s">
        <v>2</v>
      </c>
      <c r="L1641" s="1" t="s">
        <v>2</v>
      </c>
      <c r="M1641" s="1" t="s">
        <v>2</v>
      </c>
      <c r="O1641" s="2"/>
      <c r="P1641" s="2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</row>
    <row r="1642" spans="1:32" s="1" customFormat="1" ht="20.25" customHeight="1" x14ac:dyDescent="0.25">
      <c r="A1642" s="2"/>
      <c r="B1642" s="2"/>
      <c r="C1642" s="2"/>
      <c r="D1642" s="2">
        <f>COUNTIF(contact[[#This Row],[Bagossy]:[Szo
03:00 - 10:00]],"=~?")</f>
        <v>0</v>
      </c>
      <c r="E1642" s="2">
        <f>COUNTIF(contact[[#This Row],[Bagossy]:[Szo
03:00 - 10:00]],"=x")</f>
        <v>0</v>
      </c>
      <c r="F1642" s="2">
        <f>SUM(contact[[#This Row],[?]:[x]])</f>
        <v>0</v>
      </c>
      <c r="G16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2" s="3" t="s">
        <v>789</v>
      </c>
      <c r="K1642" s="1" t="s">
        <v>2</v>
      </c>
      <c r="L1642" s="1" t="s">
        <v>2</v>
      </c>
      <c r="M1642" s="1" t="s">
        <v>2</v>
      </c>
      <c r="O1642" s="2"/>
      <c r="P1642" s="2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</row>
    <row r="1643" spans="1:32" s="1" customFormat="1" ht="20.25" customHeight="1" x14ac:dyDescent="0.25">
      <c r="A1643" s="2"/>
      <c r="B1643" s="2"/>
      <c r="C1643" s="2"/>
      <c r="D1643" s="2">
        <f>COUNTIF(contact[[#This Row],[Bagossy]:[Szo
03:00 - 10:00]],"=~?")</f>
        <v>0</v>
      </c>
      <c r="E1643" s="2">
        <f>COUNTIF(contact[[#This Row],[Bagossy]:[Szo
03:00 - 10:00]],"=x")</f>
        <v>0</v>
      </c>
      <c r="F1643" s="2">
        <f>SUM(contact[[#This Row],[?]:[x]])</f>
        <v>0</v>
      </c>
      <c r="G16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3" s="3" t="s">
        <v>2060</v>
      </c>
      <c r="K1643" s="1" t="s">
        <v>1327</v>
      </c>
      <c r="L1643" s="1" t="s">
        <v>2</v>
      </c>
      <c r="M1643" s="1" t="s">
        <v>2</v>
      </c>
      <c r="O1643" s="2"/>
      <c r="P1643" s="2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</row>
    <row r="1644" spans="1:32" s="1" customFormat="1" ht="20.25" customHeight="1" x14ac:dyDescent="0.25">
      <c r="A1644" s="2"/>
      <c r="B1644" s="2"/>
      <c r="C1644" s="2"/>
      <c r="D1644" s="2">
        <f>COUNTIF(contact[[#This Row],[Bagossy]:[Szo
03:00 - 10:00]],"=~?")</f>
        <v>0</v>
      </c>
      <c r="E1644" s="2">
        <f>COUNTIF(contact[[#This Row],[Bagossy]:[Szo
03:00 - 10:00]],"=x")</f>
        <v>0</v>
      </c>
      <c r="F1644" s="2">
        <f>SUM(contact[[#This Row],[?]:[x]])</f>
        <v>0</v>
      </c>
      <c r="G16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4" s="3" t="s">
        <v>2621</v>
      </c>
      <c r="K1644" s="1" t="s">
        <v>414</v>
      </c>
      <c r="L1644" s="1" t="s">
        <v>2</v>
      </c>
      <c r="M1644" s="1" t="s">
        <v>2</v>
      </c>
      <c r="O1644" s="2"/>
      <c r="P1644" s="2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</row>
    <row r="1645" spans="1:32" s="1" customFormat="1" ht="20.25" customHeight="1" x14ac:dyDescent="0.25">
      <c r="A1645" s="2"/>
      <c r="B1645" s="2"/>
      <c r="C1645" s="2"/>
      <c r="D1645" s="2">
        <f>COUNTIF(contact[[#This Row],[Bagossy]:[Szo
03:00 - 10:00]],"=~?")</f>
        <v>0</v>
      </c>
      <c r="E1645" s="2">
        <f>COUNTIF(contact[[#This Row],[Bagossy]:[Szo
03:00 - 10:00]],"=x")</f>
        <v>0</v>
      </c>
      <c r="F1645" s="2">
        <f>SUM(contact[[#This Row],[?]:[x]])</f>
        <v>0</v>
      </c>
      <c r="G16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5" s="3" t="s">
        <v>2715</v>
      </c>
      <c r="K1645" s="1" t="s">
        <v>457</v>
      </c>
      <c r="L1645" s="1" t="s">
        <v>2</v>
      </c>
      <c r="M1645" s="1" t="s">
        <v>2</v>
      </c>
      <c r="O1645" s="2"/>
      <c r="P1645" s="2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</row>
    <row r="1646" spans="1:32" s="1" customFormat="1" ht="20.25" customHeight="1" x14ac:dyDescent="0.25">
      <c r="A1646" s="2"/>
      <c r="B1646" s="2"/>
      <c r="C1646" s="2"/>
      <c r="D1646" s="2">
        <f>COUNTIF(contact[[#This Row],[Bagossy]:[Szo
03:00 - 10:00]],"=~?")</f>
        <v>0</v>
      </c>
      <c r="E1646" s="2">
        <f>COUNTIF(contact[[#This Row],[Bagossy]:[Szo
03:00 - 10:00]],"=x")</f>
        <v>0</v>
      </c>
      <c r="F1646" s="2">
        <f>SUM(contact[[#This Row],[?]:[x]])</f>
        <v>0</v>
      </c>
      <c r="G16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6" s="3" t="s">
        <v>2791</v>
      </c>
      <c r="K1646" s="1" t="s">
        <v>497</v>
      </c>
      <c r="L1646" s="1" t="s">
        <v>2</v>
      </c>
      <c r="M1646" s="1" t="s">
        <v>2</v>
      </c>
      <c r="O1646" s="2"/>
      <c r="P1646" s="2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</row>
    <row r="1647" spans="1:32" s="1" customFormat="1" ht="20.25" customHeight="1" x14ac:dyDescent="0.25">
      <c r="A1647" s="2"/>
      <c r="B1647" s="2"/>
      <c r="C1647" s="2"/>
      <c r="D1647" s="2">
        <f>COUNTIF(contact[[#This Row],[Bagossy]:[Szo
03:00 - 10:00]],"=~?")</f>
        <v>0</v>
      </c>
      <c r="E1647" s="2">
        <f>COUNTIF(contact[[#This Row],[Bagossy]:[Szo
03:00 - 10:00]],"=x")</f>
        <v>0</v>
      </c>
      <c r="F1647" s="2">
        <f>SUM(contact[[#This Row],[?]:[x]])</f>
        <v>0</v>
      </c>
      <c r="G16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7" s="3" t="s">
        <v>2981</v>
      </c>
      <c r="K1647" s="1" t="s">
        <v>2</v>
      </c>
      <c r="L1647" s="1" t="s">
        <v>2</v>
      </c>
      <c r="M1647" s="1" t="s">
        <v>2</v>
      </c>
      <c r="O1647" s="2"/>
      <c r="P1647" s="2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</row>
    <row r="1648" spans="1:32" s="1" customFormat="1" ht="20.25" customHeight="1" x14ac:dyDescent="0.25">
      <c r="A1648" s="2"/>
      <c r="B1648" s="2"/>
      <c r="C1648" s="2"/>
      <c r="D1648" s="2">
        <f>COUNTIF(contact[[#This Row],[Bagossy]:[Szo
03:00 - 10:00]],"=~?")</f>
        <v>0</v>
      </c>
      <c r="E1648" s="2">
        <f>COUNTIF(contact[[#This Row],[Bagossy]:[Szo
03:00 - 10:00]],"=x")</f>
        <v>0</v>
      </c>
      <c r="F1648" s="2">
        <f>SUM(contact[[#This Row],[?]:[x]])</f>
        <v>0</v>
      </c>
      <c r="G16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8" s="3" t="s">
        <v>3308</v>
      </c>
      <c r="K1648" s="1" t="s">
        <v>2</v>
      </c>
      <c r="L1648" s="1" t="s">
        <v>2</v>
      </c>
      <c r="M1648" s="1" t="s">
        <v>2</v>
      </c>
      <c r="O1648" s="2"/>
      <c r="P1648" s="2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</row>
    <row r="1649" spans="1:32" s="1" customFormat="1" ht="20.25" customHeight="1" x14ac:dyDescent="0.25">
      <c r="A1649" s="2"/>
      <c r="B1649" s="2"/>
      <c r="C1649" s="2"/>
      <c r="D1649" s="2">
        <f>COUNTIF(contact[[#This Row],[Bagossy]:[Szo
03:00 - 10:00]],"=~?")</f>
        <v>0</v>
      </c>
      <c r="E1649" s="2">
        <f>COUNTIF(contact[[#This Row],[Bagossy]:[Szo
03:00 - 10:00]],"=x")</f>
        <v>0</v>
      </c>
      <c r="F1649" s="2">
        <f>SUM(contact[[#This Row],[?]:[x]])</f>
        <v>0</v>
      </c>
      <c r="G16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49" s="3" t="s">
        <v>3469</v>
      </c>
      <c r="K1649" s="1" t="s">
        <v>2</v>
      </c>
      <c r="L1649" s="1" t="s">
        <v>2</v>
      </c>
      <c r="M1649" s="1" t="s">
        <v>2</v>
      </c>
      <c r="O1649" s="2"/>
      <c r="P1649" s="2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</row>
    <row r="1650" spans="1:32" s="1" customFormat="1" ht="20.25" customHeight="1" x14ac:dyDescent="0.25">
      <c r="A1650" s="2"/>
      <c r="B1650" s="2"/>
      <c r="C1650" s="2"/>
      <c r="D1650" s="2">
        <f>COUNTIF(contact[[#This Row],[Bagossy]:[Szo
03:00 - 10:00]],"=~?")</f>
        <v>0</v>
      </c>
      <c r="E1650" s="2">
        <f>COUNTIF(contact[[#This Row],[Bagossy]:[Szo
03:00 - 10:00]],"=x")</f>
        <v>0</v>
      </c>
      <c r="F1650" s="2">
        <f>SUM(contact[[#This Row],[?]:[x]])</f>
        <v>0</v>
      </c>
      <c r="G16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50" s="3" t="s">
        <v>3522</v>
      </c>
      <c r="K1650" s="1" t="s">
        <v>824</v>
      </c>
      <c r="L1650" s="1" t="s">
        <v>2</v>
      </c>
      <c r="M1650" s="1" t="s">
        <v>2</v>
      </c>
      <c r="O1650" s="2"/>
      <c r="P1650" s="2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</row>
    <row r="1651" spans="1:32" s="1" customFormat="1" ht="20.25" customHeight="1" x14ac:dyDescent="0.25">
      <c r="A1651" s="2"/>
      <c r="B1651" s="2"/>
      <c r="C1651" s="2"/>
      <c r="D1651" s="2">
        <f>COUNTIF(contact[[#This Row],[Bagossy]:[Szo
03:00 - 10:00]],"=~?")</f>
        <v>0</v>
      </c>
      <c r="E1651" s="2">
        <f>COUNTIF(contact[[#This Row],[Bagossy]:[Szo
03:00 - 10:00]],"=x")</f>
        <v>0</v>
      </c>
      <c r="F1651" s="2">
        <f>SUM(contact[[#This Row],[?]:[x]])</f>
        <v>0</v>
      </c>
      <c r="G16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51" s="3" t="s">
        <v>3811</v>
      </c>
      <c r="K1651" s="1" t="s">
        <v>1718</v>
      </c>
      <c r="L1651" s="1" t="s">
        <v>2</v>
      </c>
      <c r="M1651" s="1" t="s">
        <v>2</v>
      </c>
      <c r="O1651" s="2"/>
      <c r="P1651" s="2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</row>
    <row r="1652" spans="1:32" s="1" customFormat="1" ht="20.25" customHeight="1" x14ac:dyDescent="0.25">
      <c r="A1652" s="2"/>
      <c r="B1652" s="2"/>
      <c r="C1652" s="2"/>
      <c r="D1652" s="2">
        <f>COUNTIF(contact[[#This Row],[Bagossy]:[Szo
03:00 - 10:00]],"=~?")</f>
        <v>0</v>
      </c>
      <c r="E1652" s="2">
        <f>COUNTIF(contact[[#This Row],[Bagossy]:[Szo
03:00 - 10:00]],"=x")</f>
        <v>0</v>
      </c>
      <c r="F1652" s="2">
        <f>SUM(contact[[#This Row],[?]:[x]])</f>
        <v>0</v>
      </c>
      <c r="G16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52" s="3" t="s">
        <v>3956</v>
      </c>
      <c r="K1652" s="1" t="s">
        <v>1039</v>
      </c>
      <c r="L1652" s="1" t="s">
        <v>2</v>
      </c>
      <c r="M1652" s="1" t="s">
        <v>2</v>
      </c>
      <c r="O1652" s="2"/>
      <c r="P1652" s="2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</row>
    <row r="1653" spans="1:32" s="1" customFormat="1" ht="20.25" customHeight="1" x14ac:dyDescent="0.25">
      <c r="A1653" s="2"/>
      <c r="B1653" s="2"/>
      <c r="C1653" s="2"/>
      <c r="D1653" s="2">
        <f>COUNTIF(contact[[#This Row],[Bagossy]:[Szo
03:00 - 10:00]],"=~?")</f>
        <v>0</v>
      </c>
      <c r="E1653" s="2">
        <f>COUNTIF(contact[[#This Row],[Bagossy]:[Szo
03:00 - 10:00]],"=x")</f>
        <v>0</v>
      </c>
      <c r="F1653" s="2">
        <f>SUM(contact[[#This Row],[?]:[x]])</f>
        <v>0</v>
      </c>
      <c r="G16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53" s="2"/>
      <c r="I1653" s="2"/>
      <c r="J1653" s="3" t="s">
        <v>3413</v>
      </c>
      <c r="K1653" s="1" t="s">
        <v>734</v>
      </c>
      <c r="L1653" s="1" t="s">
        <v>2</v>
      </c>
      <c r="M1653" s="1" t="s">
        <v>2</v>
      </c>
      <c r="O1653" s="2"/>
      <c r="P1653" s="2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</row>
    <row r="1654" spans="1:32" s="1" customFormat="1" ht="20.25" customHeight="1" x14ac:dyDescent="0.25">
      <c r="A1654" s="2" t="s">
        <v>1285</v>
      </c>
      <c r="B1654" s="2" t="s">
        <v>1285</v>
      </c>
      <c r="C1654" s="2" t="s">
        <v>1285</v>
      </c>
      <c r="D1654" s="2">
        <f>COUNTIF(contact[[#This Row],[Bagossy]:[Szo
03:00 - 10:00]],"=~?")</f>
        <v>0</v>
      </c>
      <c r="E1654" s="2">
        <f>COUNTIF(contact[[#This Row],[Bagossy]:[Szo
03:00 - 10:00]],"=x")</f>
        <v>0</v>
      </c>
      <c r="F1654" s="2">
        <f>SUM(contact[[#This Row],[?]:[x]])</f>
        <v>0</v>
      </c>
      <c r="G16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54" s="2" t="s">
        <v>4616</v>
      </c>
      <c r="I1654" s="2"/>
      <c r="J1654" s="3" t="s">
        <v>3415</v>
      </c>
      <c r="K1654" s="1" t="s">
        <v>1638</v>
      </c>
      <c r="L1654" s="1" t="s">
        <v>2</v>
      </c>
      <c r="M1654" s="1" t="s">
        <v>2</v>
      </c>
      <c r="N1654" s="2" t="s">
        <v>4612</v>
      </c>
      <c r="O1654" s="2"/>
      <c r="P1654" s="2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</row>
    <row r="1655" spans="1:32" s="1" customFormat="1" ht="20.25" customHeight="1" x14ac:dyDescent="0.25">
      <c r="A1655" s="2"/>
      <c r="B1655" s="2"/>
      <c r="C1655" s="2"/>
      <c r="D1655" s="2">
        <f>COUNTIF(contact[[#This Row],[Bagossy]:[Szo
03:00 - 10:00]],"=~?")</f>
        <v>0</v>
      </c>
      <c r="E1655" s="2">
        <f>COUNTIF(contact[[#This Row],[Bagossy]:[Szo
03:00 - 10:00]],"=x")</f>
        <v>0</v>
      </c>
      <c r="F1655" s="2">
        <f>SUM(contact[[#This Row],[?]:[x]])</f>
        <v>0</v>
      </c>
      <c r="G16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55" s="3" t="s">
        <v>3580</v>
      </c>
      <c r="K1655" s="1" t="s">
        <v>859</v>
      </c>
      <c r="L1655" s="1" t="s">
        <v>2</v>
      </c>
      <c r="M1655" s="1" t="s">
        <v>2</v>
      </c>
      <c r="O1655" s="2"/>
      <c r="P1655" s="2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</row>
    <row r="1656" spans="1:32" s="1" customFormat="1" ht="20.25" customHeight="1" x14ac:dyDescent="0.25">
      <c r="A1656" s="2" t="s">
        <v>1285</v>
      </c>
      <c r="B1656" s="2" t="s">
        <v>1285</v>
      </c>
      <c r="C1656" s="2" t="s">
        <v>1285</v>
      </c>
      <c r="D1656" s="2">
        <f>COUNTIF(contact[[#This Row],[Bagossy]:[Szo
03:00 - 10:00]],"=~?")</f>
        <v>1</v>
      </c>
      <c r="E1656" s="2">
        <f>COUNTIF(contact[[#This Row],[Bagossy]:[Szo
03:00 - 10:00]],"=x")</f>
        <v>7</v>
      </c>
      <c r="F1656" s="2">
        <f>SUM(contact[[#This Row],[?]:[x]])</f>
        <v>8</v>
      </c>
      <c r="G1656" s="2">
        <f>COUNTIF(contact[[#This Row],[Sze
10:00 - 22:00]:[Cs
03:00 - 08:00]],"=x")+COUNTIF(contact[[#This Row],[P
08:00 - 12:00]:[P
03:00 - 08:00]],"=x")+COUNTIF(contact[[#This Row],[Szo
08:00 - 12:00]:[Szo
03:00 - 10:00]],"=x")</f>
        <v>7</v>
      </c>
      <c r="H1656" s="2" t="s">
        <v>4623</v>
      </c>
      <c r="I1656" s="2"/>
      <c r="J1656" s="3" t="s">
        <v>3428</v>
      </c>
      <c r="K1656" s="1" t="s">
        <v>1145</v>
      </c>
      <c r="L1656" s="1" t="s">
        <v>2</v>
      </c>
      <c r="M1656" s="1" t="s">
        <v>2</v>
      </c>
      <c r="N1656" s="2" t="s">
        <v>4612</v>
      </c>
      <c r="O1656" s="2"/>
      <c r="P1656" s="2"/>
      <c r="Q1656" s="6" t="s">
        <v>4623</v>
      </c>
      <c r="R1656" s="6" t="s">
        <v>1285</v>
      </c>
      <c r="S1656" s="6" t="s">
        <v>1285</v>
      </c>
      <c r="T1656" s="6" t="s">
        <v>1285</v>
      </c>
      <c r="U1656" s="6" t="s">
        <v>4616</v>
      </c>
      <c r="V1656" s="6"/>
      <c r="W1656" s="6"/>
      <c r="X1656" s="6" t="s">
        <v>1285</v>
      </c>
      <c r="Y1656" s="6" t="s">
        <v>1285</v>
      </c>
      <c r="Z1656" s="6"/>
      <c r="AA1656" s="6"/>
      <c r="AB1656" s="6"/>
      <c r="AC1656" s="6" t="s">
        <v>1285</v>
      </c>
      <c r="AD1656" s="6" t="s">
        <v>1285</v>
      </c>
      <c r="AE1656" s="6"/>
      <c r="AF1656" s="6"/>
    </row>
    <row r="1657" spans="1:32" s="1" customFormat="1" ht="20.25" customHeight="1" x14ac:dyDescent="0.25">
      <c r="A1657" s="2"/>
      <c r="B1657" s="2"/>
      <c r="C1657" s="2"/>
      <c r="D1657" s="2">
        <f>COUNTIF(contact[[#This Row],[Bagossy]:[Szo
03:00 - 10:00]],"=~?")</f>
        <v>0</v>
      </c>
      <c r="E1657" s="2">
        <f>COUNTIF(contact[[#This Row],[Bagossy]:[Szo
03:00 - 10:00]],"=x")</f>
        <v>0</v>
      </c>
      <c r="F1657" s="2">
        <f>SUM(contact[[#This Row],[?]:[x]])</f>
        <v>0</v>
      </c>
      <c r="G16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57" s="3" t="s">
        <v>791</v>
      </c>
      <c r="K1657" s="1" t="s">
        <v>2</v>
      </c>
      <c r="L1657" s="1" t="s">
        <v>2</v>
      </c>
      <c r="M1657" s="1" t="s">
        <v>2</v>
      </c>
      <c r="O1657" s="2"/>
      <c r="P1657" s="2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</row>
    <row r="1658" spans="1:32" s="1" customFormat="1" ht="20.25" customHeight="1" x14ac:dyDescent="0.25">
      <c r="A1658" s="2"/>
      <c r="B1658" s="2"/>
      <c r="C1658" s="2"/>
      <c r="D1658" s="2">
        <f>COUNTIF(contact[[#This Row],[Bagossy]:[Szo
03:00 - 10:00]],"=~?")</f>
        <v>0</v>
      </c>
      <c r="E1658" s="2">
        <f>COUNTIF(contact[[#This Row],[Bagossy]:[Szo
03:00 - 10:00]],"=x")</f>
        <v>0</v>
      </c>
      <c r="F1658" s="2">
        <f>SUM(contact[[#This Row],[?]:[x]])</f>
        <v>0</v>
      </c>
      <c r="G16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58" s="3" t="s">
        <v>793</v>
      </c>
      <c r="K1658" s="1" t="s">
        <v>2</v>
      </c>
      <c r="L1658" s="1" t="s">
        <v>2</v>
      </c>
      <c r="M1658" s="1" t="s">
        <v>2</v>
      </c>
      <c r="O1658" s="2"/>
      <c r="P1658" s="2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</row>
    <row r="1659" spans="1:32" s="1" customFormat="1" ht="20.25" customHeight="1" x14ac:dyDescent="0.25">
      <c r="A1659" s="2"/>
      <c r="B1659" s="2"/>
      <c r="C1659" s="2"/>
      <c r="D1659" s="2">
        <f>COUNTIF(contact[[#This Row],[Bagossy]:[Szo
03:00 - 10:00]],"=~?")</f>
        <v>0</v>
      </c>
      <c r="E1659" s="2">
        <f>COUNTIF(contact[[#This Row],[Bagossy]:[Szo
03:00 - 10:00]],"=x")</f>
        <v>0</v>
      </c>
      <c r="F1659" s="2">
        <f>SUM(contact[[#This Row],[?]:[x]])</f>
        <v>0</v>
      </c>
      <c r="G16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59" s="3" t="s">
        <v>792</v>
      </c>
      <c r="K1659" s="1" t="s">
        <v>2</v>
      </c>
      <c r="L1659" s="1" t="s">
        <v>2</v>
      </c>
      <c r="M1659" s="1" t="s">
        <v>2</v>
      </c>
      <c r="O1659" s="2"/>
      <c r="P1659" s="2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</row>
    <row r="1660" spans="1:32" s="1" customFormat="1" ht="20.25" customHeight="1" x14ac:dyDescent="0.25">
      <c r="A1660" s="2"/>
      <c r="B1660" s="2"/>
      <c r="C1660" s="2"/>
      <c r="D1660" s="2">
        <f>COUNTIF(contact[[#This Row],[Bagossy]:[Szo
03:00 - 10:00]],"=~?")</f>
        <v>0</v>
      </c>
      <c r="E1660" s="2">
        <f>COUNTIF(contact[[#This Row],[Bagossy]:[Szo
03:00 - 10:00]],"=x")</f>
        <v>0</v>
      </c>
      <c r="F1660" s="2">
        <f>SUM(contact[[#This Row],[?]:[x]])</f>
        <v>0</v>
      </c>
      <c r="G16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0" s="3" t="s">
        <v>2257</v>
      </c>
      <c r="K1660" s="1" t="s">
        <v>1313</v>
      </c>
      <c r="L1660" s="1" t="s">
        <v>2</v>
      </c>
      <c r="M1660" s="1" t="s">
        <v>2</v>
      </c>
      <c r="O1660" s="2"/>
      <c r="P1660" s="2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</row>
    <row r="1661" spans="1:32" s="1" customFormat="1" ht="20.25" customHeight="1" x14ac:dyDescent="0.25">
      <c r="A1661" s="2"/>
      <c r="B1661" s="2"/>
      <c r="C1661" s="2"/>
      <c r="D1661" s="2">
        <f>COUNTIF(contact[[#This Row],[Bagossy]:[Szo
03:00 - 10:00]],"=~?")</f>
        <v>0</v>
      </c>
      <c r="E1661" s="2">
        <f>COUNTIF(contact[[#This Row],[Bagossy]:[Szo
03:00 - 10:00]],"=x")</f>
        <v>0</v>
      </c>
      <c r="F1661" s="2">
        <f>SUM(contact[[#This Row],[?]:[x]])</f>
        <v>0</v>
      </c>
      <c r="G16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1" s="3" t="s">
        <v>4414</v>
      </c>
      <c r="K1661" s="1" t="s">
        <v>1332</v>
      </c>
      <c r="L1661" s="1" t="s">
        <v>2</v>
      </c>
      <c r="M1661" s="1" t="s">
        <v>2</v>
      </c>
      <c r="O1661" s="2"/>
      <c r="P1661" s="2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</row>
    <row r="1662" spans="1:32" s="1" customFormat="1" ht="20.25" customHeight="1" x14ac:dyDescent="0.25">
      <c r="A1662" s="2"/>
      <c r="B1662" s="2"/>
      <c r="C1662" s="2"/>
      <c r="D1662" s="2">
        <f>COUNTIF(contact[[#This Row],[Bagossy]:[Szo
03:00 - 10:00]],"=~?")</f>
        <v>0</v>
      </c>
      <c r="E1662" s="2">
        <f>COUNTIF(contact[[#This Row],[Bagossy]:[Szo
03:00 - 10:00]],"=x")</f>
        <v>0</v>
      </c>
      <c r="F1662" s="2">
        <f>SUM(contact[[#This Row],[?]:[x]])</f>
        <v>0</v>
      </c>
      <c r="G16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2" s="3" t="s">
        <v>3993</v>
      </c>
      <c r="K1662" s="1" t="s">
        <v>2</v>
      </c>
      <c r="L1662" s="1" t="s">
        <v>2</v>
      </c>
      <c r="M1662" s="1" t="s">
        <v>2</v>
      </c>
      <c r="O1662" s="2"/>
      <c r="P1662" s="2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</row>
    <row r="1663" spans="1:32" s="1" customFormat="1" ht="20.25" customHeight="1" x14ac:dyDescent="0.25">
      <c r="A1663" s="2"/>
      <c r="B1663" s="2"/>
      <c r="C1663" s="2"/>
      <c r="D1663" s="2">
        <f>COUNTIF(contact[[#This Row],[Bagossy]:[Szo
03:00 - 10:00]],"=~?")</f>
        <v>0</v>
      </c>
      <c r="E1663" s="2">
        <f>COUNTIF(contact[[#This Row],[Bagossy]:[Szo
03:00 - 10:00]],"=x")</f>
        <v>0</v>
      </c>
      <c r="F1663" s="2">
        <f>SUM(contact[[#This Row],[?]:[x]])</f>
        <v>0</v>
      </c>
      <c r="G16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63" s="2"/>
      <c r="I1663" s="2"/>
      <c r="J1663" s="3" t="s">
        <v>3430</v>
      </c>
      <c r="K1663" s="1" t="s">
        <v>1643</v>
      </c>
      <c r="L1663" s="1" t="s">
        <v>2</v>
      </c>
      <c r="M1663" s="1" t="s">
        <v>2</v>
      </c>
      <c r="O1663" s="2"/>
      <c r="P1663" s="2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</row>
    <row r="1664" spans="1:32" s="1" customFormat="1" ht="20.25" customHeight="1" x14ac:dyDescent="0.25">
      <c r="A1664" s="2"/>
      <c r="B1664" s="2"/>
      <c r="C1664" s="2"/>
      <c r="D1664" s="2">
        <f>COUNTIF(contact[[#This Row],[Bagossy]:[Szo
03:00 - 10:00]],"=~?")</f>
        <v>0</v>
      </c>
      <c r="E1664" s="2">
        <f>COUNTIF(contact[[#This Row],[Bagossy]:[Szo
03:00 - 10:00]],"=x")</f>
        <v>0</v>
      </c>
      <c r="F1664" s="2">
        <f>SUM(contact[[#This Row],[?]:[x]])</f>
        <v>0</v>
      </c>
      <c r="G16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4" s="3" t="s">
        <v>4485</v>
      </c>
      <c r="K1664" s="1" t="s">
        <v>1254</v>
      </c>
      <c r="L1664" s="1" t="s">
        <v>2</v>
      </c>
      <c r="M1664" s="1" t="s">
        <v>2</v>
      </c>
      <c r="O1664" s="2"/>
      <c r="P1664" s="2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</row>
    <row r="1665" spans="1:32" s="1" customFormat="1" ht="20.25" customHeight="1" x14ac:dyDescent="0.25">
      <c r="A1665" s="2"/>
      <c r="B1665" s="2"/>
      <c r="C1665" s="2" t="s">
        <v>1285</v>
      </c>
      <c r="D1665" s="2">
        <f>COUNTIF(contact[[#This Row],[Bagossy]:[Szo
03:00 - 10:00]],"=~?")</f>
        <v>0</v>
      </c>
      <c r="E1665" s="2">
        <f>COUNTIF(contact[[#This Row],[Bagossy]:[Szo
03:00 - 10:00]],"=x")</f>
        <v>0</v>
      </c>
      <c r="F1665" s="2">
        <f>SUM(contact[[#This Row],[?]:[x]])</f>
        <v>0</v>
      </c>
      <c r="G16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65" s="2"/>
      <c r="I1665" s="2"/>
      <c r="J1665" s="3" t="s">
        <v>3433</v>
      </c>
      <c r="K1665" s="1" t="s">
        <v>6</v>
      </c>
      <c r="L1665" s="1" t="s">
        <v>2</v>
      </c>
      <c r="M1665" s="1" t="s">
        <v>2</v>
      </c>
      <c r="O1665" s="2"/>
      <c r="P1665" s="2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</row>
    <row r="1666" spans="1:32" s="1" customFormat="1" ht="20.25" customHeight="1" x14ac:dyDescent="0.25">
      <c r="A1666" s="2"/>
      <c r="B1666" s="2"/>
      <c r="C1666" s="2"/>
      <c r="D1666" s="2">
        <f>COUNTIF(contact[[#This Row],[Bagossy]:[Szo
03:00 - 10:00]],"=~?")</f>
        <v>0</v>
      </c>
      <c r="E1666" s="2">
        <f>COUNTIF(contact[[#This Row],[Bagossy]:[Szo
03:00 - 10:00]],"=x")</f>
        <v>0</v>
      </c>
      <c r="F1666" s="2">
        <f>SUM(contact[[#This Row],[?]:[x]])</f>
        <v>0</v>
      </c>
      <c r="G16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6" s="3" t="s">
        <v>3470</v>
      </c>
      <c r="K1666" s="1" t="s">
        <v>804</v>
      </c>
      <c r="L1666" s="1" t="s">
        <v>2</v>
      </c>
      <c r="M1666" s="1" t="s">
        <v>2</v>
      </c>
      <c r="O1666" s="2"/>
      <c r="P1666" s="2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</row>
    <row r="1667" spans="1:32" s="1" customFormat="1" ht="20.25" customHeight="1" x14ac:dyDescent="0.25">
      <c r="A1667" s="2"/>
      <c r="B1667" s="2"/>
      <c r="C1667" s="2"/>
      <c r="D1667" s="2">
        <f>COUNTIF(contact[[#This Row],[Bagossy]:[Szo
03:00 - 10:00]],"=~?")</f>
        <v>0</v>
      </c>
      <c r="E1667" s="2">
        <f>COUNTIF(contact[[#This Row],[Bagossy]:[Szo
03:00 - 10:00]],"=x")</f>
        <v>0</v>
      </c>
      <c r="F1667" s="2">
        <f>SUM(contact[[#This Row],[?]:[x]])</f>
        <v>0</v>
      </c>
      <c r="G16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7" s="3" t="s">
        <v>3005</v>
      </c>
      <c r="K1667" s="1" t="s">
        <v>600</v>
      </c>
      <c r="L1667" s="1" t="s">
        <v>2</v>
      </c>
      <c r="M1667" s="1" t="s">
        <v>2</v>
      </c>
      <c r="O1667" s="2"/>
      <c r="P1667" s="2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</row>
    <row r="1668" spans="1:32" s="1" customFormat="1" ht="20.25" customHeight="1" x14ac:dyDescent="0.25">
      <c r="A1668" s="2"/>
      <c r="B1668" s="2"/>
      <c r="C1668" s="2"/>
      <c r="D1668" s="2">
        <f>COUNTIF(contact[[#This Row],[Bagossy]:[Szo
03:00 - 10:00]],"=~?")</f>
        <v>0</v>
      </c>
      <c r="E1668" s="2">
        <f>COUNTIF(contact[[#This Row],[Bagossy]:[Szo
03:00 - 10:00]],"=x")</f>
        <v>0</v>
      </c>
      <c r="F1668" s="2">
        <f>SUM(contact[[#This Row],[?]:[x]])</f>
        <v>0</v>
      </c>
      <c r="G16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8" s="3" t="s">
        <v>3249</v>
      </c>
      <c r="K1668" s="1" t="s">
        <v>713</v>
      </c>
      <c r="L1668" s="1" t="s">
        <v>2</v>
      </c>
      <c r="M1668" s="1" t="s">
        <v>2</v>
      </c>
      <c r="O1668" s="2"/>
      <c r="P1668" s="2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</row>
    <row r="1669" spans="1:32" s="1" customFormat="1" ht="20.25" customHeight="1" x14ac:dyDescent="0.25">
      <c r="A1669" s="2"/>
      <c r="B1669" s="2"/>
      <c r="C1669" s="2"/>
      <c r="D1669" s="2">
        <f>COUNTIF(contact[[#This Row],[Bagossy]:[Szo
03:00 - 10:00]],"=~?")</f>
        <v>0</v>
      </c>
      <c r="E1669" s="2">
        <f>COUNTIF(contact[[#This Row],[Bagossy]:[Szo
03:00 - 10:00]],"=x")</f>
        <v>0</v>
      </c>
      <c r="F1669" s="2">
        <f>SUM(contact[[#This Row],[?]:[x]])</f>
        <v>0</v>
      </c>
      <c r="G16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69" s="3" t="s">
        <v>3914</v>
      </c>
      <c r="K1669" s="1" t="s">
        <v>1327</v>
      </c>
      <c r="L1669" s="1" t="s">
        <v>2</v>
      </c>
      <c r="M1669" s="1" t="s">
        <v>2</v>
      </c>
      <c r="O1669" s="2"/>
      <c r="P1669" s="2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</row>
    <row r="1670" spans="1:32" s="1" customFormat="1" ht="20.25" customHeight="1" x14ac:dyDescent="0.25">
      <c r="A1670" s="2"/>
      <c r="B1670" s="2"/>
      <c r="C1670" s="2"/>
      <c r="D1670" s="2">
        <f>COUNTIF(contact[[#This Row],[Bagossy]:[Szo
03:00 - 10:00]],"=~?")</f>
        <v>0</v>
      </c>
      <c r="E1670" s="2">
        <f>COUNTIF(contact[[#This Row],[Bagossy]:[Szo
03:00 - 10:00]],"=x")</f>
        <v>0</v>
      </c>
      <c r="F1670" s="2">
        <f>SUM(contact[[#This Row],[?]:[x]])</f>
        <v>0</v>
      </c>
      <c r="G16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0" s="3" t="s">
        <v>3974</v>
      </c>
      <c r="K1670" s="1" t="s">
        <v>2</v>
      </c>
      <c r="L1670" s="1" t="s">
        <v>2</v>
      </c>
      <c r="M1670" s="1" t="s">
        <v>2</v>
      </c>
      <c r="O1670" s="2"/>
      <c r="P1670" s="2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</row>
    <row r="1671" spans="1:32" s="1" customFormat="1" ht="20.25" customHeight="1" x14ac:dyDescent="0.25">
      <c r="A1671" s="2"/>
      <c r="B1671" s="2"/>
      <c r="C1671" s="2"/>
      <c r="D1671" s="2">
        <f>COUNTIF(contact[[#This Row],[Bagossy]:[Szo
03:00 - 10:00]],"=~?")</f>
        <v>0</v>
      </c>
      <c r="E1671" s="2">
        <f>COUNTIF(contact[[#This Row],[Bagossy]:[Szo
03:00 - 10:00]],"=x")</f>
        <v>0</v>
      </c>
      <c r="F1671" s="2">
        <f>SUM(contact[[#This Row],[?]:[x]])</f>
        <v>0</v>
      </c>
      <c r="G16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1" s="3" t="s">
        <v>4217</v>
      </c>
      <c r="K1671" s="1" t="s">
        <v>1815</v>
      </c>
      <c r="L1671" s="1" t="s">
        <v>2</v>
      </c>
      <c r="M1671" s="1" t="s">
        <v>2</v>
      </c>
      <c r="O1671" s="2"/>
      <c r="P1671" s="2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</row>
    <row r="1672" spans="1:32" s="1" customFormat="1" ht="20.25" customHeight="1" x14ac:dyDescent="0.25">
      <c r="A1672" s="2"/>
      <c r="B1672" s="2"/>
      <c r="C1672" s="2"/>
      <c r="D1672" s="2">
        <f>COUNTIF(contact[[#This Row],[Bagossy]:[Szo
03:00 - 10:00]],"=~?")</f>
        <v>0</v>
      </c>
      <c r="E1672" s="2">
        <f>COUNTIF(contact[[#This Row],[Bagossy]:[Szo
03:00 - 10:00]],"=x")</f>
        <v>0</v>
      </c>
      <c r="F1672" s="2">
        <f>SUM(contact[[#This Row],[?]:[x]])</f>
        <v>0</v>
      </c>
      <c r="G16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2" s="3" t="s">
        <v>2653</v>
      </c>
      <c r="K1672" s="1" t="s">
        <v>417</v>
      </c>
      <c r="L1672" s="1" t="s">
        <v>2</v>
      </c>
      <c r="M1672" s="1" t="s">
        <v>2</v>
      </c>
      <c r="O1672" s="2"/>
      <c r="P1672" s="2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</row>
    <row r="1673" spans="1:32" s="1" customFormat="1" ht="20.25" customHeight="1" x14ac:dyDescent="0.25">
      <c r="A1673" s="2"/>
      <c r="B1673" s="2"/>
      <c r="C1673" s="2"/>
      <c r="D1673" s="2">
        <f>COUNTIF(contact[[#This Row],[Bagossy]:[Szo
03:00 - 10:00]],"=~?")</f>
        <v>0</v>
      </c>
      <c r="E1673" s="2">
        <f>COUNTIF(contact[[#This Row],[Bagossy]:[Szo
03:00 - 10:00]],"=x")</f>
        <v>0</v>
      </c>
      <c r="F1673" s="2">
        <f>SUM(contact[[#This Row],[?]:[x]])</f>
        <v>0</v>
      </c>
      <c r="G16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3" s="3" t="s">
        <v>3329</v>
      </c>
      <c r="K1673" s="1" t="s">
        <v>750</v>
      </c>
      <c r="L1673" s="1" t="s">
        <v>2</v>
      </c>
      <c r="M1673" s="1" t="s">
        <v>2</v>
      </c>
      <c r="O1673" s="2"/>
      <c r="P1673" s="2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</row>
    <row r="1674" spans="1:32" s="1" customFormat="1" ht="20.25" customHeight="1" x14ac:dyDescent="0.25">
      <c r="A1674" s="2"/>
      <c r="B1674" s="2"/>
      <c r="C1674" s="2"/>
      <c r="D1674" s="2">
        <f>COUNTIF(contact[[#This Row],[Bagossy]:[Szo
03:00 - 10:00]],"=~?")</f>
        <v>0</v>
      </c>
      <c r="E1674" s="2">
        <f>COUNTIF(contact[[#This Row],[Bagossy]:[Szo
03:00 - 10:00]],"=x")</f>
        <v>0</v>
      </c>
      <c r="F1674" s="2">
        <f>SUM(contact[[#This Row],[?]:[x]])</f>
        <v>0</v>
      </c>
      <c r="G16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4" s="3" t="s">
        <v>2912</v>
      </c>
      <c r="K1674" s="1" t="s">
        <v>552</v>
      </c>
      <c r="L1674" s="1" t="s">
        <v>2</v>
      </c>
      <c r="M1674" s="1" t="s">
        <v>2</v>
      </c>
      <c r="O1674" s="2"/>
      <c r="P1674" s="2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</row>
    <row r="1675" spans="1:32" s="1" customFormat="1" ht="20.25" customHeight="1" x14ac:dyDescent="0.25">
      <c r="A1675" s="2"/>
      <c r="B1675" s="2"/>
      <c r="C1675" s="2"/>
      <c r="D1675" s="2">
        <f>COUNTIF(contact[[#This Row],[Bagossy]:[Szo
03:00 - 10:00]],"=~?")</f>
        <v>0</v>
      </c>
      <c r="E1675" s="2">
        <f>COUNTIF(contact[[#This Row],[Bagossy]:[Szo
03:00 - 10:00]],"=x")</f>
        <v>0</v>
      </c>
      <c r="F1675" s="2">
        <f>SUM(contact[[#This Row],[?]:[x]])</f>
        <v>0</v>
      </c>
      <c r="G16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5" s="3" t="s">
        <v>3208</v>
      </c>
      <c r="K1675" s="1" t="s">
        <v>2</v>
      </c>
      <c r="L1675" s="1" t="s">
        <v>2</v>
      </c>
      <c r="M1675" s="1" t="s">
        <v>2</v>
      </c>
      <c r="O1675" s="2"/>
      <c r="P1675" s="2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</row>
    <row r="1676" spans="1:32" s="1" customFormat="1" ht="20.25" customHeight="1" x14ac:dyDescent="0.25">
      <c r="A1676" s="2"/>
      <c r="B1676" s="2"/>
      <c r="C1676" s="2"/>
      <c r="D1676" s="2">
        <f>COUNTIF(contact[[#This Row],[Bagossy]:[Szo
03:00 - 10:00]],"=~?")</f>
        <v>0</v>
      </c>
      <c r="E1676" s="2">
        <f>COUNTIF(contact[[#This Row],[Bagossy]:[Szo
03:00 - 10:00]],"=x")</f>
        <v>0</v>
      </c>
      <c r="F1676" s="2">
        <f>SUM(contact[[#This Row],[?]:[x]])</f>
        <v>0</v>
      </c>
      <c r="G16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6" s="3" t="s">
        <v>4218</v>
      </c>
      <c r="K1676" s="1" t="s">
        <v>1146</v>
      </c>
      <c r="L1676" s="1" t="s">
        <v>2</v>
      </c>
      <c r="M1676" s="1" t="s">
        <v>2</v>
      </c>
      <c r="O1676" s="2"/>
      <c r="P1676" s="2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</row>
    <row r="1677" spans="1:32" s="1" customFormat="1" ht="20.25" customHeight="1" x14ac:dyDescent="0.25">
      <c r="A1677" s="2"/>
      <c r="B1677" s="2"/>
      <c r="C1677" s="2"/>
      <c r="D1677" s="2">
        <f>COUNTIF(contact[[#This Row],[Bagossy]:[Szo
03:00 - 10:00]],"=~?")</f>
        <v>0</v>
      </c>
      <c r="E1677" s="2">
        <f>COUNTIF(contact[[#This Row],[Bagossy]:[Szo
03:00 - 10:00]],"=x")</f>
        <v>0</v>
      </c>
      <c r="F1677" s="2">
        <f>SUM(contact[[#This Row],[?]:[x]])</f>
        <v>0</v>
      </c>
      <c r="G16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7" s="3" t="s">
        <v>3059</v>
      </c>
      <c r="K1677" s="1" t="s">
        <v>2</v>
      </c>
      <c r="L1677" s="1" t="s">
        <v>2</v>
      </c>
      <c r="M1677" s="1" t="s">
        <v>2</v>
      </c>
      <c r="O1677" s="2"/>
      <c r="P1677" s="2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</row>
    <row r="1678" spans="1:32" s="1" customFormat="1" ht="20.25" customHeight="1" x14ac:dyDescent="0.25">
      <c r="A1678" s="2"/>
      <c r="B1678" s="2"/>
      <c r="C1678" s="2"/>
      <c r="D1678" s="2">
        <f>COUNTIF(contact[[#This Row],[Bagossy]:[Szo
03:00 - 10:00]],"=~?")</f>
        <v>0</v>
      </c>
      <c r="E1678" s="2">
        <f>COUNTIF(contact[[#This Row],[Bagossy]:[Szo
03:00 - 10:00]],"=x")</f>
        <v>0</v>
      </c>
      <c r="F1678" s="2">
        <f>SUM(contact[[#This Row],[?]:[x]])</f>
        <v>0</v>
      </c>
      <c r="G16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8" s="3" t="s">
        <v>1973</v>
      </c>
      <c r="K1678" s="1" t="s">
        <v>2</v>
      </c>
      <c r="L1678" s="1" t="s">
        <v>2</v>
      </c>
      <c r="M1678" s="1" t="s">
        <v>2</v>
      </c>
      <c r="O1678" s="2"/>
      <c r="P1678" s="2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</row>
    <row r="1679" spans="1:32" s="1" customFormat="1" ht="20.25" customHeight="1" x14ac:dyDescent="0.25">
      <c r="A1679" s="2"/>
      <c r="B1679" s="2"/>
      <c r="C1679" s="2"/>
      <c r="D1679" s="2">
        <f>COUNTIF(contact[[#This Row],[Bagossy]:[Szo
03:00 - 10:00]],"=~?")</f>
        <v>0</v>
      </c>
      <c r="E1679" s="2">
        <f>COUNTIF(contact[[#This Row],[Bagossy]:[Szo
03:00 - 10:00]],"=x")</f>
        <v>0</v>
      </c>
      <c r="F1679" s="2">
        <f>SUM(contact[[#This Row],[?]:[x]])</f>
        <v>0</v>
      </c>
      <c r="G16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79" s="3" t="s">
        <v>2077</v>
      </c>
      <c r="K1679" s="1" t="s">
        <v>103</v>
      </c>
      <c r="L1679" s="1" t="s">
        <v>2</v>
      </c>
      <c r="M1679" s="1" t="s">
        <v>2</v>
      </c>
      <c r="O1679" s="2"/>
      <c r="P1679" s="2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</row>
    <row r="1680" spans="1:32" s="1" customFormat="1" ht="20.25" customHeight="1" x14ac:dyDescent="0.25">
      <c r="A1680" s="2"/>
      <c r="B1680" s="2"/>
      <c r="C1680" s="2"/>
      <c r="D1680" s="2">
        <f>COUNTIF(contact[[#This Row],[Bagossy]:[Szo
03:00 - 10:00]],"=~?")</f>
        <v>0</v>
      </c>
      <c r="E1680" s="2">
        <f>COUNTIF(contact[[#This Row],[Bagossy]:[Szo
03:00 - 10:00]],"=x")</f>
        <v>0</v>
      </c>
      <c r="F1680" s="2">
        <f>SUM(contact[[#This Row],[?]:[x]])</f>
        <v>0</v>
      </c>
      <c r="G16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0" s="3" t="s">
        <v>819</v>
      </c>
      <c r="K1680" s="1" t="s">
        <v>2</v>
      </c>
      <c r="L1680" s="1" t="s">
        <v>2</v>
      </c>
      <c r="M1680" s="1" t="s">
        <v>2</v>
      </c>
      <c r="O1680" s="2"/>
      <c r="P1680" s="2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</row>
    <row r="1681" spans="1:32" s="1" customFormat="1" ht="20.25" customHeight="1" x14ac:dyDescent="0.25">
      <c r="A1681" s="2"/>
      <c r="B1681" s="2"/>
      <c r="C1681" s="2"/>
      <c r="D1681" s="2">
        <f>COUNTIF(contact[[#This Row],[Bagossy]:[Szo
03:00 - 10:00]],"=~?")</f>
        <v>0</v>
      </c>
      <c r="E1681" s="2">
        <f>COUNTIF(contact[[#This Row],[Bagossy]:[Szo
03:00 - 10:00]],"=x")</f>
        <v>0</v>
      </c>
      <c r="F1681" s="2">
        <f>SUM(contact[[#This Row],[?]:[x]])</f>
        <v>0</v>
      </c>
      <c r="G16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1" s="3" t="s">
        <v>4219</v>
      </c>
      <c r="K1681" s="1" t="s">
        <v>809</v>
      </c>
      <c r="L1681" s="1" t="s">
        <v>2</v>
      </c>
      <c r="M1681" s="1" t="s">
        <v>2</v>
      </c>
      <c r="O1681" s="2"/>
      <c r="P1681" s="2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</row>
    <row r="1682" spans="1:32" s="1" customFormat="1" ht="20.25" customHeight="1" x14ac:dyDescent="0.25">
      <c r="A1682" s="2"/>
      <c r="B1682" s="2"/>
      <c r="C1682" s="2"/>
      <c r="D1682" s="2">
        <f>COUNTIF(contact[[#This Row],[Bagossy]:[Szo
03:00 - 10:00]],"=~?")</f>
        <v>0</v>
      </c>
      <c r="E1682" s="2">
        <f>COUNTIF(contact[[#This Row],[Bagossy]:[Szo
03:00 - 10:00]],"=x")</f>
        <v>0</v>
      </c>
      <c r="F1682" s="2">
        <f>SUM(contact[[#This Row],[?]:[x]])</f>
        <v>0</v>
      </c>
      <c r="G16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2" s="3" t="s">
        <v>2447</v>
      </c>
      <c r="K1682" s="1" t="s">
        <v>313</v>
      </c>
      <c r="L1682" s="1" t="s">
        <v>2</v>
      </c>
      <c r="M1682" s="1" t="s">
        <v>2</v>
      </c>
      <c r="O1682" s="2"/>
      <c r="P1682" s="2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</row>
    <row r="1683" spans="1:32" s="1" customFormat="1" ht="20.25" customHeight="1" x14ac:dyDescent="0.25">
      <c r="A1683" s="2"/>
      <c r="B1683" s="2"/>
      <c r="C1683" s="2"/>
      <c r="D1683" s="2">
        <f>COUNTIF(contact[[#This Row],[Bagossy]:[Szo
03:00 - 10:00]],"=~?")</f>
        <v>0</v>
      </c>
      <c r="E1683" s="2">
        <f>COUNTIF(contact[[#This Row],[Bagossy]:[Szo
03:00 - 10:00]],"=x")</f>
        <v>0</v>
      </c>
      <c r="F1683" s="2">
        <f>SUM(contact[[#This Row],[?]:[x]])</f>
        <v>0</v>
      </c>
      <c r="G16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3" s="3" t="s">
        <v>2705</v>
      </c>
      <c r="K1683" s="1" t="s">
        <v>1473</v>
      </c>
      <c r="L1683" s="1" t="s">
        <v>2</v>
      </c>
      <c r="M1683" s="1" t="s">
        <v>2</v>
      </c>
      <c r="O1683" s="2"/>
      <c r="P1683" s="2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</row>
    <row r="1684" spans="1:32" s="1" customFormat="1" ht="20.25" customHeight="1" x14ac:dyDescent="0.25">
      <c r="A1684" s="2"/>
      <c r="B1684" s="2"/>
      <c r="C1684" s="2"/>
      <c r="D1684" s="2">
        <f>COUNTIF(contact[[#This Row],[Bagossy]:[Szo
03:00 - 10:00]],"=~?")</f>
        <v>0</v>
      </c>
      <c r="E1684" s="2">
        <f>COUNTIF(contact[[#This Row],[Bagossy]:[Szo
03:00 - 10:00]],"=x")</f>
        <v>0</v>
      </c>
      <c r="F1684" s="2">
        <f>SUM(contact[[#This Row],[?]:[x]])</f>
        <v>0</v>
      </c>
      <c r="G16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4" s="3" t="s">
        <v>2122</v>
      </c>
      <c r="K1684" s="1" t="s">
        <v>1341</v>
      </c>
      <c r="L1684" s="1" t="s">
        <v>2</v>
      </c>
      <c r="M1684" s="1" t="s">
        <v>2</v>
      </c>
      <c r="O1684" s="2"/>
      <c r="P1684" s="2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</row>
    <row r="1685" spans="1:32" s="1" customFormat="1" ht="20.25" customHeight="1" x14ac:dyDescent="0.25">
      <c r="A1685" s="2"/>
      <c r="B1685" s="2"/>
      <c r="C1685" s="2"/>
      <c r="D1685" s="2">
        <f>COUNTIF(contact[[#This Row],[Bagossy]:[Szo
03:00 - 10:00]],"=~?")</f>
        <v>0</v>
      </c>
      <c r="E1685" s="2">
        <f>COUNTIF(contact[[#This Row],[Bagossy]:[Szo
03:00 - 10:00]],"=x")</f>
        <v>0</v>
      </c>
      <c r="F1685" s="2">
        <f>SUM(contact[[#This Row],[?]:[x]])</f>
        <v>0</v>
      </c>
      <c r="G16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5" s="3" t="s">
        <v>3557</v>
      </c>
      <c r="K1685" s="1" t="s">
        <v>843</v>
      </c>
      <c r="L1685" s="1" t="s">
        <v>2</v>
      </c>
      <c r="M1685" s="1" t="s">
        <v>2</v>
      </c>
      <c r="O1685" s="2"/>
      <c r="P1685" s="2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</row>
    <row r="1686" spans="1:32" s="1" customFormat="1" ht="20.25" customHeight="1" x14ac:dyDescent="0.25">
      <c r="A1686" s="2"/>
      <c r="B1686" s="2"/>
      <c r="C1686" s="2"/>
      <c r="D1686" s="2">
        <f>COUNTIF(contact[[#This Row],[Bagossy]:[Szo
03:00 - 10:00]],"=~?")</f>
        <v>0</v>
      </c>
      <c r="E1686" s="2">
        <f>COUNTIF(contact[[#This Row],[Bagossy]:[Szo
03:00 - 10:00]],"=x")</f>
        <v>0</v>
      </c>
      <c r="F1686" s="2">
        <f>SUM(contact[[#This Row],[?]:[x]])</f>
        <v>0</v>
      </c>
      <c r="G16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6" s="3" t="s">
        <v>4383</v>
      </c>
      <c r="K1686" s="1" t="s">
        <v>2</v>
      </c>
      <c r="L1686" s="1" t="s">
        <v>2</v>
      </c>
      <c r="M1686" s="1" t="s">
        <v>2</v>
      </c>
      <c r="O1686" s="2"/>
      <c r="P1686" s="2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</row>
    <row r="1687" spans="1:32" s="1" customFormat="1" ht="20.25" customHeight="1" x14ac:dyDescent="0.25">
      <c r="A1687" s="2"/>
      <c r="B1687" s="2"/>
      <c r="C1687" s="2"/>
      <c r="D1687" s="2">
        <f>COUNTIF(contact[[#This Row],[Bagossy]:[Szo
03:00 - 10:00]],"=~?")</f>
        <v>0</v>
      </c>
      <c r="E1687" s="2">
        <f>COUNTIF(contact[[#This Row],[Bagossy]:[Szo
03:00 - 10:00]],"=x")</f>
        <v>0</v>
      </c>
      <c r="F1687" s="2">
        <f>SUM(contact[[#This Row],[?]:[x]])</f>
        <v>0</v>
      </c>
      <c r="G16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7" s="3" t="s">
        <v>4220</v>
      </c>
      <c r="K1687" s="1" t="s">
        <v>2</v>
      </c>
      <c r="L1687" s="1" t="s">
        <v>2</v>
      </c>
      <c r="M1687" s="1" t="s">
        <v>2</v>
      </c>
      <c r="O1687" s="2"/>
      <c r="P1687" s="2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</row>
    <row r="1688" spans="1:32" s="1" customFormat="1" ht="20.25" customHeight="1" x14ac:dyDescent="0.25">
      <c r="A1688" s="2"/>
      <c r="B1688" s="2"/>
      <c r="C1688" s="2"/>
      <c r="D1688" s="2">
        <f>COUNTIF(contact[[#This Row],[Bagossy]:[Szo
03:00 - 10:00]],"=~?")</f>
        <v>0</v>
      </c>
      <c r="E1688" s="2">
        <f>COUNTIF(contact[[#This Row],[Bagossy]:[Szo
03:00 - 10:00]],"=x")</f>
        <v>0</v>
      </c>
      <c r="F1688" s="2">
        <f>SUM(contact[[#This Row],[?]:[x]])</f>
        <v>0</v>
      </c>
      <c r="G16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688" s="2"/>
      <c r="I1688" s="2"/>
      <c r="J1688" s="3" t="s">
        <v>3434</v>
      </c>
      <c r="K1688" s="1" t="s">
        <v>92</v>
      </c>
      <c r="L1688" s="1" t="s">
        <v>2</v>
      </c>
      <c r="M1688" s="1" t="s">
        <v>2</v>
      </c>
      <c r="O1688" s="2"/>
      <c r="P1688" s="2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</row>
    <row r="1689" spans="1:32" s="1" customFormat="1" ht="20.25" customHeight="1" x14ac:dyDescent="0.25">
      <c r="A1689" s="2"/>
      <c r="B1689" s="2"/>
      <c r="C1689" s="2"/>
      <c r="D1689" s="2">
        <f>COUNTIF(contact[[#This Row],[Bagossy]:[Szo
03:00 - 10:00]],"=~?")</f>
        <v>0</v>
      </c>
      <c r="E1689" s="2">
        <f>COUNTIF(contact[[#This Row],[Bagossy]:[Szo
03:00 - 10:00]],"=x")</f>
        <v>0</v>
      </c>
      <c r="F1689" s="2">
        <f>SUM(contact[[#This Row],[?]:[x]])</f>
        <v>0</v>
      </c>
      <c r="G16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89" s="3" t="s">
        <v>820</v>
      </c>
      <c r="K1689" s="1" t="s">
        <v>2</v>
      </c>
      <c r="L1689" s="1" t="s">
        <v>2</v>
      </c>
      <c r="M1689" s="1" t="s">
        <v>2</v>
      </c>
      <c r="O1689" s="2"/>
      <c r="P1689" s="2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</row>
    <row r="1690" spans="1:32" s="1" customFormat="1" ht="20.25" customHeight="1" x14ac:dyDescent="0.25">
      <c r="A1690" s="2"/>
      <c r="B1690" s="2"/>
      <c r="C1690" s="2"/>
      <c r="D1690" s="2">
        <f>COUNTIF(contact[[#This Row],[Bagossy]:[Szo
03:00 - 10:00]],"=~?")</f>
        <v>0</v>
      </c>
      <c r="E1690" s="2">
        <f>COUNTIF(contact[[#This Row],[Bagossy]:[Szo
03:00 - 10:00]],"=x")</f>
        <v>0</v>
      </c>
      <c r="F1690" s="2">
        <f>SUM(contact[[#This Row],[?]:[x]])</f>
        <v>0</v>
      </c>
      <c r="G16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0" s="3" t="s">
        <v>4546</v>
      </c>
      <c r="K1690" s="1" t="s">
        <v>2</v>
      </c>
      <c r="L1690" s="1" t="s">
        <v>2</v>
      </c>
      <c r="M1690" s="1" t="s">
        <v>2</v>
      </c>
      <c r="O1690" s="2"/>
      <c r="P1690" s="2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</row>
    <row r="1691" spans="1:32" s="1" customFormat="1" ht="20.25" customHeight="1" x14ac:dyDescent="0.25">
      <c r="A1691" s="2"/>
      <c r="B1691" s="2"/>
      <c r="C1691" s="2"/>
      <c r="D1691" s="2">
        <f>COUNTIF(contact[[#This Row],[Bagossy]:[Szo
03:00 - 10:00]],"=~?")</f>
        <v>0</v>
      </c>
      <c r="E1691" s="2">
        <f>COUNTIF(contact[[#This Row],[Bagossy]:[Szo
03:00 - 10:00]],"=x")</f>
        <v>0</v>
      </c>
      <c r="F1691" s="2">
        <f>SUM(contact[[#This Row],[?]:[x]])</f>
        <v>0</v>
      </c>
      <c r="G16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1" s="3" t="s">
        <v>2237</v>
      </c>
      <c r="K1691" s="1" t="s">
        <v>197</v>
      </c>
      <c r="L1691" s="1" t="s">
        <v>2</v>
      </c>
      <c r="M1691" s="1" t="s">
        <v>2</v>
      </c>
      <c r="O1691" s="2"/>
      <c r="P1691" s="2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</row>
    <row r="1692" spans="1:32" s="1" customFormat="1" ht="20.25" customHeight="1" x14ac:dyDescent="0.25">
      <c r="A1692" s="2"/>
      <c r="B1692" s="2"/>
      <c r="C1692" s="2"/>
      <c r="D1692" s="2">
        <f>COUNTIF(contact[[#This Row],[Bagossy]:[Szo
03:00 - 10:00]],"=~?")</f>
        <v>0</v>
      </c>
      <c r="E1692" s="2">
        <f>COUNTIF(contact[[#This Row],[Bagossy]:[Szo
03:00 - 10:00]],"=x")</f>
        <v>0</v>
      </c>
      <c r="F1692" s="2">
        <f>SUM(contact[[#This Row],[?]:[x]])</f>
        <v>0</v>
      </c>
      <c r="G16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2" s="3" t="s">
        <v>3749</v>
      </c>
      <c r="K1692" s="1" t="s">
        <v>2</v>
      </c>
      <c r="L1692" s="1" t="s">
        <v>2</v>
      </c>
      <c r="M1692" s="1" t="s">
        <v>2</v>
      </c>
      <c r="O1692" s="2"/>
      <c r="P1692" s="2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</row>
    <row r="1693" spans="1:32" s="1" customFormat="1" ht="20.25" customHeight="1" x14ac:dyDescent="0.25">
      <c r="A1693" s="2"/>
      <c r="B1693" s="2"/>
      <c r="C1693" s="2"/>
      <c r="D1693" s="2">
        <f>COUNTIF(contact[[#This Row],[Bagossy]:[Szo
03:00 - 10:00]],"=~?")</f>
        <v>0</v>
      </c>
      <c r="E1693" s="2">
        <f>COUNTIF(contact[[#This Row],[Bagossy]:[Szo
03:00 - 10:00]],"=x")</f>
        <v>0</v>
      </c>
      <c r="F1693" s="2">
        <f>SUM(contact[[#This Row],[?]:[x]])</f>
        <v>0</v>
      </c>
      <c r="G16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3" s="3" t="s">
        <v>3816</v>
      </c>
      <c r="K1693" s="1" t="s">
        <v>958</v>
      </c>
      <c r="L1693" s="1" t="s">
        <v>2</v>
      </c>
      <c r="M1693" s="1" t="s">
        <v>2</v>
      </c>
      <c r="O1693" s="2"/>
      <c r="P1693" s="2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</row>
    <row r="1694" spans="1:32" s="1" customFormat="1" ht="20.25" customHeight="1" x14ac:dyDescent="0.25">
      <c r="A1694" s="2"/>
      <c r="B1694" s="2"/>
      <c r="C1694" s="2"/>
      <c r="D1694" s="2">
        <f>COUNTIF(contact[[#This Row],[Bagossy]:[Szo
03:00 - 10:00]],"=~?")</f>
        <v>0</v>
      </c>
      <c r="E1694" s="2">
        <f>COUNTIF(contact[[#This Row],[Bagossy]:[Szo
03:00 - 10:00]],"=x")</f>
        <v>0</v>
      </c>
      <c r="F1694" s="2">
        <f>SUM(contact[[#This Row],[?]:[x]])</f>
        <v>0</v>
      </c>
      <c r="G16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4" s="3" t="s">
        <v>4468</v>
      </c>
      <c r="K1694" s="1" t="s">
        <v>2</v>
      </c>
      <c r="L1694" s="1" t="s">
        <v>2</v>
      </c>
      <c r="M1694" s="1" t="s">
        <v>2</v>
      </c>
      <c r="O1694" s="2"/>
      <c r="P1694" s="2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</row>
    <row r="1695" spans="1:32" s="1" customFormat="1" ht="20.25" customHeight="1" x14ac:dyDescent="0.25">
      <c r="A1695" s="2"/>
      <c r="B1695" s="2"/>
      <c r="C1695" s="2"/>
      <c r="D1695" s="2">
        <f>COUNTIF(contact[[#This Row],[Bagossy]:[Szo
03:00 - 10:00]],"=~?")</f>
        <v>0</v>
      </c>
      <c r="E1695" s="2">
        <f>COUNTIF(contact[[#This Row],[Bagossy]:[Szo
03:00 - 10:00]],"=x")</f>
        <v>0</v>
      </c>
      <c r="F1695" s="2">
        <f>SUM(contact[[#This Row],[?]:[x]])</f>
        <v>0</v>
      </c>
      <c r="G16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5" s="3" t="s">
        <v>825</v>
      </c>
      <c r="K1695" s="1" t="s">
        <v>2</v>
      </c>
      <c r="L1695" s="1" t="s">
        <v>2</v>
      </c>
      <c r="M1695" s="1" t="s">
        <v>2</v>
      </c>
      <c r="O1695" s="2"/>
      <c r="P1695" s="2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</row>
    <row r="1696" spans="1:32" s="1" customFormat="1" ht="20.25" customHeight="1" x14ac:dyDescent="0.25">
      <c r="A1696" s="2"/>
      <c r="B1696" s="2"/>
      <c r="C1696" s="2"/>
      <c r="D1696" s="2">
        <f>COUNTIF(contact[[#This Row],[Bagossy]:[Szo
03:00 - 10:00]],"=~?")</f>
        <v>0</v>
      </c>
      <c r="E1696" s="2">
        <f>COUNTIF(contact[[#This Row],[Bagossy]:[Szo
03:00 - 10:00]],"=x")</f>
        <v>0</v>
      </c>
      <c r="F1696" s="2">
        <f>SUM(contact[[#This Row],[?]:[x]])</f>
        <v>0</v>
      </c>
      <c r="G16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6" s="3" t="s">
        <v>4122</v>
      </c>
      <c r="K1696" s="1" t="s">
        <v>1107</v>
      </c>
      <c r="L1696" s="1" t="s">
        <v>2</v>
      </c>
      <c r="M1696" s="1" t="s">
        <v>2</v>
      </c>
      <c r="O1696" s="2"/>
      <c r="P1696" s="2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</row>
    <row r="1697" spans="1:32" s="1" customFormat="1" ht="20.25" customHeight="1" x14ac:dyDescent="0.25">
      <c r="A1697" s="2"/>
      <c r="B1697" s="2"/>
      <c r="C1697" s="2"/>
      <c r="D1697" s="2">
        <f>COUNTIF(contact[[#This Row],[Bagossy]:[Szo
03:00 - 10:00]],"=~?")</f>
        <v>0</v>
      </c>
      <c r="E1697" s="2">
        <f>COUNTIF(contact[[#This Row],[Bagossy]:[Szo
03:00 - 10:00]],"=x")</f>
        <v>0</v>
      </c>
      <c r="F1697" s="2">
        <f>SUM(contact[[#This Row],[?]:[x]])</f>
        <v>0</v>
      </c>
      <c r="G16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7" s="3" t="s">
        <v>3131</v>
      </c>
      <c r="K1697" s="1" t="s">
        <v>656</v>
      </c>
      <c r="L1697" s="1" t="s">
        <v>2</v>
      </c>
      <c r="M1697" s="1" t="s">
        <v>2</v>
      </c>
      <c r="O1697" s="2"/>
      <c r="P1697" s="2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</row>
    <row r="1698" spans="1:32" s="1" customFormat="1" ht="20.25" customHeight="1" x14ac:dyDescent="0.25">
      <c r="A1698" s="2"/>
      <c r="B1698" s="2"/>
      <c r="C1698" s="2"/>
      <c r="D1698" s="2">
        <f>COUNTIF(contact[[#This Row],[Bagossy]:[Szo
03:00 - 10:00]],"=~?")</f>
        <v>0</v>
      </c>
      <c r="E1698" s="2">
        <f>COUNTIF(contact[[#This Row],[Bagossy]:[Szo
03:00 - 10:00]],"=x")</f>
        <v>0</v>
      </c>
      <c r="F1698" s="2">
        <f>SUM(contact[[#This Row],[?]:[x]])</f>
        <v>0</v>
      </c>
      <c r="G16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8" s="3" t="s">
        <v>2497</v>
      </c>
      <c r="K1698" s="1" t="s">
        <v>30</v>
      </c>
      <c r="L1698" s="1" t="s">
        <v>2</v>
      </c>
      <c r="M1698" s="1" t="s">
        <v>2</v>
      </c>
      <c r="O1698" s="2"/>
      <c r="P1698" s="2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</row>
    <row r="1699" spans="1:32" s="1" customFormat="1" ht="20.25" customHeight="1" x14ac:dyDescent="0.25">
      <c r="A1699" s="2"/>
      <c r="B1699" s="2"/>
      <c r="C1699" s="2"/>
      <c r="D1699" s="2">
        <f>COUNTIF(contact[[#This Row],[Bagossy]:[Szo
03:00 - 10:00]],"=~?")</f>
        <v>0</v>
      </c>
      <c r="E1699" s="2">
        <f>COUNTIF(contact[[#This Row],[Bagossy]:[Szo
03:00 - 10:00]],"=x")</f>
        <v>0</v>
      </c>
      <c r="F1699" s="2">
        <f>SUM(contact[[#This Row],[?]:[x]])</f>
        <v>0</v>
      </c>
      <c r="G16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699" s="3" t="s">
        <v>3033</v>
      </c>
      <c r="K1699" s="1" t="s">
        <v>2</v>
      </c>
      <c r="L1699" s="1" t="s">
        <v>2</v>
      </c>
      <c r="M1699" s="1" t="s">
        <v>2</v>
      </c>
      <c r="O1699" s="2"/>
      <c r="P1699" s="2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</row>
    <row r="1700" spans="1:32" s="1" customFormat="1" ht="20.25" customHeight="1" x14ac:dyDescent="0.25">
      <c r="A1700" s="2"/>
      <c r="B1700" s="2"/>
      <c r="C1700" s="2"/>
      <c r="D1700" s="2">
        <f>COUNTIF(contact[[#This Row],[Bagossy]:[Szo
03:00 - 10:00]],"=~?")</f>
        <v>0</v>
      </c>
      <c r="E1700" s="2">
        <f>COUNTIF(contact[[#This Row],[Bagossy]:[Szo
03:00 - 10:00]],"=x")</f>
        <v>0</v>
      </c>
      <c r="F1700" s="2">
        <f>SUM(contact[[#This Row],[?]:[x]])</f>
        <v>0</v>
      </c>
      <c r="G17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0" s="3" t="s">
        <v>826</v>
      </c>
      <c r="K1700" s="1" t="s">
        <v>2</v>
      </c>
      <c r="L1700" s="1" t="s">
        <v>2</v>
      </c>
      <c r="M1700" s="1" t="s">
        <v>2</v>
      </c>
      <c r="O1700" s="2"/>
      <c r="P1700" s="2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</row>
    <row r="1701" spans="1:32" s="1" customFormat="1" ht="20.25" customHeight="1" x14ac:dyDescent="0.25">
      <c r="A1701" s="2"/>
      <c r="B1701" s="2"/>
      <c r="C1701" s="2"/>
      <c r="D1701" s="2">
        <f>COUNTIF(contact[[#This Row],[Bagossy]:[Szo
03:00 - 10:00]],"=~?")</f>
        <v>0</v>
      </c>
      <c r="E1701" s="2">
        <f>COUNTIF(contact[[#This Row],[Bagossy]:[Szo
03:00 - 10:00]],"=x")</f>
        <v>0</v>
      </c>
      <c r="F1701" s="2">
        <f>SUM(contact[[#This Row],[?]:[x]])</f>
        <v>0</v>
      </c>
      <c r="G17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1" s="3" t="s">
        <v>3730</v>
      </c>
      <c r="K1701" s="1" t="s">
        <v>916</v>
      </c>
      <c r="L1701" s="1" t="s">
        <v>2</v>
      </c>
      <c r="M1701" s="1" t="s">
        <v>2</v>
      </c>
      <c r="O1701" s="2"/>
      <c r="P1701" s="2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</row>
    <row r="1702" spans="1:32" s="1" customFormat="1" ht="20.25" customHeight="1" x14ac:dyDescent="0.25">
      <c r="A1702" s="2"/>
      <c r="B1702" s="2"/>
      <c r="C1702" s="2"/>
      <c r="D1702" s="2">
        <f>COUNTIF(contact[[#This Row],[Bagossy]:[Szo
03:00 - 10:00]],"=~?")</f>
        <v>0</v>
      </c>
      <c r="E1702" s="2">
        <f>COUNTIF(contact[[#This Row],[Bagossy]:[Szo
03:00 - 10:00]],"=x")</f>
        <v>0</v>
      </c>
      <c r="F1702" s="2">
        <f>SUM(contact[[#This Row],[?]:[x]])</f>
        <v>0</v>
      </c>
      <c r="G17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2" s="3" t="s">
        <v>837</v>
      </c>
      <c r="K1702" s="1" t="s">
        <v>2</v>
      </c>
      <c r="L1702" s="1" t="s">
        <v>2</v>
      </c>
      <c r="M1702" s="1" t="s">
        <v>2</v>
      </c>
      <c r="O1702" s="2"/>
      <c r="P1702" s="2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</row>
    <row r="1703" spans="1:32" s="1" customFormat="1" ht="20.25" customHeight="1" x14ac:dyDescent="0.25">
      <c r="A1703" s="2"/>
      <c r="B1703" s="2"/>
      <c r="C1703" s="2"/>
      <c r="D1703" s="2">
        <f>COUNTIF(contact[[#This Row],[Bagossy]:[Szo
03:00 - 10:00]],"=~?")</f>
        <v>0</v>
      </c>
      <c r="E1703" s="2">
        <f>COUNTIF(contact[[#This Row],[Bagossy]:[Szo
03:00 - 10:00]],"=x")</f>
        <v>0</v>
      </c>
      <c r="F1703" s="2">
        <f>SUM(contact[[#This Row],[?]:[x]])</f>
        <v>0</v>
      </c>
      <c r="G17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3" s="3" t="s">
        <v>838</v>
      </c>
      <c r="K1703" s="1" t="s">
        <v>2</v>
      </c>
      <c r="L1703" s="1" t="s">
        <v>2</v>
      </c>
      <c r="M1703" s="1" t="s">
        <v>2</v>
      </c>
      <c r="O1703" s="2"/>
      <c r="P1703" s="2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</row>
    <row r="1704" spans="1:32" s="1" customFormat="1" ht="20.25" customHeight="1" x14ac:dyDescent="0.25">
      <c r="A1704" s="2"/>
      <c r="B1704" s="2"/>
      <c r="C1704" s="2"/>
      <c r="D1704" s="2">
        <f>COUNTIF(contact[[#This Row],[Bagossy]:[Szo
03:00 - 10:00]],"=~?")</f>
        <v>0</v>
      </c>
      <c r="E1704" s="2">
        <f>COUNTIF(contact[[#This Row],[Bagossy]:[Szo
03:00 - 10:00]],"=x")</f>
        <v>0</v>
      </c>
      <c r="F1704" s="2">
        <f>SUM(contact[[#This Row],[?]:[x]])</f>
        <v>0</v>
      </c>
      <c r="G17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04" s="2"/>
      <c r="I1704" s="2"/>
      <c r="J1704" s="3" t="s">
        <v>3437</v>
      </c>
      <c r="K1704" s="1" t="s">
        <v>1645</v>
      </c>
      <c r="L1704" s="1" t="s">
        <v>2</v>
      </c>
      <c r="M1704" s="1" t="s">
        <v>2</v>
      </c>
      <c r="O1704" s="2"/>
      <c r="P1704" s="2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</row>
    <row r="1705" spans="1:32" s="1" customFormat="1" ht="20.25" customHeight="1" x14ac:dyDescent="0.25">
      <c r="A1705" s="2"/>
      <c r="B1705" s="2"/>
      <c r="C1705" s="2"/>
      <c r="D1705" s="2">
        <f>COUNTIF(contact[[#This Row],[Bagossy]:[Szo
03:00 - 10:00]],"=~?")</f>
        <v>0</v>
      </c>
      <c r="E1705" s="2">
        <f>COUNTIF(contact[[#This Row],[Bagossy]:[Szo
03:00 - 10:00]],"=x")</f>
        <v>0</v>
      </c>
      <c r="F1705" s="2">
        <f>SUM(contact[[#This Row],[?]:[x]])</f>
        <v>0</v>
      </c>
      <c r="G17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5" s="3" t="s">
        <v>4415</v>
      </c>
      <c r="K1705" s="1" t="s">
        <v>2</v>
      </c>
      <c r="L1705" s="1" t="s">
        <v>2</v>
      </c>
      <c r="M1705" s="1" t="s">
        <v>2</v>
      </c>
      <c r="O1705" s="2"/>
      <c r="P1705" s="2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</row>
    <row r="1706" spans="1:32" s="1" customFormat="1" ht="20.25" customHeight="1" x14ac:dyDescent="0.25">
      <c r="A1706" s="2"/>
      <c r="B1706" s="2"/>
      <c r="C1706" s="2"/>
      <c r="D1706" s="2">
        <f>COUNTIF(contact[[#This Row],[Bagossy]:[Szo
03:00 - 10:00]],"=~?")</f>
        <v>0</v>
      </c>
      <c r="E1706" s="2">
        <f>COUNTIF(contact[[#This Row],[Bagossy]:[Szo
03:00 - 10:00]],"=x")</f>
        <v>0</v>
      </c>
      <c r="F1706" s="2">
        <f>SUM(contact[[#This Row],[?]:[x]])</f>
        <v>0</v>
      </c>
      <c r="G17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6" s="3" t="s">
        <v>4113</v>
      </c>
      <c r="K1706" s="1" t="s">
        <v>2</v>
      </c>
      <c r="L1706" s="1" t="s">
        <v>2</v>
      </c>
      <c r="M1706" s="1" t="s">
        <v>2</v>
      </c>
      <c r="O1706" s="2"/>
      <c r="P1706" s="2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</row>
    <row r="1707" spans="1:32" s="1" customFormat="1" ht="20.25" customHeight="1" x14ac:dyDescent="0.25">
      <c r="A1707" s="2"/>
      <c r="B1707" s="2"/>
      <c r="C1707" s="2"/>
      <c r="D1707" s="2">
        <f>COUNTIF(contact[[#This Row],[Bagossy]:[Szo
03:00 - 10:00]],"=~?")</f>
        <v>0</v>
      </c>
      <c r="E1707" s="2">
        <f>COUNTIF(contact[[#This Row],[Bagossy]:[Szo
03:00 - 10:00]],"=x")</f>
        <v>0</v>
      </c>
      <c r="F1707" s="2">
        <f>SUM(contact[[#This Row],[?]:[x]])</f>
        <v>0</v>
      </c>
      <c r="G17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7" s="3" t="s">
        <v>3889</v>
      </c>
      <c r="K1707" s="1" t="s">
        <v>1002</v>
      </c>
      <c r="L1707" s="1" t="s">
        <v>2</v>
      </c>
      <c r="M1707" s="1" t="s">
        <v>2</v>
      </c>
      <c r="O1707" s="2"/>
      <c r="P1707" s="2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</row>
    <row r="1708" spans="1:32" s="1" customFormat="1" ht="20.25" customHeight="1" x14ac:dyDescent="0.25">
      <c r="A1708" s="2"/>
      <c r="B1708" s="2"/>
      <c r="C1708" s="2" t="s">
        <v>1285</v>
      </c>
      <c r="D1708" s="2">
        <f>COUNTIF(contact[[#This Row],[Bagossy]:[Szo
03:00 - 10:00]],"=~?")</f>
        <v>0</v>
      </c>
      <c r="E1708" s="2">
        <f>COUNTIF(contact[[#This Row],[Bagossy]:[Szo
03:00 - 10:00]],"=x")</f>
        <v>0</v>
      </c>
      <c r="F1708" s="2">
        <f>SUM(contact[[#This Row],[?]:[x]])</f>
        <v>0</v>
      </c>
      <c r="G17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08" s="2"/>
      <c r="I1708" s="2"/>
      <c r="J1708" s="3" t="s">
        <v>840</v>
      </c>
      <c r="K1708" s="1" t="s">
        <v>841</v>
      </c>
      <c r="L1708" s="1" t="s">
        <v>2</v>
      </c>
      <c r="M1708" s="1" t="s">
        <v>2</v>
      </c>
      <c r="O1708" s="2"/>
      <c r="P1708" s="2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</row>
    <row r="1709" spans="1:32" s="1" customFormat="1" ht="20.25" customHeight="1" x14ac:dyDescent="0.25">
      <c r="A1709" s="2"/>
      <c r="B1709" s="2"/>
      <c r="C1709" s="2"/>
      <c r="D1709" s="2">
        <f>COUNTIF(contact[[#This Row],[Bagossy]:[Szo
03:00 - 10:00]],"=~?")</f>
        <v>0</v>
      </c>
      <c r="E1709" s="2">
        <f>COUNTIF(contact[[#This Row],[Bagossy]:[Szo
03:00 - 10:00]],"=x")</f>
        <v>0</v>
      </c>
      <c r="F1709" s="2">
        <f>SUM(contact[[#This Row],[?]:[x]])</f>
        <v>0</v>
      </c>
      <c r="G17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09" s="3" t="s">
        <v>3419</v>
      </c>
      <c r="K1709" s="1" t="s">
        <v>1639</v>
      </c>
      <c r="L1709" s="1" t="s">
        <v>2</v>
      </c>
      <c r="M1709" s="1" t="s">
        <v>2</v>
      </c>
      <c r="O1709" s="2"/>
      <c r="P1709" s="2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</row>
    <row r="1710" spans="1:32" s="1" customFormat="1" ht="20.25" customHeight="1" x14ac:dyDescent="0.25">
      <c r="A1710" s="2"/>
      <c r="B1710" s="2"/>
      <c r="C1710" s="2"/>
      <c r="D1710" s="2">
        <f>COUNTIF(contact[[#This Row],[Bagossy]:[Szo
03:00 - 10:00]],"=~?")</f>
        <v>0</v>
      </c>
      <c r="E1710" s="2">
        <f>COUNTIF(contact[[#This Row],[Bagossy]:[Szo
03:00 - 10:00]],"=x")</f>
        <v>0</v>
      </c>
      <c r="F1710" s="2">
        <f>SUM(contact[[#This Row],[?]:[x]])</f>
        <v>0</v>
      </c>
      <c r="G17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0" s="3" t="s">
        <v>4394</v>
      </c>
      <c r="K1710" s="1" t="s">
        <v>1224</v>
      </c>
      <c r="L1710" s="1" t="s">
        <v>2</v>
      </c>
      <c r="M1710" s="1" t="s">
        <v>2</v>
      </c>
      <c r="O1710" s="2"/>
      <c r="P1710" s="2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</row>
    <row r="1711" spans="1:32" s="1" customFormat="1" ht="20.25" customHeight="1" x14ac:dyDescent="0.25">
      <c r="A1711" s="2"/>
      <c r="B1711" s="2"/>
      <c r="C1711" s="2"/>
      <c r="D1711" s="2">
        <f>COUNTIF(contact[[#This Row],[Bagossy]:[Szo
03:00 - 10:00]],"=~?")</f>
        <v>0</v>
      </c>
      <c r="E1711" s="2">
        <f>COUNTIF(contact[[#This Row],[Bagossy]:[Szo
03:00 - 10:00]],"=x")</f>
        <v>0</v>
      </c>
      <c r="F1711" s="2">
        <f>SUM(contact[[#This Row],[?]:[x]])</f>
        <v>0</v>
      </c>
      <c r="G17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1" s="3" t="s">
        <v>4284</v>
      </c>
      <c r="K1711" s="1" t="s">
        <v>1174</v>
      </c>
      <c r="L1711" s="1" t="s">
        <v>2</v>
      </c>
      <c r="M1711" s="1" t="s">
        <v>2</v>
      </c>
      <c r="O1711" s="2"/>
      <c r="P1711" s="2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</row>
    <row r="1712" spans="1:32" s="1" customFormat="1" ht="20.25" customHeight="1" x14ac:dyDescent="0.25">
      <c r="A1712" s="2"/>
      <c r="B1712" s="2"/>
      <c r="C1712" s="2"/>
      <c r="D1712" s="2">
        <f>COUNTIF(contact[[#This Row],[Bagossy]:[Szo
03:00 - 10:00]],"=~?")</f>
        <v>0</v>
      </c>
      <c r="E1712" s="2">
        <f>COUNTIF(contact[[#This Row],[Bagossy]:[Szo
03:00 - 10:00]],"=x")</f>
        <v>0</v>
      </c>
      <c r="F1712" s="2">
        <f>SUM(contact[[#This Row],[?]:[x]])</f>
        <v>0</v>
      </c>
      <c r="G17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2" s="3" t="s">
        <v>4591</v>
      </c>
      <c r="K1712" s="1" t="s">
        <v>2</v>
      </c>
      <c r="L1712" s="1" t="s">
        <v>2</v>
      </c>
      <c r="M1712" s="1" t="s">
        <v>2</v>
      </c>
      <c r="O1712" s="2"/>
      <c r="P1712" s="2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</row>
    <row r="1713" spans="1:32" s="1" customFormat="1" ht="20.25" customHeight="1" x14ac:dyDescent="0.25">
      <c r="A1713" s="2"/>
      <c r="B1713" s="2"/>
      <c r="C1713" s="2"/>
      <c r="D1713" s="2">
        <f>COUNTIF(contact[[#This Row],[Bagossy]:[Szo
03:00 - 10:00]],"=~?")</f>
        <v>0</v>
      </c>
      <c r="E1713" s="2">
        <f>COUNTIF(contact[[#This Row],[Bagossy]:[Szo
03:00 - 10:00]],"=x")</f>
        <v>0</v>
      </c>
      <c r="F1713" s="2">
        <f>SUM(contact[[#This Row],[?]:[x]])</f>
        <v>0</v>
      </c>
      <c r="G17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3" s="3" t="s">
        <v>2850</v>
      </c>
      <c r="K1713" s="1" t="s">
        <v>529</v>
      </c>
      <c r="L1713" s="1" t="s">
        <v>2</v>
      </c>
      <c r="M1713" s="1" t="s">
        <v>2</v>
      </c>
      <c r="O1713" s="2"/>
      <c r="P1713" s="2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</row>
    <row r="1714" spans="1:32" s="1" customFormat="1" ht="20.25" customHeight="1" x14ac:dyDescent="0.25">
      <c r="A1714" s="2"/>
      <c r="B1714" s="2"/>
      <c r="C1714" s="2"/>
      <c r="D1714" s="2">
        <f>COUNTIF(contact[[#This Row],[Bagossy]:[Szo
03:00 - 10:00]],"=~?")</f>
        <v>0</v>
      </c>
      <c r="E1714" s="2">
        <f>COUNTIF(contact[[#This Row],[Bagossy]:[Szo
03:00 - 10:00]],"=x")</f>
        <v>0</v>
      </c>
      <c r="F1714" s="2">
        <f>SUM(contact[[#This Row],[?]:[x]])</f>
        <v>0</v>
      </c>
      <c r="G17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4" s="3" t="s">
        <v>2997</v>
      </c>
      <c r="K1714" s="1" t="s">
        <v>358</v>
      </c>
      <c r="L1714" s="1" t="s">
        <v>2</v>
      </c>
      <c r="M1714" s="1" t="s">
        <v>2</v>
      </c>
      <c r="O1714" s="2"/>
      <c r="P1714" s="2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</row>
    <row r="1715" spans="1:32" s="1" customFormat="1" ht="20.25" customHeight="1" x14ac:dyDescent="0.25">
      <c r="A1715" s="2"/>
      <c r="B1715" s="2"/>
      <c r="C1715" s="2"/>
      <c r="D1715" s="2">
        <f>COUNTIF(contact[[#This Row],[Bagossy]:[Szo
03:00 - 10:00]],"=~?")</f>
        <v>0</v>
      </c>
      <c r="E1715" s="2">
        <f>COUNTIF(contact[[#This Row],[Bagossy]:[Szo
03:00 - 10:00]],"=x")</f>
        <v>0</v>
      </c>
      <c r="F1715" s="2">
        <f>SUM(contact[[#This Row],[?]:[x]])</f>
        <v>0</v>
      </c>
      <c r="G17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5" s="3" t="s">
        <v>3528</v>
      </c>
      <c r="K1715" s="1" t="s">
        <v>2</v>
      </c>
      <c r="L1715" s="1" t="s">
        <v>2</v>
      </c>
      <c r="M1715" s="1" t="s">
        <v>2</v>
      </c>
      <c r="O1715" s="2"/>
      <c r="P1715" s="2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</row>
    <row r="1716" spans="1:32" s="1" customFormat="1" ht="20.25" customHeight="1" x14ac:dyDescent="0.25">
      <c r="A1716" s="2"/>
      <c r="B1716" s="2"/>
      <c r="C1716" s="2"/>
      <c r="D1716" s="2">
        <f>COUNTIF(contact[[#This Row],[Bagossy]:[Szo
03:00 - 10:00]],"=~?")</f>
        <v>0</v>
      </c>
      <c r="E1716" s="2">
        <f>COUNTIF(contact[[#This Row],[Bagossy]:[Szo
03:00 - 10:00]],"=x")</f>
        <v>0</v>
      </c>
      <c r="F1716" s="2">
        <f>SUM(contact[[#This Row],[?]:[x]])</f>
        <v>0</v>
      </c>
      <c r="G17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6" s="3" t="s">
        <v>3602</v>
      </c>
      <c r="K1716" s="1" t="s">
        <v>2</v>
      </c>
      <c r="L1716" s="1" t="s">
        <v>2</v>
      </c>
      <c r="M1716" s="1" t="s">
        <v>2</v>
      </c>
      <c r="O1716" s="2"/>
      <c r="P1716" s="2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</row>
    <row r="1717" spans="1:32" s="1" customFormat="1" ht="20.25" customHeight="1" x14ac:dyDescent="0.25">
      <c r="A1717" s="2"/>
      <c r="B1717" s="2"/>
      <c r="C1717" s="2"/>
      <c r="D1717" s="2">
        <f>COUNTIF(contact[[#This Row],[Bagossy]:[Szo
03:00 - 10:00]],"=~?")</f>
        <v>0</v>
      </c>
      <c r="E1717" s="2">
        <f>COUNTIF(contact[[#This Row],[Bagossy]:[Szo
03:00 - 10:00]],"=x")</f>
        <v>0</v>
      </c>
      <c r="F1717" s="2">
        <f>SUM(contact[[#This Row],[?]:[x]])</f>
        <v>0</v>
      </c>
      <c r="G17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7" s="3" t="s">
        <v>4222</v>
      </c>
      <c r="K1717" s="1" t="s">
        <v>30</v>
      </c>
      <c r="L1717" s="1" t="s">
        <v>2</v>
      </c>
      <c r="M1717" s="1" t="s">
        <v>2</v>
      </c>
      <c r="O1717" s="2"/>
      <c r="P1717" s="2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</row>
    <row r="1718" spans="1:32" s="1" customFormat="1" ht="20.25" customHeight="1" x14ac:dyDescent="0.25">
      <c r="A1718" s="2"/>
      <c r="B1718" s="2"/>
      <c r="C1718" s="2"/>
      <c r="D1718" s="2">
        <f>COUNTIF(contact[[#This Row],[Bagossy]:[Szo
03:00 - 10:00]],"=~?")</f>
        <v>0</v>
      </c>
      <c r="E1718" s="2">
        <f>COUNTIF(contact[[#This Row],[Bagossy]:[Szo
03:00 - 10:00]],"=x")</f>
        <v>0</v>
      </c>
      <c r="F1718" s="2">
        <f>SUM(contact[[#This Row],[?]:[x]])</f>
        <v>0</v>
      </c>
      <c r="G17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8" s="3" t="s">
        <v>4365</v>
      </c>
      <c r="K1718" s="1" t="s">
        <v>1313</v>
      </c>
      <c r="L1718" s="1" t="s">
        <v>2</v>
      </c>
      <c r="M1718" s="1" t="s">
        <v>2</v>
      </c>
      <c r="O1718" s="2"/>
      <c r="P1718" s="2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</row>
    <row r="1719" spans="1:32" s="1" customFormat="1" ht="20.25" customHeight="1" x14ac:dyDescent="0.25">
      <c r="A1719" s="2"/>
      <c r="B1719" s="2"/>
      <c r="C1719" s="2"/>
      <c r="D1719" s="2">
        <f>COUNTIF(contact[[#This Row],[Bagossy]:[Szo
03:00 - 10:00]],"=~?")</f>
        <v>0</v>
      </c>
      <c r="E1719" s="2">
        <f>COUNTIF(contact[[#This Row],[Bagossy]:[Szo
03:00 - 10:00]],"=x")</f>
        <v>0</v>
      </c>
      <c r="F1719" s="2">
        <f>SUM(contact[[#This Row],[?]:[x]])</f>
        <v>0</v>
      </c>
      <c r="G17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19" s="3" t="s">
        <v>2536</v>
      </c>
      <c r="K1719" s="1" t="s">
        <v>1440</v>
      </c>
      <c r="L1719" s="1" t="s">
        <v>2</v>
      </c>
      <c r="M1719" s="1" t="s">
        <v>2</v>
      </c>
      <c r="O1719" s="2"/>
      <c r="P1719" s="2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</row>
    <row r="1720" spans="1:32" s="1" customFormat="1" ht="20.25" customHeight="1" x14ac:dyDescent="0.25">
      <c r="A1720" s="2"/>
      <c r="B1720" s="2"/>
      <c r="C1720" s="2"/>
      <c r="D1720" s="2">
        <f>COUNTIF(contact[[#This Row],[Bagossy]:[Szo
03:00 - 10:00]],"=~?")</f>
        <v>0</v>
      </c>
      <c r="E1720" s="2">
        <f>COUNTIF(contact[[#This Row],[Bagossy]:[Szo
03:00 - 10:00]],"=x")</f>
        <v>0</v>
      </c>
      <c r="F1720" s="2">
        <f>SUM(contact[[#This Row],[?]:[x]])</f>
        <v>0</v>
      </c>
      <c r="G17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20" s="3" t="s">
        <v>3646</v>
      </c>
      <c r="K1720" s="1" t="s">
        <v>2</v>
      </c>
      <c r="L1720" s="1" t="s">
        <v>2</v>
      </c>
      <c r="M1720" s="1" t="s">
        <v>2</v>
      </c>
      <c r="O1720" s="2"/>
      <c r="P1720" s="2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</row>
    <row r="1721" spans="1:32" s="1" customFormat="1" ht="20.25" customHeight="1" x14ac:dyDescent="0.25">
      <c r="A1721" s="2"/>
      <c r="B1721" s="2"/>
      <c r="C1721" s="2"/>
      <c r="D1721" s="2">
        <f>COUNTIF(contact[[#This Row],[Bagossy]:[Szo
03:00 - 10:00]],"=~?")</f>
        <v>0</v>
      </c>
      <c r="E1721" s="2">
        <f>COUNTIF(contact[[#This Row],[Bagossy]:[Szo
03:00 - 10:00]],"=x")</f>
        <v>0</v>
      </c>
      <c r="F1721" s="2">
        <f>SUM(contact[[#This Row],[?]:[x]])</f>
        <v>0</v>
      </c>
      <c r="G17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21" s="3" t="s">
        <v>3819</v>
      </c>
      <c r="K1721" s="1" t="s">
        <v>962</v>
      </c>
      <c r="L1721" s="1" t="s">
        <v>2</v>
      </c>
      <c r="M1721" s="1" t="s">
        <v>2</v>
      </c>
      <c r="O1721" s="2"/>
      <c r="P1721" s="2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</row>
    <row r="1722" spans="1:32" s="1" customFormat="1" ht="20.25" customHeight="1" x14ac:dyDescent="0.25">
      <c r="A1722" s="2"/>
      <c r="B1722" s="2"/>
      <c r="C1722" s="2"/>
      <c r="D1722" s="2">
        <f>COUNTIF(contact[[#This Row],[Bagossy]:[Szo
03:00 - 10:00]],"=~?")</f>
        <v>0</v>
      </c>
      <c r="E1722" s="2">
        <f>COUNTIF(contact[[#This Row],[Bagossy]:[Szo
03:00 - 10:00]],"=x")</f>
        <v>0</v>
      </c>
      <c r="F1722" s="2">
        <f>SUM(contact[[#This Row],[?]:[x]])</f>
        <v>0</v>
      </c>
      <c r="G17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22" s="2"/>
      <c r="I1722" s="2"/>
      <c r="J1722" s="3" t="s">
        <v>3444</v>
      </c>
      <c r="K1722" s="1" t="s">
        <v>1648</v>
      </c>
      <c r="L1722" s="1" t="s">
        <v>2</v>
      </c>
      <c r="M1722" s="1" t="s">
        <v>2</v>
      </c>
      <c r="O1722" s="2"/>
      <c r="P1722" s="2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</row>
    <row r="1723" spans="1:32" s="1" customFormat="1" ht="20.25" customHeight="1" x14ac:dyDescent="0.25">
      <c r="A1723" s="2"/>
      <c r="B1723" s="2"/>
      <c r="C1723" s="2"/>
      <c r="D1723" s="2">
        <f>COUNTIF(contact[[#This Row],[Bagossy]:[Szo
03:00 - 10:00]],"=~?")</f>
        <v>0</v>
      </c>
      <c r="E1723" s="2">
        <f>COUNTIF(contact[[#This Row],[Bagossy]:[Szo
03:00 - 10:00]],"=x")</f>
        <v>0</v>
      </c>
      <c r="F1723" s="2">
        <f>SUM(contact[[#This Row],[?]:[x]])</f>
        <v>0</v>
      </c>
      <c r="G17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23" s="2"/>
      <c r="I1723" s="2"/>
      <c r="J1723" s="3" t="s">
        <v>3446</v>
      </c>
      <c r="K1723" s="1" t="s">
        <v>1649</v>
      </c>
      <c r="L1723" s="1" t="s">
        <v>2</v>
      </c>
      <c r="M1723" s="1" t="s">
        <v>2</v>
      </c>
      <c r="O1723" s="2"/>
      <c r="P1723" s="2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</row>
    <row r="1724" spans="1:32" s="1" customFormat="1" ht="20.25" customHeight="1" x14ac:dyDescent="0.25">
      <c r="A1724" s="2"/>
      <c r="B1724" s="2"/>
      <c r="C1724" s="2"/>
      <c r="D1724" s="2">
        <f>COUNTIF(contact[[#This Row],[Bagossy]:[Szo
03:00 - 10:00]],"=~?")</f>
        <v>0</v>
      </c>
      <c r="E1724" s="2">
        <f>COUNTIF(contact[[#This Row],[Bagossy]:[Szo
03:00 - 10:00]],"=x")</f>
        <v>0</v>
      </c>
      <c r="F1724" s="2">
        <f>SUM(contact[[#This Row],[?]:[x]])</f>
        <v>0</v>
      </c>
      <c r="G17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24" s="3" t="s">
        <v>3383</v>
      </c>
      <c r="K1724" s="1" t="s">
        <v>2</v>
      </c>
      <c r="L1724" s="1" t="s">
        <v>2</v>
      </c>
      <c r="M1724" s="1" t="s">
        <v>2</v>
      </c>
      <c r="O1724" s="2"/>
      <c r="P1724" s="2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</row>
    <row r="1725" spans="1:32" s="1" customFormat="1" ht="20.25" customHeight="1" x14ac:dyDescent="0.25">
      <c r="A1725" s="2"/>
      <c r="B1725" s="2"/>
      <c r="C1725" s="2"/>
      <c r="D1725" s="2">
        <f>COUNTIF(contact[[#This Row],[Bagossy]:[Szo
03:00 - 10:00]],"=~?")</f>
        <v>0</v>
      </c>
      <c r="E1725" s="2">
        <f>COUNTIF(contact[[#This Row],[Bagossy]:[Szo
03:00 - 10:00]],"=x")</f>
        <v>0</v>
      </c>
      <c r="F1725" s="2">
        <f>SUM(contact[[#This Row],[?]:[x]])</f>
        <v>0</v>
      </c>
      <c r="G17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25" s="2"/>
      <c r="I1725" s="2"/>
      <c r="J1725" s="3" t="s">
        <v>3448</v>
      </c>
      <c r="K1725" s="1" t="s">
        <v>941</v>
      </c>
      <c r="L1725" s="1" t="s">
        <v>2</v>
      </c>
      <c r="M1725" s="1" t="s">
        <v>2</v>
      </c>
      <c r="O1725" s="2"/>
      <c r="P1725" s="2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</row>
    <row r="1726" spans="1:32" s="1" customFormat="1" ht="20.25" customHeight="1" x14ac:dyDescent="0.25">
      <c r="A1726" s="2"/>
      <c r="B1726" s="2"/>
      <c r="C1726" s="2"/>
      <c r="D1726" s="2">
        <f>COUNTIF(contact[[#This Row],[Bagossy]:[Szo
03:00 - 10:00]],"=~?")</f>
        <v>0</v>
      </c>
      <c r="E1726" s="2">
        <f>COUNTIF(contact[[#This Row],[Bagossy]:[Szo
03:00 - 10:00]],"=x")</f>
        <v>0</v>
      </c>
      <c r="F1726" s="2">
        <f>SUM(contact[[#This Row],[?]:[x]])</f>
        <v>0</v>
      </c>
      <c r="G17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26" s="3" t="s">
        <v>2448</v>
      </c>
      <c r="K1726" s="1" t="s">
        <v>1411</v>
      </c>
      <c r="L1726" s="1" t="s">
        <v>2</v>
      </c>
      <c r="M1726" s="1" t="s">
        <v>2</v>
      </c>
      <c r="O1726" s="2"/>
      <c r="P1726" s="2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</row>
    <row r="1727" spans="1:32" s="1" customFormat="1" ht="20.25" customHeight="1" x14ac:dyDescent="0.25">
      <c r="A1727" s="2"/>
      <c r="B1727" s="2"/>
      <c r="C1727" s="2"/>
      <c r="D1727" s="2">
        <f>COUNTIF(contact[[#This Row],[Bagossy]:[Szo
03:00 - 10:00]],"=~?")</f>
        <v>0</v>
      </c>
      <c r="E1727" s="2">
        <f>COUNTIF(contact[[#This Row],[Bagossy]:[Szo
03:00 - 10:00]],"=x")</f>
        <v>0</v>
      </c>
      <c r="F1727" s="2">
        <f>SUM(contact[[#This Row],[?]:[x]])</f>
        <v>0</v>
      </c>
      <c r="G17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27" s="3" t="s">
        <v>3013</v>
      </c>
      <c r="K1727" s="1" t="s">
        <v>2</v>
      </c>
      <c r="L1727" s="1" t="s">
        <v>2</v>
      </c>
      <c r="M1727" s="1" t="s">
        <v>2</v>
      </c>
      <c r="O1727" s="2"/>
      <c r="P1727" s="2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</row>
    <row r="1728" spans="1:32" s="1" customFormat="1" ht="20.25" customHeight="1" x14ac:dyDescent="0.25">
      <c r="A1728" s="2"/>
      <c r="B1728" s="2"/>
      <c r="C1728" s="2"/>
      <c r="D1728" s="2">
        <f>COUNTIF(contact[[#This Row],[Bagossy]:[Szo
03:00 - 10:00]],"=~?")</f>
        <v>0</v>
      </c>
      <c r="E1728" s="2">
        <f>COUNTIF(contact[[#This Row],[Bagossy]:[Szo
03:00 - 10:00]],"=x")</f>
        <v>0</v>
      </c>
      <c r="F1728" s="2">
        <f>SUM(contact[[#This Row],[?]:[x]])</f>
        <v>0</v>
      </c>
      <c r="G17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28" s="2"/>
      <c r="I1728" s="2"/>
      <c r="J1728" s="3" t="s">
        <v>3449</v>
      </c>
      <c r="K1728" s="1" t="s">
        <v>777</v>
      </c>
      <c r="L1728" s="1" t="s">
        <v>2</v>
      </c>
      <c r="M1728" s="1" t="s">
        <v>2</v>
      </c>
      <c r="O1728" s="2"/>
      <c r="P1728" s="2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</row>
    <row r="1729" spans="1:32" s="1" customFormat="1" ht="20.25" customHeight="1" x14ac:dyDescent="0.25">
      <c r="A1729" s="2"/>
      <c r="B1729" s="2"/>
      <c r="C1729" s="2"/>
      <c r="D1729" s="2">
        <f>COUNTIF(contact[[#This Row],[Bagossy]:[Szo
03:00 - 10:00]],"=~?")</f>
        <v>0</v>
      </c>
      <c r="E1729" s="2">
        <f>COUNTIF(contact[[#This Row],[Bagossy]:[Szo
03:00 - 10:00]],"=x")</f>
        <v>0</v>
      </c>
      <c r="F1729" s="2">
        <f>SUM(contact[[#This Row],[?]:[x]])</f>
        <v>0</v>
      </c>
      <c r="G17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29" s="2"/>
      <c r="I1729" s="2"/>
      <c r="J1729" s="3" t="s">
        <v>3452</v>
      </c>
      <c r="K1729" s="1" t="s">
        <v>6</v>
      </c>
      <c r="L1729" s="1" t="s">
        <v>2</v>
      </c>
      <c r="M1729" s="1" t="s">
        <v>2</v>
      </c>
      <c r="O1729" s="2"/>
      <c r="P1729" s="2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</row>
    <row r="1730" spans="1:32" s="1" customFormat="1" ht="20.25" customHeight="1" x14ac:dyDescent="0.25">
      <c r="A1730" s="2"/>
      <c r="B1730" s="2"/>
      <c r="C1730" s="2"/>
      <c r="D1730" s="2">
        <f>COUNTIF(contact[[#This Row],[Bagossy]:[Szo
03:00 - 10:00]],"=~?")</f>
        <v>0</v>
      </c>
      <c r="E1730" s="2">
        <f>COUNTIF(contact[[#This Row],[Bagossy]:[Szo
03:00 - 10:00]],"=x")</f>
        <v>0</v>
      </c>
      <c r="F1730" s="2">
        <f>SUM(contact[[#This Row],[?]:[x]])</f>
        <v>0</v>
      </c>
      <c r="G17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0" s="3" t="s">
        <v>2756</v>
      </c>
      <c r="K1730" s="1" t="s">
        <v>1374</v>
      </c>
      <c r="L1730" s="1" t="s">
        <v>2</v>
      </c>
      <c r="M1730" s="1" t="s">
        <v>2</v>
      </c>
      <c r="O1730" s="2"/>
      <c r="P1730" s="2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</row>
    <row r="1731" spans="1:32" s="1" customFormat="1" ht="20.25" customHeight="1" x14ac:dyDescent="0.25">
      <c r="A1731" s="2"/>
      <c r="B1731" s="2"/>
      <c r="C1731" s="2"/>
      <c r="D1731" s="2">
        <f>COUNTIF(contact[[#This Row],[Bagossy]:[Szo
03:00 - 10:00]],"=~?")</f>
        <v>0</v>
      </c>
      <c r="E1731" s="2">
        <f>COUNTIF(contact[[#This Row],[Bagossy]:[Szo
03:00 - 10:00]],"=x")</f>
        <v>0</v>
      </c>
      <c r="F1731" s="2">
        <f>SUM(contact[[#This Row],[?]:[x]])</f>
        <v>0</v>
      </c>
      <c r="G17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1" s="3" t="s">
        <v>2399</v>
      </c>
      <c r="K1731" s="1" t="s">
        <v>47</v>
      </c>
      <c r="L1731" s="1" t="s">
        <v>2</v>
      </c>
      <c r="M1731" s="1" t="s">
        <v>2</v>
      </c>
      <c r="O1731" s="2"/>
      <c r="P1731" s="2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</row>
    <row r="1732" spans="1:32" s="1" customFormat="1" ht="20.25" customHeight="1" x14ac:dyDescent="0.25">
      <c r="A1732" s="2"/>
      <c r="B1732" s="2"/>
      <c r="C1732" s="2"/>
      <c r="D1732" s="2">
        <f>COUNTIF(contact[[#This Row],[Bagossy]:[Szo
03:00 - 10:00]],"=~?")</f>
        <v>0</v>
      </c>
      <c r="E1732" s="2">
        <f>COUNTIF(contact[[#This Row],[Bagossy]:[Szo
03:00 - 10:00]],"=x")</f>
        <v>0</v>
      </c>
      <c r="F1732" s="2">
        <f>SUM(contact[[#This Row],[?]:[x]])</f>
        <v>0</v>
      </c>
      <c r="G17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2" s="3" t="s">
        <v>2796</v>
      </c>
      <c r="K1732" s="1" t="s">
        <v>1488</v>
      </c>
      <c r="L1732" s="1" t="s">
        <v>2</v>
      </c>
      <c r="M1732" s="1" t="s">
        <v>2</v>
      </c>
      <c r="O1732" s="2"/>
      <c r="P1732" s="2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</row>
    <row r="1733" spans="1:32" s="1" customFormat="1" ht="20.25" customHeight="1" x14ac:dyDescent="0.25">
      <c r="A1733" s="2"/>
      <c r="B1733" s="2"/>
      <c r="C1733" s="2"/>
      <c r="D1733" s="2">
        <f>COUNTIF(contact[[#This Row],[Bagossy]:[Szo
03:00 - 10:00]],"=~?")</f>
        <v>0</v>
      </c>
      <c r="E1733" s="2">
        <f>COUNTIF(contact[[#This Row],[Bagossy]:[Szo
03:00 - 10:00]],"=x")</f>
        <v>0</v>
      </c>
      <c r="F1733" s="2">
        <f>SUM(contact[[#This Row],[?]:[x]])</f>
        <v>0</v>
      </c>
      <c r="G17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3" s="3" t="s">
        <v>3054</v>
      </c>
      <c r="K1733" s="1" t="s">
        <v>1327</v>
      </c>
      <c r="L1733" s="1" t="s">
        <v>2</v>
      </c>
      <c r="M1733" s="1" t="s">
        <v>2</v>
      </c>
      <c r="O1733" s="2"/>
      <c r="P1733" s="2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</row>
    <row r="1734" spans="1:32" s="1" customFormat="1" ht="20.25" customHeight="1" x14ac:dyDescent="0.25">
      <c r="A1734" s="2"/>
      <c r="B1734" s="2"/>
      <c r="C1734" s="2"/>
      <c r="D1734" s="2">
        <f>COUNTIF(contact[[#This Row],[Bagossy]:[Szo
03:00 - 10:00]],"=~?")</f>
        <v>0</v>
      </c>
      <c r="E1734" s="2">
        <f>COUNTIF(contact[[#This Row],[Bagossy]:[Szo
03:00 - 10:00]],"=x")</f>
        <v>0</v>
      </c>
      <c r="F1734" s="2">
        <f>SUM(contact[[#This Row],[?]:[x]])</f>
        <v>0</v>
      </c>
      <c r="G17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4" s="3" t="s">
        <v>3267</v>
      </c>
      <c r="K1734" s="1" t="s">
        <v>1605</v>
      </c>
      <c r="L1734" s="1" t="s">
        <v>2</v>
      </c>
      <c r="M1734" s="1" t="s">
        <v>2</v>
      </c>
      <c r="O1734" s="2"/>
      <c r="P1734" s="2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</row>
    <row r="1735" spans="1:32" s="1" customFormat="1" ht="20.25" customHeight="1" x14ac:dyDescent="0.25">
      <c r="A1735" s="2"/>
      <c r="B1735" s="2"/>
      <c r="C1735" s="2"/>
      <c r="D1735" s="2">
        <f>COUNTIF(contact[[#This Row],[Bagossy]:[Szo
03:00 - 10:00]],"=~?")</f>
        <v>0</v>
      </c>
      <c r="E1735" s="2">
        <f>COUNTIF(contact[[#This Row],[Bagossy]:[Szo
03:00 - 10:00]],"=x")</f>
        <v>0</v>
      </c>
      <c r="F1735" s="2">
        <f>SUM(contact[[#This Row],[?]:[x]])</f>
        <v>0</v>
      </c>
      <c r="G17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5" s="3" t="s">
        <v>3319</v>
      </c>
      <c r="K1735" s="1" t="s">
        <v>745</v>
      </c>
      <c r="L1735" s="1" t="s">
        <v>2</v>
      </c>
      <c r="M1735" s="1" t="s">
        <v>2</v>
      </c>
      <c r="O1735" s="2"/>
      <c r="P1735" s="2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</row>
    <row r="1736" spans="1:32" s="1" customFormat="1" ht="20.25" customHeight="1" x14ac:dyDescent="0.25">
      <c r="A1736" s="2"/>
      <c r="B1736" s="2"/>
      <c r="C1736" s="2"/>
      <c r="D1736" s="2">
        <f>COUNTIF(contact[[#This Row],[Bagossy]:[Szo
03:00 - 10:00]],"=~?")</f>
        <v>0</v>
      </c>
      <c r="E1736" s="2">
        <f>COUNTIF(contact[[#This Row],[Bagossy]:[Szo
03:00 - 10:00]],"=x")</f>
        <v>0</v>
      </c>
      <c r="F1736" s="2">
        <f>SUM(contact[[#This Row],[?]:[x]])</f>
        <v>0</v>
      </c>
      <c r="G17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6" s="3" t="s">
        <v>4416</v>
      </c>
      <c r="K1736" s="1" t="s">
        <v>1361</v>
      </c>
      <c r="L1736" s="1" t="s">
        <v>2</v>
      </c>
      <c r="M1736" s="1" t="s">
        <v>2</v>
      </c>
      <c r="O1736" s="2"/>
      <c r="P1736" s="2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</row>
    <row r="1737" spans="1:32" s="1" customFormat="1" ht="20.25" customHeight="1" x14ac:dyDescent="0.25">
      <c r="A1737" s="2"/>
      <c r="B1737" s="2"/>
      <c r="C1737" s="2"/>
      <c r="D1737" s="2">
        <f>COUNTIF(contact[[#This Row],[Bagossy]:[Szo
03:00 - 10:00]],"=~?")</f>
        <v>0</v>
      </c>
      <c r="E1737" s="2">
        <f>COUNTIF(contact[[#This Row],[Bagossy]:[Szo
03:00 - 10:00]],"=x")</f>
        <v>0</v>
      </c>
      <c r="F1737" s="2">
        <f>SUM(contact[[#This Row],[?]:[x]])</f>
        <v>0</v>
      </c>
      <c r="G17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7" s="3" t="s">
        <v>3539</v>
      </c>
      <c r="K1737" s="1" t="s">
        <v>835</v>
      </c>
      <c r="L1737" s="1" t="s">
        <v>2</v>
      </c>
      <c r="M1737" s="1" t="s">
        <v>2</v>
      </c>
      <c r="O1737" s="2"/>
      <c r="P1737" s="2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</row>
    <row r="1738" spans="1:32" s="1" customFormat="1" ht="20.25" customHeight="1" x14ac:dyDescent="0.25">
      <c r="A1738" s="2"/>
      <c r="B1738" s="2"/>
      <c r="C1738" s="2"/>
      <c r="D1738" s="2">
        <f>COUNTIF(contact[[#This Row],[Bagossy]:[Szo
03:00 - 10:00]],"=~?")</f>
        <v>0</v>
      </c>
      <c r="E1738" s="2">
        <f>COUNTIF(contact[[#This Row],[Bagossy]:[Szo
03:00 - 10:00]],"=x")</f>
        <v>0</v>
      </c>
      <c r="F1738" s="2">
        <f>SUM(contact[[#This Row],[?]:[x]])</f>
        <v>0</v>
      </c>
      <c r="G17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38" s="2"/>
      <c r="I1738" s="2"/>
      <c r="J1738" s="3" t="s">
        <v>3454</v>
      </c>
      <c r="K1738" s="1" t="s">
        <v>1650</v>
      </c>
      <c r="L1738" s="1" t="s">
        <v>2</v>
      </c>
      <c r="M1738" s="1" t="s">
        <v>2</v>
      </c>
      <c r="O1738" s="2"/>
      <c r="P1738" s="2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</row>
    <row r="1739" spans="1:32" s="1" customFormat="1" ht="20.25" customHeight="1" x14ac:dyDescent="0.25">
      <c r="A1739" s="2"/>
      <c r="B1739" s="2"/>
      <c r="C1739" s="2"/>
      <c r="D1739" s="2">
        <f>COUNTIF(contact[[#This Row],[Bagossy]:[Szo
03:00 - 10:00]],"=~?")</f>
        <v>0</v>
      </c>
      <c r="E1739" s="2">
        <f>COUNTIF(contact[[#This Row],[Bagossy]:[Szo
03:00 - 10:00]],"=x")</f>
        <v>0</v>
      </c>
      <c r="F1739" s="2">
        <f>SUM(contact[[#This Row],[?]:[x]])</f>
        <v>0</v>
      </c>
      <c r="G17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39" s="3" t="s">
        <v>4333</v>
      </c>
      <c r="K1739" s="1" t="s">
        <v>2</v>
      </c>
      <c r="L1739" s="1" t="s">
        <v>2</v>
      </c>
      <c r="M1739" s="1" t="s">
        <v>2</v>
      </c>
      <c r="O1739" s="2"/>
      <c r="P1739" s="2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</row>
    <row r="1740" spans="1:32" s="1" customFormat="1" ht="20.25" customHeight="1" x14ac:dyDescent="0.25">
      <c r="A1740" s="2"/>
      <c r="B1740" s="2"/>
      <c r="C1740" s="2"/>
      <c r="D1740" s="2">
        <f>COUNTIF(contact[[#This Row],[Bagossy]:[Szo
03:00 - 10:00]],"=~?")</f>
        <v>0</v>
      </c>
      <c r="E1740" s="2">
        <f>COUNTIF(contact[[#This Row],[Bagossy]:[Szo
03:00 - 10:00]],"=x")</f>
        <v>0</v>
      </c>
      <c r="F1740" s="2">
        <f>SUM(contact[[#This Row],[?]:[x]])</f>
        <v>0</v>
      </c>
      <c r="G17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0" s="3" t="s">
        <v>1974</v>
      </c>
      <c r="K1740" s="1" t="s">
        <v>49</v>
      </c>
      <c r="L1740" s="1" t="s">
        <v>2</v>
      </c>
      <c r="M1740" s="1" t="s">
        <v>2</v>
      </c>
      <c r="O1740" s="2"/>
      <c r="P1740" s="2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</row>
    <row r="1741" spans="1:32" s="1" customFormat="1" ht="20.25" customHeight="1" x14ac:dyDescent="0.25">
      <c r="A1741" s="2"/>
      <c r="B1741" s="2"/>
      <c r="C1741" s="2"/>
      <c r="D1741" s="2">
        <f>COUNTIF(contact[[#This Row],[Bagossy]:[Szo
03:00 - 10:00]],"=~?")</f>
        <v>0</v>
      </c>
      <c r="E1741" s="2">
        <f>COUNTIF(contact[[#This Row],[Bagossy]:[Szo
03:00 - 10:00]],"=x")</f>
        <v>0</v>
      </c>
      <c r="F1741" s="2">
        <f>SUM(contact[[#This Row],[?]:[x]])</f>
        <v>0</v>
      </c>
      <c r="G17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1" s="3" t="s">
        <v>3856</v>
      </c>
      <c r="K1741" s="1" t="s">
        <v>2</v>
      </c>
      <c r="L1741" s="1" t="s">
        <v>2</v>
      </c>
      <c r="M1741" s="1" t="s">
        <v>2</v>
      </c>
      <c r="O1741" s="2"/>
      <c r="P1741" s="2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</row>
    <row r="1742" spans="1:32" s="1" customFormat="1" ht="20.25" customHeight="1" x14ac:dyDescent="0.25">
      <c r="A1742" s="2"/>
      <c r="B1742" s="2"/>
      <c r="C1742" s="2"/>
      <c r="D1742" s="2">
        <f>COUNTIF(contact[[#This Row],[Bagossy]:[Szo
03:00 - 10:00]],"=~?")</f>
        <v>0</v>
      </c>
      <c r="E1742" s="2">
        <f>COUNTIF(contact[[#This Row],[Bagossy]:[Szo
03:00 - 10:00]],"=x")</f>
        <v>0</v>
      </c>
      <c r="F1742" s="2">
        <f>SUM(contact[[#This Row],[?]:[x]])</f>
        <v>0</v>
      </c>
      <c r="G17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2" s="3" t="s">
        <v>4547</v>
      </c>
      <c r="K1742" s="1" t="s">
        <v>2</v>
      </c>
      <c r="L1742" s="1" t="s">
        <v>2</v>
      </c>
      <c r="M1742" s="1" t="s">
        <v>2</v>
      </c>
      <c r="O1742" s="2"/>
      <c r="P1742" s="2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</row>
    <row r="1743" spans="1:32" s="1" customFormat="1" ht="20.25" customHeight="1" x14ac:dyDescent="0.25">
      <c r="A1743" s="2"/>
      <c r="B1743" s="2"/>
      <c r="C1743" s="2"/>
      <c r="D1743" s="2">
        <f>COUNTIF(contact[[#This Row],[Bagossy]:[Szo
03:00 - 10:00]],"=~?")</f>
        <v>0</v>
      </c>
      <c r="E1743" s="2">
        <f>COUNTIF(contact[[#This Row],[Bagossy]:[Szo
03:00 - 10:00]],"=x")</f>
        <v>0</v>
      </c>
      <c r="F1743" s="2">
        <f>SUM(contact[[#This Row],[?]:[x]])</f>
        <v>0</v>
      </c>
      <c r="G17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3" s="3" t="s">
        <v>2852</v>
      </c>
      <c r="K1743" s="1" t="s">
        <v>530</v>
      </c>
      <c r="L1743" s="1" t="s">
        <v>2</v>
      </c>
      <c r="M1743" s="1" t="s">
        <v>2</v>
      </c>
      <c r="O1743" s="2"/>
      <c r="P1743" s="2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</row>
    <row r="1744" spans="1:32" s="1" customFormat="1" ht="20.25" customHeight="1" x14ac:dyDescent="0.25">
      <c r="A1744" s="2"/>
      <c r="B1744" s="2"/>
      <c r="C1744" s="2"/>
      <c r="D1744" s="2">
        <f>COUNTIF(contact[[#This Row],[Bagossy]:[Szo
03:00 - 10:00]],"=~?")</f>
        <v>0</v>
      </c>
      <c r="E1744" s="2">
        <f>COUNTIF(contact[[#This Row],[Bagossy]:[Szo
03:00 - 10:00]],"=x")</f>
        <v>0</v>
      </c>
      <c r="F1744" s="2">
        <f>SUM(contact[[#This Row],[?]:[x]])</f>
        <v>0</v>
      </c>
      <c r="G17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44" s="2"/>
      <c r="I1744" s="2"/>
      <c r="J1744" s="3" t="s">
        <v>3459</v>
      </c>
      <c r="K1744" s="1" t="s">
        <v>1148</v>
      </c>
      <c r="L1744" s="1" t="s">
        <v>2</v>
      </c>
      <c r="M1744" s="1" t="s">
        <v>2</v>
      </c>
      <c r="O1744" s="2"/>
      <c r="P1744" s="2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</row>
    <row r="1745" spans="1:32" s="1" customFormat="1" ht="20.25" customHeight="1" x14ac:dyDescent="0.25">
      <c r="A1745" s="2"/>
      <c r="B1745" s="2"/>
      <c r="C1745" s="2"/>
      <c r="D1745" s="2">
        <f>COUNTIF(contact[[#This Row],[Bagossy]:[Szo
03:00 - 10:00]],"=~?")</f>
        <v>0</v>
      </c>
      <c r="E1745" s="2">
        <f>COUNTIF(contact[[#This Row],[Bagossy]:[Szo
03:00 - 10:00]],"=x")</f>
        <v>0</v>
      </c>
      <c r="F1745" s="2">
        <f>SUM(contact[[#This Row],[?]:[x]])</f>
        <v>0</v>
      </c>
      <c r="G17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5" s="3" t="s">
        <v>2744</v>
      </c>
      <c r="K1745" s="1" t="s">
        <v>473</v>
      </c>
      <c r="L1745" s="1" t="s">
        <v>2</v>
      </c>
      <c r="M1745" s="1" t="s">
        <v>2</v>
      </c>
      <c r="O1745" s="2"/>
      <c r="P1745" s="2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</row>
    <row r="1746" spans="1:32" s="1" customFormat="1" ht="20.25" customHeight="1" x14ac:dyDescent="0.25">
      <c r="A1746" s="2"/>
      <c r="B1746" s="2"/>
      <c r="C1746" s="2"/>
      <c r="D1746" s="2">
        <f>COUNTIF(contact[[#This Row],[Bagossy]:[Szo
03:00 - 10:00]],"=~?")</f>
        <v>0</v>
      </c>
      <c r="E1746" s="2">
        <f>COUNTIF(contact[[#This Row],[Bagossy]:[Szo
03:00 - 10:00]],"=x")</f>
        <v>0</v>
      </c>
      <c r="F1746" s="2">
        <f>SUM(contact[[#This Row],[?]:[x]])</f>
        <v>0</v>
      </c>
      <c r="G17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46" s="2"/>
      <c r="I1746" s="2"/>
      <c r="J1746" s="3" t="s">
        <v>3460</v>
      </c>
      <c r="K1746" s="1" t="s">
        <v>151</v>
      </c>
      <c r="L1746" s="1" t="s">
        <v>2</v>
      </c>
      <c r="M1746" s="1" t="s">
        <v>2</v>
      </c>
      <c r="O1746" s="2"/>
      <c r="P1746" s="2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</row>
    <row r="1747" spans="1:32" s="1" customFormat="1" ht="20.25" customHeight="1" x14ac:dyDescent="0.25">
      <c r="A1747" s="2"/>
      <c r="B1747" s="2"/>
      <c r="C1747" s="2"/>
      <c r="D1747" s="2">
        <f>COUNTIF(contact[[#This Row],[Bagossy]:[Szo
03:00 - 10:00]],"=~?")</f>
        <v>0</v>
      </c>
      <c r="E1747" s="2">
        <f>COUNTIF(contact[[#This Row],[Bagossy]:[Szo
03:00 - 10:00]],"=x")</f>
        <v>0</v>
      </c>
      <c r="F1747" s="2">
        <f>SUM(contact[[#This Row],[?]:[x]])</f>
        <v>0</v>
      </c>
      <c r="G17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7" s="3" t="s">
        <v>3055</v>
      </c>
      <c r="K1747" s="1" t="s">
        <v>624</v>
      </c>
      <c r="L1747" s="1" t="s">
        <v>2</v>
      </c>
      <c r="M1747" s="1" t="s">
        <v>2</v>
      </c>
      <c r="O1747" s="2"/>
      <c r="P1747" s="2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</row>
    <row r="1748" spans="1:32" s="1" customFormat="1" ht="20.25" customHeight="1" x14ac:dyDescent="0.25">
      <c r="A1748" s="2"/>
      <c r="B1748" s="2"/>
      <c r="C1748" s="2" t="s">
        <v>1285</v>
      </c>
      <c r="D1748" s="2">
        <f>COUNTIF(contact[[#This Row],[Bagossy]:[Szo
03:00 - 10:00]],"=~?")</f>
        <v>0</v>
      </c>
      <c r="E1748" s="2">
        <f>COUNTIF(contact[[#This Row],[Bagossy]:[Szo
03:00 - 10:00]],"=x")</f>
        <v>0</v>
      </c>
      <c r="F1748" s="2">
        <f>SUM(contact[[#This Row],[?]:[x]])</f>
        <v>0</v>
      </c>
      <c r="G17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48" s="2"/>
      <c r="I1748" s="2"/>
      <c r="J1748" s="3" t="s">
        <v>3462</v>
      </c>
      <c r="K1748" s="1" t="s">
        <v>168</v>
      </c>
      <c r="L1748" s="1" t="s">
        <v>2</v>
      </c>
      <c r="M1748" s="1" t="s">
        <v>2</v>
      </c>
      <c r="O1748" s="2"/>
      <c r="P1748" s="2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</row>
    <row r="1749" spans="1:32" s="1" customFormat="1" ht="20.25" customHeight="1" x14ac:dyDescent="0.25">
      <c r="A1749" s="2"/>
      <c r="B1749" s="2"/>
      <c r="C1749" s="2"/>
      <c r="D1749" s="2">
        <f>COUNTIF(contact[[#This Row],[Bagossy]:[Szo
03:00 - 10:00]],"=~?")</f>
        <v>0</v>
      </c>
      <c r="E1749" s="2">
        <f>COUNTIF(contact[[#This Row],[Bagossy]:[Szo
03:00 - 10:00]],"=x")</f>
        <v>0</v>
      </c>
      <c r="F1749" s="2">
        <f>SUM(contact[[#This Row],[?]:[x]])</f>
        <v>0</v>
      </c>
      <c r="G17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49" s="3" t="s">
        <v>4223</v>
      </c>
      <c r="K1749" s="1" t="s">
        <v>1149</v>
      </c>
      <c r="L1749" s="1" t="s">
        <v>2</v>
      </c>
      <c r="M1749" s="1" t="s">
        <v>2</v>
      </c>
      <c r="O1749" s="2"/>
      <c r="P1749" s="2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</row>
    <row r="1750" spans="1:32" s="1" customFormat="1" ht="20.25" customHeight="1" x14ac:dyDescent="0.25">
      <c r="A1750" s="2"/>
      <c r="B1750" s="2"/>
      <c r="C1750" s="2"/>
      <c r="D1750" s="2">
        <f>COUNTIF(contact[[#This Row],[Bagossy]:[Szo
03:00 - 10:00]],"=~?")</f>
        <v>0</v>
      </c>
      <c r="E1750" s="2">
        <f>COUNTIF(contact[[#This Row],[Bagossy]:[Szo
03:00 - 10:00]],"=x")</f>
        <v>0</v>
      </c>
      <c r="F1750" s="2">
        <f>SUM(contact[[#This Row],[?]:[x]])</f>
        <v>0</v>
      </c>
      <c r="G17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0" s="3" t="s">
        <v>3187</v>
      </c>
      <c r="K1750" s="1" t="s">
        <v>1585</v>
      </c>
      <c r="L1750" s="1" t="s">
        <v>2</v>
      </c>
      <c r="M1750" s="1" t="s">
        <v>2</v>
      </c>
      <c r="O1750" s="2"/>
      <c r="P1750" s="2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</row>
    <row r="1751" spans="1:32" s="1" customFormat="1" ht="20.25" customHeight="1" x14ac:dyDescent="0.25">
      <c r="A1751" s="2"/>
      <c r="B1751" s="2"/>
      <c r="C1751" s="2"/>
      <c r="D1751" s="2">
        <f>COUNTIF(contact[[#This Row],[Bagossy]:[Szo
03:00 - 10:00]],"=~?")</f>
        <v>0</v>
      </c>
      <c r="E1751" s="2">
        <f>COUNTIF(contact[[#This Row],[Bagossy]:[Szo
03:00 - 10:00]],"=x")</f>
        <v>0</v>
      </c>
      <c r="F1751" s="2">
        <f>SUM(contact[[#This Row],[?]:[x]])</f>
        <v>0</v>
      </c>
      <c r="G17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1" s="3" t="s">
        <v>4051</v>
      </c>
      <c r="K1751" s="1" t="s">
        <v>66</v>
      </c>
      <c r="L1751" s="1" t="s">
        <v>2</v>
      </c>
      <c r="M1751" s="1" t="s">
        <v>2</v>
      </c>
      <c r="O1751" s="2"/>
      <c r="P1751" s="2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</row>
    <row r="1752" spans="1:32" s="1" customFormat="1" ht="20.25" customHeight="1" x14ac:dyDescent="0.25">
      <c r="A1752" s="2"/>
      <c r="B1752" s="2"/>
      <c r="C1752" s="2"/>
      <c r="D1752" s="2">
        <f>COUNTIF(contact[[#This Row],[Bagossy]:[Szo
03:00 - 10:00]],"=~?")</f>
        <v>0</v>
      </c>
      <c r="E1752" s="2">
        <f>COUNTIF(contact[[#This Row],[Bagossy]:[Szo
03:00 - 10:00]],"=x")</f>
        <v>0</v>
      </c>
      <c r="F1752" s="2">
        <f>SUM(contact[[#This Row],[?]:[x]])</f>
        <v>0</v>
      </c>
      <c r="G17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2" s="3" t="s">
        <v>4304</v>
      </c>
      <c r="K1752" s="1" t="s">
        <v>2</v>
      </c>
      <c r="L1752" s="1" t="s">
        <v>2</v>
      </c>
      <c r="M1752" s="1" t="s">
        <v>2</v>
      </c>
      <c r="O1752" s="2"/>
      <c r="P1752" s="2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</row>
    <row r="1753" spans="1:32" s="1" customFormat="1" ht="20.25" customHeight="1" x14ac:dyDescent="0.25">
      <c r="A1753" s="2"/>
      <c r="B1753" s="2"/>
      <c r="C1753" s="2"/>
      <c r="D1753" s="2">
        <f>COUNTIF(contact[[#This Row],[Bagossy]:[Szo
03:00 - 10:00]],"=~?")</f>
        <v>0</v>
      </c>
      <c r="E1753" s="2">
        <f>COUNTIF(contact[[#This Row],[Bagossy]:[Szo
03:00 - 10:00]],"=x")</f>
        <v>0</v>
      </c>
      <c r="F1753" s="2">
        <f>SUM(contact[[#This Row],[?]:[x]])</f>
        <v>0</v>
      </c>
      <c r="G17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3" s="3" t="s">
        <v>1952</v>
      </c>
      <c r="K1753" s="1" t="s">
        <v>34</v>
      </c>
      <c r="L1753" s="1" t="s">
        <v>2</v>
      </c>
      <c r="M1753" s="1" t="s">
        <v>2</v>
      </c>
      <c r="O1753" s="2"/>
      <c r="P1753" s="2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</row>
    <row r="1754" spans="1:32" s="1" customFormat="1" ht="20.25" customHeight="1" x14ac:dyDescent="0.25">
      <c r="A1754" s="2"/>
      <c r="B1754" s="2"/>
      <c r="C1754" s="2"/>
      <c r="D1754" s="2">
        <f>COUNTIF(contact[[#This Row],[Bagossy]:[Szo
03:00 - 10:00]],"=~?")</f>
        <v>0</v>
      </c>
      <c r="E1754" s="2">
        <f>COUNTIF(contact[[#This Row],[Bagossy]:[Szo
03:00 - 10:00]],"=x")</f>
        <v>0</v>
      </c>
      <c r="F1754" s="2">
        <f>SUM(contact[[#This Row],[?]:[x]])</f>
        <v>0</v>
      </c>
      <c r="G17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4" s="3" t="s">
        <v>3172</v>
      </c>
      <c r="K1754" s="1" t="s">
        <v>677</v>
      </c>
      <c r="L1754" s="1" t="s">
        <v>2</v>
      </c>
      <c r="M1754" s="1" t="s">
        <v>2</v>
      </c>
      <c r="O1754" s="2"/>
      <c r="P1754" s="2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</row>
    <row r="1755" spans="1:32" s="1" customFormat="1" ht="20.25" customHeight="1" x14ac:dyDescent="0.25">
      <c r="A1755" s="2"/>
      <c r="B1755" s="2"/>
      <c r="C1755" s="2"/>
      <c r="D1755" s="2">
        <f>COUNTIF(contact[[#This Row],[Bagossy]:[Szo
03:00 - 10:00]],"=~?")</f>
        <v>0</v>
      </c>
      <c r="E1755" s="2">
        <f>COUNTIF(contact[[#This Row],[Bagossy]:[Szo
03:00 - 10:00]],"=x")</f>
        <v>0</v>
      </c>
      <c r="F1755" s="2">
        <f>SUM(contact[[#This Row],[?]:[x]])</f>
        <v>0</v>
      </c>
      <c r="G17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5" s="3" t="s">
        <v>3323</v>
      </c>
      <c r="K1755" s="1" t="s">
        <v>1303</v>
      </c>
      <c r="L1755" s="1" t="s">
        <v>2</v>
      </c>
      <c r="M1755" s="1" t="s">
        <v>2</v>
      </c>
      <c r="O1755" s="2"/>
      <c r="P1755" s="2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</row>
    <row r="1756" spans="1:32" s="1" customFormat="1" ht="20.25" customHeight="1" x14ac:dyDescent="0.25">
      <c r="A1756" s="2"/>
      <c r="B1756" s="2"/>
      <c r="C1756" s="2"/>
      <c r="D1756" s="2">
        <f>COUNTIF(contact[[#This Row],[Bagossy]:[Szo
03:00 - 10:00]],"=~?")</f>
        <v>0</v>
      </c>
      <c r="E1756" s="2">
        <f>COUNTIF(contact[[#This Row],[Bagossy]:[Szo
03:00 - 10:00]],"=x")</f>
        <v>0</v>
      </c>
      <c r="F1756" s="2">
        <f>SUM(contact[[#This Row],[?]:[x]])</f>
        <v>0</v>
      </c>
      <c r="G17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6" s="3" t="s">
        <v>3471</v>
      </c>
      <c r="K1756" s="1" t="s">
        <v>805</v>
      </c>
      <c r="L1756" s="1" t="s">
        <v>2</v>
      </c>
      <c r="M1756" s="1" t="s">
        <v>2</v>
      </c>
      <c r="O1756" s="2"/>
      <c r="P1756" s="2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</row>
    <row r="1757" spans="1:32" s="1" customFormat="1" ht="20.25" customHeight="1" x14ac:dyDescent="0.25">
      <c r="A1757" s="2"/>
      <c r="B1757" s="2"/>
      <c r="C1757" s="2"/>
      <c r="D1757" s="2">
        <f>COUNTIF(contact[[#This Row],[Bagossy]:[Szo
03:00 - 10:00]],"=~?")</f>
        <v>0</v>
      </c>
      <c r="E1757" s="2">
        <f>COUNTIF(contact[[#This Row],[Bagossy]:[Szo
03:00 - 10:00]],"=x")</f>
        <v>0</v>
      </c>
      <c r="F1757" s="2">
        <f>SUM(contact[[#This Row],[?]:[x]])</f>
        <v>0</v>
      </c>
      <c r="G17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7" s="3" t="s">
        <v>3726</v>
      </c>
      <c r="K1757" s="1" t="s">
        <v>334</v>
      </c>
      <c r="L1757" s="1" t="s">
        <v>2</v>
      </c>
      <c r="M1757" s="1" t="s">
        <v>2</v>
      </c>
      <c r="O1757" s="2"/>
      <c r="P1757" s="2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</row>
    <row r="1758" spans="1:32" s="1" customFormat="1" ht="20.25" customHeight="1" x14ac:dyDescent="0.25">
      <c r="A1758" s="2"/>
      <c r="B1758" s="2"/>
      <c r="C1758" s="2"/>
      <c r="D1758" s="2">
        <f>COUNTIF(contact[[#This Row],[Bagossy]:[Szo
03:00 - 10:00]],"=~?")</f>
        <v>0</v>
      </c>
      <c r="E1758" s="2">
        <f>COUNTIF(contact[[#This Row],[Bagossy]:[Szo
03:00 - 10:00]],"=x")</f>
        <v>0</v>
      </c>
      <c r="F1758" s="2">
        <f>SUM(contact[[#This Row],[?]:[x]])</f>
        <v>0</v>
      </c>
      <c r="G17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8" s="3" t="s">
        <v>3890</v>
      </c>
      <c r="K1758" s="1" t="s">
        <v>1735</v>
      </c>
      <c r="L1758" s="1" t="s">
        <v>2</v>
      </c>
      <c r="M1758" s="1" t="s">
        <v>2</v>
      </c>
      <c r="O1758" s="2"/>
      <c r="P1758" s="2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</row>
    <row r="1759" spans="1:32" s="1" customFormat="1" ht="20.25" customHeight="1" x14ac:dyDescent="0.25">
      <c r="A1759" s="2"/>
      <c r="B1759" s="2"/>
      <c r="C1759" s="2"/>
      <c r="D1759" s="2">
        <f>COUNTIF(contact[[#This Row],[Bagossy]:[Szo
03:00 - 10:00]],"=~?")</f>
        <v>0</v>
      </c>
      <c r="E1759" s="2">
        <f>COUNTIF(contact[[#This Row],[Bagossy]:[Szo
03:00 - 10:00]],"=x")</f>
        <v>0</v>
      </c>
      <c r="F1759" s="2">
        <f>SUM(contact[[#This Row],[?]:[x]])</f>
        <v>0</v>
      </c>
      <c r="G17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59" s="3" t="s">
        <v>2125</v>
      </c>
      <c r="K1759" s="1" t="s">
        <v>2</v>
      </c>
      <c r="L1759" s="1" t="s">
        <v>2</v>
      </c>
      <c r="M1759" s="1" t="s">
        <v>2</v>
      </c>
      <c r="O1759" s="2"/>
      <c r="P1759" s="2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</row>
    <row r="1760" spans="1:32" s="1" customFormat="1" ht="20.25" customHeight="1" x14ac:dyDescent="0.25">
      <c r="A1760" s="2"/>
      <c r="B1760" s="2"/>
      <c r="C1760" s="2"/>
      <c r="D1760" s="2">
        <f>COUNTIF(contact[[#This Row],[Bagossy]:[Szo
03:00 - 10:00]],"=~?")</f>
        <v>0</v>
      </c>
      <c r="E1760" s="2">
        <f>COUNTIF(contact[[#This Row],[Bagossy]:[Szo
03:00 - 10:00]],"=x")</f>
        <v>0</v>
      </c>
      <c r="F1760" s="2">
        <f>SUM(contact[[#This Row],[?]:[x]])</f>
        <v>0</v>
      </c>
      <c r="G17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0" s="3" t="s">
        <v>2696</v>
      </c>
      <c r="K1760" s="1" t="s">
        <v>448</v>
      </c>
      <c r="L1760" s="1" t="s">
        <v>2</v>
      </c>
      <c r="M1760" s="1" t="s">
        <v>2</v>
      </c>
      <c r="O1760" s="2"/>
      <c r="P1760" s="2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</row>
    <row r="1761" spans="1:32" s="1" customFormat="1" ht="20.25" customHeight="1" x14ac:dyDescent="0.25">
      <c r="A1761" s="2"/>
      <c r="B1761" s="2"/>
      <c r="C1761" s="2"/>
      <c r="D1761" s="2">
        <f>COUNTIF(contact[[#This Row],[Bagossy]:[Szo
03:00 - 10:00]],"=~?")</f>
        <v>0</v>
      </c>
      <c r="E1761" s="2">
        <f>COUNTIF(contact[[#This Row],[Bagossy]:[Szo
03:00 - 10:00]],"=x")</f>
        <v>0</v>
      </c>
      <c r="F1761" s="2">
        <f>SUM(contact[[#This Row],[?]:[x]])</f>
        <v>0</v>
      </c>
      <c r="G17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1" s="3" t="s">
        <v>4133</v>
      </c>
      <c r="K1761" s="1" t="s">
        <v>2</v>
      </c>
      <c r="L1761" s="1" t="s">
        <v>2</v>
      </c>
      <c r="M1761" s="1" t="s">
        <v>2</v>
      </c>
      <c r="O1761" s="2"/>
      <c r="P1761" s="2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</row>
    <row r="1762" spans="1:32" s="1" customFormat="1" ht="20.25" customHeight="1" x14ac:dyDescent="0.25">
      <c r="A1762" s="2"/>
      <c r="B1762" s="2"/>
      <c r="C1762" s="2"/>
      <c r="D1762" s="2">
        <f>COUNTIF(contact[[#This Row],[Bagossy]:[Szo
03:00 - 10:00]],"=~?")</f>
        <v>0</v>
      </c>
      <c r="E1762" s="2">
        <f>COUNTIF(contact[[#This Row],[Bagossy]:[Szo
03:00 - 10:00]],"=x")</f>
        <v>0</v>
      </c>
      <c r="F1762" s="2">
        <f>SUM(contact[[#This Row],[?]:[x]])</f>
        <v>0</v>
      </c>
      <c r="G17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62" s="2"/>
      <c r="I1762" s="2"/>
      <c r="J1762" s="3" t="s">
        <v>3467</v>
      </c>
      <c r="K1762" s="1" t="s">
        <v>1268</v>
      </c>
      <c r="L1762" s="1" t="s">
        <v>2</v>
      </c>
      <c r="M1762" s="1" t="s">
        <v>2</v>
      </c>
      <c r="O1762" s="2"/>
      <c r="P1762" s="2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</row>
    <row r="1763" spans="1:32" s="1" customFormat="1" ht="20.25" customHeight="1" x14ac:dyDescent="0.25">
      <c r="A1763" s="2"/>
      <c r="B1763" s="2"/>
      <c r="C1763" s="2"/>
      <c r="D1763" s="2">
        <f>COUNTIF(contact[[#This Row],[Bagossy]:[Szo
03:00 - 10:00]],"=~?")</f>
        <v>0</v>
      </c>
      <c r="E1763" s="2">
        <f>COUNTIF(contact[[#This Row],[Bagossy]:[Szo
03:00 - 10:00]],"=x")</f>
        <v>0</v>
      </c>
      <c r="F1763" s="2">
        <f>SUM(contact[[#This Row],[?]:[x]])</f>
        <v>0</v>
      </c>
      <c r="G17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3" s="3" t="s">
        <v>231</v>
      </c>
      <c r="K1763" s="1" t="s">
        <v>846</v>
      </c>
      <c r="L1763" s="1" t="s">
        <v>2</v>
      </c>
      <c r="M1763" s="1" t="s">
        <v>2</v>
      </c>
      <c r="O1763" s="2"/>
      <c r="P1763" s="2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</row>
    <row r="1764" spans="1:32" s="1" customFormat="1" ht="20.25" customHeight="1" x14ac:dyDescent="0.25">
      <c r="A1764" s="2"/>
      <c r="B1764" s="2"/>
      <c r="C1764" s="2"/>
      <c r="D1764" s="2">
        <f>COUNTIF(contact[[#This Row],[Bagossy]:[Szo
03:00 - 10:00]],"=~?")</f>
        <v>0</v>
      </c>
      <c r="E1764" s="2">
        <f>COUNTIF(contact[[#This Row],[Bagossy]:[Szo
03:00 - 10:00]],"=x")</f>
        <v>0</v>
      </c>
      <c r="F1764" s="2">
        <f>SUM(contact[[#This Row],[?]:[x]])</f>
        <v>0</v>
      </c>
      <c r="G17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4" s="3" t="s">
        <v>4052</v>
      </c>
      <c r="K1764" s="1" t="s">
        <v>1327</v>
      </c>
      <c r="L1764" s="1" t="s">
        <v>2</v>
      </c>
      <c r="M1764" s="1" t="s">
        <v>2</v>
      </c>
      <c r="O1764" s="2"/>
      <c r="P1764" s="2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</row>
    <row r="1765" spans="1:32" s="1" customFormat="1" ht="20.25" customHeight="1" x14ac:dyDescent="0.25">
      <c r="A1765" s="2"/>
      <c r="B1765" s="2"/>
      <c r="C1765" s="2"/>
      <c r="D1765" s="2">
        <f>COUNTIF(contact[[#This Row],[Bagossy]:[Szo
03:00 - 10:00]],"=~?")</f>
        <v>0</v>
      </c>
      <c r="E1765" s="2">
        <f>COUNTIF(contact[[#This Row],[Bagossy]:[Szo
03:00 - 10:00]],"=x")</f>
        <v>0</v>
      </c>
      <c r="F1765" s="2">
        <f>SUM(contact[[#This Row],[?]:[x]])</f>
        <v>0</v>
      </c>
      <c r="G17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5" s="3" t="s">
        <v>3821</v>
      </c>
      <c r="K1765" s="1" t="s">
        <v>1722</v>
      </c>
      <c r="L1765" s="1" t="s">
        <v>2</v>
      </c>
      <c r="M1765" s="1" t="s">
        <v>2</v>
      </c>
      <c r="O1765" s="2"/>
      <c r="P1765" s="2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</row>
    <row r="1766" spans="1:32" s="1" customFormat="1" ht="20.25" customHeight="1" x14ac:dyDescent="0.25">
      <c r="A1766" s="2"/>
      <c r="B1766" s="2"/>
      <c r="C1766" s="2"/>
      <c r="D1766" s="2">
        <f>COUNTIF(contact[[#This Row],[Bagossy]:[Szo
03:00 - 10:00]],"=~?")</f>
        <v>0</v>
      </c>
      <c r="E1766" s="2">
        <f>COUNTIF(contact[[#This Row],[Bagossy]:[Szo
03:00 - 10:00]],"=x")</f>
        <v>0</v>
      </c>
      <c r="F1766" s="2">
        <f>SUM(contact[[#This Row],[?]:[x]])</f>
        <v>0</v>
      </c>
      <c r="G17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6" s="3" t="s">
        <v>1958</v>
      </c>
      <c r="K1766" s="1" t="s">
        <v>38</v>
      </c>
      <c r="L1766" s="1" t="s">
        <v>2</v>
      </c>
      <c r="M1766" s="1" t="s">
        <v>2</v>
      </c>
      <c r="O1766" s="2"/>
      <c r="P1766" s="2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</row>
    <row r="1767" spans="1:32" s="1" customFormat="1" ht="20.25" customHeight="1" x14ac:dyDescent="0.25">
      <c r="A1767" s="2"/>
      <c r="B1767" s="2"/>
      <c r="C1767" s="2" t="s">
        <v>1285</v>
      </c>
      <c r="D1767" s="2">
        <f>COUNTIF(contact[[#This Row],[Bagossy]:[Szo
03:00 - 10:00]],"=~?")</f>
        <v>0</v>
      </c>
      <c r="E1767" s="2">
        <f>COUNTIF(contact[[#This Row],[Bagossy]:[Szo
03:00 - 10:00]],"=x")</f>
        <v>0</v>
      </c>
      <c r="F1767" s="2">
        <f>SUM(contact[[#This Row],[?]:[x]])</f>
        <v>0</v>
      </c>
      <c r="G17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67" s="2"/>
      <c r="I1767" s="2"/>
      <c r="J1767" s="3" t="s">
        <v>3475</v>
      </c>
      <c r="K1767" s="1" t="s">
        <v>1654</v>
      </c>
      <c r="L1767" s="1" t="s">
        <v>2</v>
      </c>
      <c r="M1767" s="1" t="s">
        <v>2</v>
      </c>
      <c r="O1767" s="2"/>
      <c r="P1767" s="2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</row>
    <row r="1768" spans="1:32" s="1" customFormat="1" ht="20.25" customHeight="1" x14ac:dyDescent="0.25">
      <c r="A1768" s="2"/>
      <c r="B1768" s="2"/>
      <c r="C1768" s="2"/>
      <c r="D1768" s="2">
        <f>COUNTIF(contact[[#This Row],[Bagossy]:[Szo
03:00 - 10:00]],"=~?")</f>
        <v>0</v>
      </c>
      <c r="E1768" s="2">
        <f>COUNTIF(contact[[#This Row],[Bagossy]:[Szo
03:00 - 10:00]],"=x")</f>
        <v>0</v>
      </c>
      <c r="F1768" s="2">
        <f>SUM(contact[[#This Row],[?]:[x]])</f>
        <v>0</v>
      </c>
      <c r="G17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8" s="3" t="s">
        <v>2061</v>
      </c>
      <c r="K1768" s="1" t="s">
        <v>1328</v>
      </c>
      <c r="L1768" s="1" t="s">
        <v>2</v>
      </c>
      <c r="M1768" s="1" t="s">
        <v>2</v>
      </c>
      <c r="O1768" s="2"/>
      <c r="P1768" s="2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</row>
    <row r="1769" spans="1:32" s="1" customFormat="1" ht="20.25" customHeight="1" x14ac:dyDescent="0.25">
      <c r="A1769" s="2"/>
      <c r="B1769" s="2"/>
      <c r="C1769" s="2"/>
      <c r="D1769" s="2">
        <f>COUNTIF(contact[[#This Row],[Bagossy]:[Szo
03:00 - 10:00]],"=~?")</f>
        <v>0</v>
      </c>
      <c r="E1769" s="2">
        <f>COUNTIF(contact[[#This Row],[Bagossy]:[Szo
03:00 - 10:00]],"=x")</f>
        <v>0</v>
      </c>
      <c r="F1769" s="2">
        <f>SUM(contact[[#This Row],[?]:[x]])</f>
        <v>0</v>
      </c>
      <c r="G17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69" s="3" t="s">
        <v>4084</v>
      </c>
      <c r="K1769" s="1" t="s">
        <v>1327</v>
      </c>
      <c r="L1769" s="1" t="s">
        <v>2</v>
      </c>
      <c r="M1769" s="1" t="s">
        <v>2</v>
      </c>
      <c r="O1769" s="2"/>
      <c r="P1769" s="2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</row>
    <row r="1770" spans="1:32" s="1" customFormat="1" ht="20.25" customHeight="1" x14ac:dyDescent="0.25">
      <c r="A1770" s="2"/>
      <c r="B1770" s="2"/>
      <c r="C1770" s="2"/>
      <c r="D1770" s="2">
        <f>COUNTIF(contact[[#This Row],[Bagossy]:[Szo
03:00 - 10:00]],"=~?")</f>
        <v>0</v>
      </c>
      <c r="E1770" s="2">
        <f>COUNTIF(contact[[#This Row],[Bagossy]:[Szo
03:00 - 10:00]],"=x")</f>
        <v>0</v>
      </c>
      <c r="F1770" s="2">
        <f>SUM(contact[[#This Row],[?]:[x]])</f>
        <v>0</v>
      </c>
      <c r="G17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70" s="2"/>
      <c r="I1770" s="2"/>
      <c r="J1770" s="3" t="s">
        <v>3476</v>
      </c>
      <c r="K1770" s="1" t="s">
        <v>172</v>
      </c>
      <c r="L1770" s="1" t="s">
        <v>2</v>
      </c>
      <c r="M1770" s="1" t="s">
        <v>2</v>
      </c>
      <c r="O1770" s="2"/>
      <c r="P1770" s="2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</row>
    <row r="1771" spans="1:32" s="1" customFormat="1" ht="20.25" customHeight="1" x14ac:dyDescent="0.25">
      <c r="A1771" s="2"/>
      <c r="B1771" s="2"/>
      <c r="C1771" s="2"/>
      <c r="D1771" s="2">
        <f>COUNTIF(contact[[#This Row],[Bagossy]:[Szo
03:00 - 10:00]],"=~?")</f>
        <v>0</v>
      </c>
      <c r="E1771" s="2">
        <f>COUNTIF(contact[[#This Row],[Bagossy]:[Szo
03:00 - 10:00]],"=x")</f>
        <v>0</v>
      </c>
      <c r="F1771" s="2">
        <f>SUM(contact[[#This Row],[?]:[x]])</f>
        <v>0</v>
      </c>
      <c r="G17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71" s="3" t="s">
        <v>2026</v>
      </c>
      <c r="K1771" s="1" t="s">
        <v>1318</v>
      </c>
      <c r="L1771" s="1" t="s">
        <v>2</v>
      </c>
      <c r="M1771" s="1" t="s">
        <v>2</v>
      </c>
      <c r="O1771" s="2"/>
      <c r="P1771" s="2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</row>
    <row r="1772" spans="1:32" s="1" customFormat="1" ht="20.25" customHeight="1" x14ac:dyDescent="0.25">
      <c r="A1772" s="2"/>
      <c r="B1772" s="2"/>
      <c r="C1772" s="2"/>
      <c r="D1772" s="2">
        <f>COUNTIF(contact[[#This Row],[Bagossy]:[Szo
03:00 - 10:00]],"=~?")</f>
        <v>0</v>
      </c>
      <c r="E1772" s="2">
        <f>COUNTIF(contact[[#This Row],[Bagossy]:[Szo
03:00 - 10:00]],"=x")</f>
        <v>0</v>
      </c>
      <c r="F1772" s="2">
        <f>SUM(contact[[#This Row],[?]:[x]])</f>
        <v>0</v>
      </c>
      <c r="G17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72" s="3" t="s">
        <v>1967</v>
      </c>
      <c r="K1772" s="1" t="s">
        <v>42</v>
      </c>
      <c r="L1772" s="1" t="s">
        <v>2</v>
      </c>
      <c r="M1772" s="1" t="s">
        <v>2</v>
      </c>
      <c r="O1772" s="2"/>
      <c r="P1772" s="2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</row>
    <row r="1773" spans="1:32" s="1" customFormat="1" ht="20.25" customHeight="1" x14ac:dyDescent="0.25">
      <c r="A1773" s="2"/>
      <c r="B1773" s="2"/>
      <c r="C1773" s="2"/>
      <c r="D1773" s="2">
        <f>COUNTIF(contact[[#This Row],[Bagossy]:[Szo
03:00 - 10:00]],"=~?")</f>
        <v>0</v>
      </c>
      <c r="E1773" s="2">
        <f>COUNTIF(contact[[#This Row],[Bagossy]:[Szo
03:00 - 10:00]],"=x")</f>
        <v>0</v>
      </c>
      <c r="F1773" s="2">
        <f>SUM(contact[[#This Row],[?]:[x]])</f>
        <v>0</v>
      </c>
      <c r="G17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73" s="3" t="s">
        <v>847</v>
      </c>
      <c r="K1773" s="1" t="s">
        <v>2</v>
      </c>
      <c r="L1773" s="1" t="s">
        <v>2</v>
      </c>
      <c r="M1773" s="1" t="s">
        <v>2</v>
      </c>
      <c r="O1773" s="2"/>
      <c r="P1773" s="2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</row>
    <row r="1774" spans="1:32" s="1" customFormat="1" ht="20.25" customHeight="1" x14ac:dyDescent="0.25">
      <c r="A1774" s="2"/>
      <c r="B1774" s="2"/>
      <c r="C1774" s="2"/>
      <c r="D1774" s="2">
        <f>COUNTIF(contact[[#This Row],[Bagossy]:[Szo
03:00 - 10:00]],"=~?")</f>
        <v>0</v>
      </c>
      <c r="E1774" s="2">
        <f>COUNTIF(contact[[#This Row],[Bagossy]:[Szo
03:00 - 10:00]],"=x")</f>
        <v>0</v>
      </c>
      <c r="F1774" s="2">
        <f>SUM(contact[[#This Row],[?]:[x]])</f>
        <v>0</v>
      </c>
      <c r="G17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74" s="3" t="s">
        <v>847</v>
      </c>
      <c r="K1774" s="1" t="s">
        <v>2</v>
      </c>
      <c r="L1774" s="1" t="s">
        <v>2</v>
      </c>
      <c r="M1774" s="1" t="s">
        <v>2</v>
      </c>
      <c r="O1774" s="2"/>
      <c r="P1774" s="2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</row>
    <row r="1775" spans="1:32" s="1" customFormat="1" ht="20.25" customHeight="1" x14ac:dyDescent="0.25">
      <c r="A1775" s="2"/>
      <c r="B1775" s="2"/>
      <c r="C1775" s="2" t="s">
        <v>1285</v>
      </c>
      <c r="D1775" s="2">
        <f>COUNTIF(contact[[#This Row],[Bagossy]:[Szo
03:00 - 10:00]],"=~?")</f>
        <v>0</v>
      </c>
      <c r="E1775" s="2">
        <f>COUNTIF(contact[[#This Row],[Bagossy]:[Szo
03:00 - 10:00]],"=x")</f>
        <v>0</v>
      </c>
      <c r="F1775" s="2">
        <f>SUM(contact[[#This Row],[?]:[x]])</f>
        <v>0</v>
      </c>
      <c r="G17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75" s="2"/>
      <c r="I1775" s="2"/>
      <c r="J1775" s="3" t="s">
        <v>3481</v>
      </c>
      <c r="K1775" s="1" t="s">
        <v>6</v>
      </c>
      <c r="L1775" s="1" t="s">
        <v>2</v>
      </c>
      <c r="M1775" s="1" t="s">
        <v>2</v>
      </c>
      <c r="O1775" s="2"/>
      <c r="P1775" s="2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</row>
    <row r="1776" spans="1:32" s="1" customFormat="1" ht="20.25" customHeight="1" x14ac:dyDescent="0.25">
      <c r="A1776" s="2"/>
      <c r="B1776" s="2"/>
      <c r="C1776" s="2"/>
      <c r="D1776" s="2">
        <f>COUNTIF(contact[[#This Row],[Bagossy]:[Szo
03:00 - 10:00]],"=~?")</f>
        <v>0</v>
      </c>
      <c r="E1776" s="2">
        <f>COUNTIF(contact[[#This Row],[Bagossy]:[Szo
03:00 - 10:00]],"=x")</f>
        <v>0</v>
      </c>
      <c r="F1776" s="2">
        <f>SUM(contact[[#This Row],[?]:[x]])</f>
        <v>0</v>
      </c>
      <c r="G17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76" s="3" t="s">
        <v>2191</v>
      </c>
      <c r="K1776" s="1" t="s">
        <v>164</v>
      </c>
      <c r="L1776" s="1" t="s">
        <v>2</v>
      </c>
      <c r="M1776" s="1" t="s">
        <v>2</v>
      </c>
      <c r="O1776" s="2"/>
      <c r="P1776" s="2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</row>
    <row r="1777" spans="1:32" s="1" customFormat="1" ht="20.25" customHeight="1" x14ac:dyDescent="0.25">
      <c r="A1777" s="2"/>
      <c r="B1777" s="2"/>
      <c r="C1777" s="2"/>
      <c r="D1777" s="2">
        <f>COUNTIF(contact[[#This Row],[Bagossy]:[Szo
03:00 - 10:00]],"=~?")</f>
        <v>0</v>
      </c>
      <c r="E1777" s="2">
        <f>COUNTIF(contact[[#This Row],[Bagossy]:[Szo
03:00 - 10:00]],"=x")</f>
        <v>0</v>
      </c>
      <c r="F1777" s="2">
        <f>SUM(contact[[#This Row],[?]:[x]])</f>
        <v>0</v>
      </c>
      <c r="G17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77" s="3" t="s">
        <v>2537</v>
      </c>
      <c r="K1777" s="1" t="s">
        <v>362</v>
      </c>
      <c r="L1777" s="1" t="s">
        <v>2</v>
      </c>
      <c r="M1777" s="1" t="s">
        <v>2</v>
      </c>
      <c r="O1777" s="2"/>
      <c r="P1777" s="2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</row>
    <row r="1778" spans="1:32" s="1" customFormat="1" ht="20.25" customHeight="1" x14ac:dyDescent="0.25">
      <c r="A1778" s="2" t="s">
        <v>1285</v>
      </c>
      <c r="B1778" s="2" t="s">
        <v>1285</v>
      </c>
      <c r="C1778" s="2" t="s">
        <v>1285</v>
      </c>
      <c r="D1778" s="2">
        <f>COUNTIF(contact[[#This Row],[Bagossy]:[Szo
03:00 - 10:00]],"=~?")</f>
        <v>0</v>
      </c>
      <c r="E1778" s="2">
        <f>COUNTIF(contact[[#This Row],[Bagossy]:[Szo
03:00 - 10:00]],"=x")</f>
        <v>4</v>
      </c>
      <c r="F1778" s="2">
        <f>SUM(contact[[#This Row],[?]:[x]])</f>
        <v>4</v>
      </c>
      <c r="G1778" s="2">
        <f>COUNTIF(contact[[#This Row],[Sze
10:00 - 22:00]:[Cs
03:00 - 08:00]],"=x")+COUNTIF(contact[[#This Row],[P
08:00 - 12:00]:[P
03:00 - 08:00]],"=x")+COUNTIF(contact[[#This Row],[Szo
08:00 - 12:00]:[Szo
03:00 - 10:00]],"=x")</f>
        <v>2</v>
      </c>
      <c r="H1778" s="2" t="s">
        <v>4623</v>
      </c>
      <c r="I1778" s="2"/>
      <c r="J1778" s="3" t="s">
        <v>3482</v>
      </c>
      <c r="K1778" s="1" t="s">
        <v>6</v>
      </c>
      <c r="L1778" s="1" t="s">
        <v>2</v>
      </c>
      <c r="M1778" s="1" t="s">
        <v>2</v>
      </c>
      <c r="N1778" s="2" t="s">
        <v>4612</v>
      </c>
      <c r="O1778" s="2" t="s">
        <v>1285</v>
      </c>
      <c r="P1778" s="2"/>
      <c r="Q1778" s="6"/>
      <c r="R1778" s="6"/>
      <c r="S1778" s="6"/>
      <c r="T1778" s="6"/>
      <c r="U1778" s="6"/>
      <c r="V1778" s="6"/>
      <c r="W1778" s="6" t="s">
        <v>1285</v>
      </c>
      <c r="X1778" s="6"/>
      <c r="Y1778" s="6" t="s">
        <v>1285</v>
      </c>
      <c r="Z1778" s="6"/>
      <c r="AA1778" s="6"/>
      <c r="AB1778" s="6"/>
      <c r="AC1778" s="6" t="s">
        <v>1285</v>
      </c>
      <c r="AD1778" s="6"/>
      <c r="AE1778" s="6"/>
      <c r="AF1778" s="6"/>
    </row>
    <row r="1779" spans="1:32" s="1" customFormat="1" ht="20.25" customHeight="1" x14ac:dyDescent="0.25">
      <c r="A1779" s="2"/>
      <c r="B1779" s="2"/>
      <c r="C1779" s="2"/>
      <c r="D1779" s="2">
        <f>COUNTIF(contact[[#This Row],[Bagossy]:[Szo
03:00 - 10:00]],"=~?")</f>
        <v>0</v>
      </c>
      <c r="E1779" s="2">
        <f>COUNTIF(contact[[#This Row],[Bagossy]:[Szo
03:00 - 10:00]],"=x")</f>
        <v>0</v>
      </c>
      <c r="F1779" s="2">
        <f>SUM(contact[[#This Row],[?]:[x]])</f>
        <v>0</v>
      </c>
      <c r="G17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79" s="2"/>
      <c r="I1779" s="2"/>
      <c r="J1779" s="3" t="s">
        <v>3486</v>
      </c>
      <c r="K1779" s="1" t="s">
        <v>6</v>
      </c>
      <c r="L1779" s="1" t="s">
        <v>2</v>
      </c>
      <c r="M1779" s="1" t="s">
        <v>2</v>
      </c>
      <c r="O1779" s="2"/>
      <c r="P1779" s="2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</row>
    <row r="1780" spans="1:32" s="1" customFormat="1" ht="20.25" customHeight="1" x14ac:dyDescent="0.25">
      <c r="A1780" s="2"/>
      <c r="B1780" s="2"/>
      <c r="C1780" s="2"/>
      <c r="D1780" s="2">
        <f>COUNTIF(contact[[#This Row],[Bagossy]:[Szo
03:00 - 10:00]],"=~?")</f>
        <v>0</v>
      </c>
      <c r="E1780" s="2">
        <f>COUNTIF(contact[[#This Row],[Bagossy]:[Szo
03:00 - 10:00]],"=x")</f>
        <v>0</v>
      </c>
      <c r="F1780" s="2">
        <f>SUM(contact[[#This Row],[?]:[x]])</f>
        <v>0</v>
      </c>
      <c r="G17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80" s="3" t="s">
        <v>2706</v>
      </c>
      <c r="K1780" s="1" t="s">
        <v>453</v>
      </c>
      <c r="L1780" s="1" t="s">
        <v>2</v>
      </c>
      <c r="M1780" s="1" t="s">
        <v>2</v>
      </c>
      <c r="O1780" s="2"/>
      <c r="P1780" s="2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</row>
    <row r="1781" spans="1:32" s="1" customFormat="1" ht="20.25" customHeight="1" x14ac:dyDescent="0.25">
      <c r="A1781" s="2"/>
      <c r="B1781" s="2"/>
      <c r="C1781" s="2"/>
      <c r="D1781" s="2">
        <f>COUNTIF(contact[[#This Row],[Bagossy]:[Szo
03:00 - 10:00]],"=~?")</f>
        <v>0</v>
      </c>
      <c r="E1781" s="2">
        <f>COUNTIF(contact[[#This Row],[Bagossy]:[Szo
03:00 - 10:00]],"=x")</f>
        <v>0</v>
      </c>
      <c r="F1781" s="2">
        <f>SUM(contact[[#This Row],[?]:[x]])</f>
        <v>0</v>
      </c>
      <c r="G17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81" s="2"/>
      <c r="I1781" s="2"/>
      <c r="J1781" s="3" t="s">
        <v>3494</v>
      </c>
      <c r="K1781" s="1" t="s">
        <v>1269</v>
      </c>
      <c r="L1781" s="1" t="s">
        <v>2</v>
      </c>
      <c r="M1781" s="1" t="s">
        <v>2</v>
      </c>
      <c r="O1781" s="2"/>
      <c r="P1781" s="2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</row>
    <row r="1782" spans="1:32" s="1" customFormat="1" ht="20.25" customHeight="1" x14ac:dyDescent="0.25">
      <c r="A1782" s="2"/>
      <c r="B1782" s="2"/>
      <c r="C1782" s="2"/>
      <c r="D1782" s="2">
        <f>COUNTIF(contact[[#This Row],[Bagossy]:[Szo
03:00 - 10:00]],"=~?")</f>
        <v>0</v>
      </c>
      <c r="E1782" s="2">
        <f>COUNTIF(contact[[#This Row],[Bagossy]:[Szo
03:00 - 10:00]],"=x")</f>
        <v>0</v>
      </c>
      <c r="F1782" s="2">
        <f>SUM(contact[[#This Row],[?]:[x]])</f>
        <v>0</v>
      </c>
      <c r="G17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82" s="3" t="s">
        <v>3891</v>
      </c>
      <c r="K1782" s="1" t="s">
        <v>1736</v>
      </c>
      <c r="L1782" s="1" t="s">
        <v>2</v>
      </c>
      <c r="M1782" s="1" t="s">
        <v>2</v>
      </c>
      <c r="O1782" s="2"/>
      <c r="P1782" s="2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</row>
    <row r="1783" spans="1:32" s="1" customFormat="1" ht="20.25" customHeight="1" x14ac:dyDescent="0.25">
      <c r="A1783" s="2"/>
      <c r="B1783" s="2"/>
      <c r="C1783" s="2"/>
      <c r="D1783" s="2">
        <f>COUNTIF(contact[[#This Row],[Bagossy]:[Szo
03:00 - 10:00]],"=~?")</f>
        <v>0</v>
      </c>
      <c r="E1783" s="2">
        <f>COUNTIF(contact[[#This Row],[Bagossy]:[Szo
03:00 - 10:00]],"=x")</f>
        <v>0</v>
      </c>
      <c r="F1783" s="2">
        <f>SUM(contact[[#This Row],[?]:[x]])</f>
        <v>0</v>
      </c>
      <c r="G17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83" s="2"/>
      <c r="I1783" s="2"/>
      <c r="J1783" s="3" t="s">
        <v>3495</v>
      </c>
      <c r="K1783" s="1" t="s">
        <v>1048</v>
      </c>
      <c r="L1783" s="1" t="s">
        <v>2</v>
      </c>
      <c r="M1783" s="1" t="s">
        <v>2</v>
      </c>
      <c r="O1783" s="2"/>
      <c r="P1783" s="2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</row>
    <row r="1784" spans="1:32" s="1" customFormat="1" ht="20.25" customHeight="1" x14ac:dyDescent="0.25">
      <c r="A1784" s="2"/>
      <c r="B1784" s="2"/>
      <c r="C1784" s="2"/>
      <c r="D1784" s="2">
        <f>COUNTIF(contact[[#This Row],[Bagossy]:[Szo
03:00 - 10:00]],"=~?")</f>
        <v>0</v>
      </c>
      <c r="E1784" s="2">
        <f>COUNTIF(contact[[#This Row],[Bagossy]:[Szo
03:00 - 10:00]],"=x")</f>
        <v>0</v>
      </c>
      <c r="F1784" s="2">
        <f>SUM(contact[[#This Row],[?]:[x]])</f>
        <v>0</v>
      </c>
      <c r="G17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84" s="3" t="s">
        <v>2853</v>
      </c>
      <c r="K1784" s="1" t="s">
        <v>2</v>
      </c>
      <c r="L1784" s="1" t="s">
        <v>2</v>
      </c>
      <c r="M1784" s="1" t="s">
        <v>2</v>
      </c>
      <c r="O1784" s="2"/>
      <c r="P1784" s="2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</row>
    <row r="1785" spans="1:32" s="1" customFormat="1" ht="20.25" customHeight="1" x14ac:dyDescent="0.25">
      <c r="A1785" s="2"/>
      <c r="B1785" s="2"/>
      <c r="C1785" s="2"/>
      <c r="D1785" s="2">
        <f>COUNTIF(contact[[#This Row],[Bagossy]:[Szo
03:00 - 10:00]],"=~?")</f>
        <v>0</v>
      </c>
      <c r="E1785" s="2">
        <f>COUNTIF(contact[[#This Row],[Bagossy]:[Szo
03:00 - 10:00]],"=x")</f>
        <v>0</v>
      </c>
      <c r="F1785" s="2">
        <f>SUM(contact[[#This Row],[?]:[x]])</f>
        <v>0</v>
      </c>
      <c r="G17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85" s="3" t="s">
        <v>4583</v>
      </c>
      <c r="K1785" s="1" t="s">
        <v>2</v>
      </c>
      <c r="L1785" s="1" t="s">
        <v>2</v>
      </c>
      <c r="M1785" s="1" t="s">
        <v>2</v>
      </c>
      <c r="O1785" s="2"/>
      <c r="P1785" s="2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</row>
    <row r="1786" spans="1:32" s="1" customFormat="1" ht="20.25" customHeight="1" x14ac:dyDescent="0.25">
      <c r="A1786" s="2"/>
      <c r="B1786" s="2"/>
      <c r="C1786" s="2"/>
      <c r="D1786" s="2">
        <f>COUNTIF(contact[[#This Row],[Bagossy]:[Szo
03:00 - 10:00]],"=~?")</f>
        <v>0</v>
      </c>
      <c r="E1786" s="2">
        <f>COUNTIF(contact[[#This Row],[Bagossy]:[Szo
03:00 - 10:00]],"=x")</f>
        <v>0</v>
      </c>
      <c r="F1786" s="2">
        <f>SUM(contact[[#This Row],[?]:[x]])</f>
        <v>0</v>
      </c>
      <c r="G17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86" s="3" t="s">
        <v>2062</v>
      </c>
      <c r="K1786" s="1" t="s">
        <v>78</v>
      </c>
      <c r="L1786" s="1" t="s">
        <v>2</v>
      </c>
      <c r="M1786" s="1" t="s">
        <v>2</v>
      </c>
      <c r="O1786" s="2"/>
      <c r="P1786" s="2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</row>
    <row r="1787" spans="1:32" s="1" customFormat="1" ht="20.25" customHeight="1" x14ac:dyDescent="0.25">
      <c r="A1787" s="2"/>
      <c r="B1787" s="2"/>
      <c r="C1787" s="2" t="s">
        <v>1285</v>
      </c>
      <c r="D1787" s="2">
        <f>COUNTIF(contact[[#This Row],[Bagossy]:[Szo
03:00 - 10:00]],"=~?")</f>
        <v>0</v>
      </c>
      <c r="E1787" s="2">
        <f>COUNTIF(contact[[#This Row],[Bagossy]:[Szo
03:00 - 10:00]],"=x")</f>
        <v>0</v>
      </c>
      <c r="F1787" s="2">
        <f>SUM(contact[[#This Row],[?]:[x]])</f>
        <v>0</v>
      </c>
      <c r="G17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87" s="2"/>
      <c r="I1787" s="2"/>
      <c r="J1787" s="3" t="s">
        <v>3500</v>
      </c>
      <c r="K1787" s="1" t="s">
        <v>1661</v>
      </c>
      <c r="L1787" s="1" t="s">
        <v>2</v>
      </c>
      <c r="M1787" s="1" t="s">
        <v>2</v>
      </c>
      <c r="O1787" s="2"/>
      <c r="P1787" s="2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</row>
    <row r="1788" spans="1:32" s="1" customFormat="1" ht="20.25" customHeight="1" x14ac:dyDescent="0.25">
      <c r="A1788" s="2"/>
      <c r="B1788" s="2"/>
      <c r="C1788" s="2"/>
      <c r="D1788" s="2">
        <f>COUNTIF(contact[[#This Row],[Bagossy]:[Szo
03:00 - 10:00]],"=~?")</f>
        <v>0</v>
      </c>
      <c r="E1788" s="2">
        <f>COUNTIF(contact[[#This Row],[Bagossy]:[Szo
03:00 - 10:00]],"=x")</f>
        <v>0</v>
      </c>
      <c r="F1788" s="2">
        <f>SUM(contact[[#This Row],[?]:[x]])</f>
        <v>0</v>
      </c>
      <c r="G17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88" s="2"/>
      <c r="I1788" s="2"/>
      <c r="J1788" s="3" t="s">
        <v>3517</v>
      </c>
      <c r="K1788" s="1" t="s">
        <v>305</v>
      </c>
      <c r="L1788" s="1" t="s">
        <v>2</v>
      </c>
      <c r="M1788" s="1" t="s">
        <v>2</v>
      </c>
      <c r="O1788" s="2"/>
      <c r="P1788" s="2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</row>
    <row r="1789" spans="1:32" s="1" customFormat="1" ht="20.25" customHeight="1" x14ac:dyDescent="0.25">
      <c r="A1789" s="2"/>
      <c r="B1789" s="2"/>
      <c r="C1789" s="2"/>
      <c r="D1789" s="2">
        <f>COUNTIF(contact[[#This Row],[Bagossy]:[Szo
03:00 - 10:00]],"=~?")</f>
        <v>0</v>
      </c>
      <c r="E1789" s="2">
        <f>COUNTIF(contact[[#This Row],[Bagossy]:[Szo
03:00 - 10:00]],"=x")</f>
        <v>0</v>
      </c>
      <c r="F1789" s="2">
        <f>SUM(contact[[#This Row],[?]:[x]])</f>
        <v>0</v>
      </c>
      <c r="G17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89" s="3" t="s">
        <v>4417</v>
      </c>
      <c r="K1789" s="1" t="s">
        <v>2</v>
      </c>
      <c r="L1789" s="1" t="s">
        <v>2</v>
      </c>
      <c r="M1789" s="1" t="s">
        <v>2</v>
      </c>
      <c r="O1789" s="2"/>
      <c r="P1789" s="2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</row>
    <row r="1790" spans="1:32" s="1" customFormat="1" ht="20.25" customHeight="1" x14ac:dyDescent="0.25">
      <c r="A1790" s="2"/>
      <c r="B1790" s="2"/>
      <c r="C1790" s="2"/>
      <c r="D1790" s="2">
        <f>COUNTIF(contact[[#This Row],[Bagossy]:[Szo
03:00 - 10:00]],"=~?")</f>
        <v>0</v>
      </c>
      <c r="E1790" s="2">
        <f>COUNTIF(contact[[#This Row],[Bagossy]:[Szo
03:00 - 10:00]],"=x")</f>
        <v>0</v>
      </c>
      <c r="F1790" s="2">
        <f>SUM(contact[[#This Row],[?]:[x]])</f>
        <v>0</v>
      </c>
      <c r="G17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0" s="3" t="s">
        <v>4551</v>
      </c>
      <c r="K1790" s="1" t="s">
        <v>2</v>
      </c>
      <c r="L1790" s="1" t="s">
        <v>2</v>
      </c>
      <c r="M1790" s="1" t="s">
        <v>2</v>
      </c>
      <c r="O1790" s="2"/>
      <c r="P1790" s="2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</row>
    <row r="1791" spans="1:32" s="1" customFormat="1" ht="20.25" customHeight="1" x14ac:dyDescent="0.25">
      <c r="A1791" s="2"/>
      <c r="B1791" s="2"/>
      <c r="C1791" s="2"/>
      <c r="D1791" s="2">
        <f>COUNTIF(contact[[#This Row],[Bagossy]:[Szo
03:00 - 10:00]],"=~?")</f>
        <v>0</v>
      </c>
      <c r="E1791" s="2">
        <f>COUNTIF(contact[[#This Row],[Bagossy]:[Szo
03:00 - 10:00]],"=x")</f>
        <v>0</v>
      </c>
      <c r="F1791" s="2">
        <f>SUM(contact[[#This Row],[?]:[x]])</f>
        <v>0</v>
      </c>
      <c r="G17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1" s="3" t="s">
        <v>848</v>
      </c>
      <c r="K1791" s="1" t="s">
        <v>2</v>
      </c>
      <c r="L1791" s="1" t="s">
        <v>2</v>
      </c>
      <c r="M1791" s="1" t="s">
        <v>2</v>
      </c>
      <c r="O1791" s="2"/>
      <c r="P1791" s="2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</row>
    <row r="1792" spans="1:32" s="1" customFormat="1" ht="20.25" customHeight="1" x14ac:dyDescent="0.25">
      <c r="A1792" s="2"/>
      <c r="B1792" s="2"/>
      <c r="C1792" s="2"/>
      <c r="D1792" s="2">
        <f>COUNTIF(contact[[#This Row],[Bagossy]:[Szo
03:00 - 10:00]],"=~?")</f>
        <v>0</v>
      </c>
      <c r="E1792" s="2">
        <f>COUNTIF(contact[[#This Row],[Bagossy]:[Szo
03:00 - 10:00]],"=x")</f>
        <v>0</v>
      </c>
      <c r="F1792" s="2">
        <f>SUM(contact[[#This Row],[?]:[x]])</f>
        <v>0</v>
      </c>
      <c r="G17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2" s="3" t="s">
        <v>849</v>
      </c>
      <c r="K1792" s="1" t="s">
        <v>2</v>
      </c>
      <c r="L1792" s="1" t="s">
        <v>2</v>
      </c>
      <c r="M1792" s="1" t="s">
        <v>2</v>
      </c>
      <c r="O1792" s="2"/>
      <c r="P1792" s="2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</row>
    <row r="1793" spans="1:32" s="1" customFormat="1" ht="20.25" customHeight="1" x14ac:dyDescent="0.25">
      <c r="A1793" s="2"/>
      <c r="B1793" s="2"/>
      <c r="C1793" s="2"/>
      <c r="D1793" s="2">
        <f>COUNTIF(contact[[#This Row],[Bagossy]:[Szo
03:00 - 10:00]],"=~?")</f>
        <v>0</v>
      </c>
      <c r="E1793" s="2">
        <f>COUNTIF(contact[[#This Row],[Bagossy]:[Szo
03:00 - 10:00]],"=x")</f>
        <v>0</v>
      </c>
      <c r="F1793" s="2">
        <f>SUM(contact[[#This Row],[?]:[x]])</f>
        <v>0</v>
      </c>
      <c r="G17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93" s="2"/>
      <c r="I1793" s="2"/>
      <c r="J1793" s="3" t="s">
        <v>3521</v>
      </c>
      <c r="K1793" s="1" t="s">
        <v>1663</v>
      </c>
      <c r="L1793" s="1" t="s">
        <v>2</v>
      </c>
      <c r="M1793" s="1" t="s">
        <v>2</v>
      </c>
      <c r="O1793" s="2"/>
      <c r="P1793" s="2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</row>
    <row r="1794" spans="1:32" s="1" customFormat="1" ht="20.25" customHeight="1" x14ac:dyDescent="0.25">
      <c r="A1794" s="2"/>
      <c r="B1794" s="2"/>
      <c r="C1794" s="2"/>
      <c r="D1794" s="2">
        <f>COUNTIF(contact[[#This Row],[Bagossy]:[Szo
03:00 - 10:00]],"=~?")</f>
        <v>0</v>
      </c>
      <c r="E1794" s="2">
        <f>COUNTIF(contact[[#This Row],[Bagossy]:[Szo
03:00 - 10:00]],"=x")</f>
        <v>0</v>
      </c>
      <c r="F1794" s="2">
        <f>SUM(contact[[#This Row],[?]:[x]])</f>
        <v>0</v>
      </c>
      <c r="G17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4" s="3" t="s">
        <v>854</v>
      </c>
      <c r="K1794" s="1" t="s">
        <v>2</v>
      </c>
      <c r="L1794" s="1" t="s">
        <v>2</v>
      </c>
      <c r="M1794" s="1" t="s">
        <v>2</v>
      </c>
      <c r="O1794" s="2"/>
      <c r="P1794" s="2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</row>
    <row r="1795" spans="1:32" s="1" customFormat="1" ht="20.25" customHeight="1" x14ac:dyDescent="0.25">
      <c r="A1795" s="2"/>
      <c r="B1795" s="2"/>
      <c r="C1795" s="2"/>
      <c r="D1795" s="2">
        <f>COUNTIF(contact[[#This Row],[Bagossy]:[Szo
03:00 - 10:00]],"=~?")</f>
        <v>0</v>
      </c>
      <c r="E1795" s="2">
        <f>COUNTIF(contact[[#This Row],[Bagossy]:[Szo
03:00 - 10:00]],"=x")</f>
        <v>0</v>
      </c>
      <c r="F1795" s="2">
        <f>SUM(contact[[#This Row],[?]:[x]])</f>
        <v>0</v>
      </c>
      <c r="G17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795" s="2"/>
      <c r="I1795" s="2"/>
      <c r="J1795" s="3" t="s">
        <v>3546</v>
      </c>
      <c r="K1795" s="1" t="s">
        <v>1667</v>
      </c>
      <c r="L1795" s="1" t="s">
        <v>2</v>
      </c>
      <c r="M1795" s="1" t="s">
        <v>2</v>
      </c>
      <c r="O1795" s="2"/>
      <c r="P1795" s="2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</row>
    <row r="1796" spans="1:32" s="1" customFormat="1" ht="20.25" customHeight="1" x14ac:dyDescent="0.25">
      <c r="A1796" s="2"/>
      <c r="B1796" s="2"/>
      <c r="C1796" s="2"/>
      <c r="D1796" s="2">
        <f>COUNTIF(contact[[#This Row],[Bagossy]:[Szo
03:00 - 10:00]],"=~?")</f>
        <v>0</v>
      </c>
      <c r="E1796" s="2">
        <f>COUNTIF(contact[[#This Row],[Bagossy]:[Szo
03:00 - 10:00]],"=x")</f>
        <v>0</v>
      </c>
      <c r="F1796" s="2">
        <f>SUM(contact[[#This Row],[?]:[x]])</f>
        <v>0</v>
      </c>
      <c r="G17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6" s="3" t="s">
        <v>3472</v>
      </c>
      <c r="K1796" s="1" t="s">
        <v>218</v>
      </c>
      <c r="L1796" s="1" t="s">
        <v>2</v>
      </c>
      <c r="M1796" s="1" t="s">
        <v>2</v>
      </c>
      <c r="O1796" s="2"/>
      <c r="P1796" s="2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</row>
    <row r="1797" spans="1:32" s="1" customFormat="1" ht="20.25" customHeight="1" x14ac:dyDescent="0.25">
      <c r="A1797" s="2"/>
      <c r="B1797" s="2"/>
      <c r="C1797" s="2"/>
      <c r="D1797" s="2">
        <f>COUNTIF(contact[[#This Row],[Bagossy]:[Szo
03:00 - 10:00]],"=~?")</f>
        <v>0</v>
      </c>
      <c r="E1797" s="2">
        <f>COUNTIF(contact[[#This Row],[Bagossy]:[Szo
03:00 - 10:00]],"=x")</f>
        <v>0</v>
      </c>
      <c r="F1797" s="2">
        <f>SUM(contact[[#This Row],[?]:[x]])</f>
        <v>0</v>
      </c>
      <c r="G17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7" s="3" t="s">
        <v>858</v>
      </c>
      <c r="K1797" s="1" t="s">
        <v>2</v>
      </c>
      <c r="L1797" s="1" t="s">
        <v>2</v>
      </c>
      <c r="M1797" s="1" t="s">
        <v>2</v>
      </c>
      <c r="O1797" s="2"/>
      <c r="P1797" s="2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</row>
    <row r="1798" spans="1:32" s="1" customFormat="1" ht="20.25" customHeight="1" x14ac:dyDescent="0.25">
      <c r="A1798" s="2"/>
      <c r="B1798" s="2"/>
      <c r="C1798" s="2"/>
      <c r="D1798" s="2">
        <f>COUNTIF(contact[[#This Row],[Bagossy]:[Szo
03:00 - 10:00]],"=~?")</f>
        <v>0</v>
      </c>
      <c r="E1798" s="2">
        <f>COUNTIF(contact[[#This Row],[Bagossy]:[Szo
03:00 - 10:00]],"=x")</f>
        <v>0</v>
      </c>
      <c r="F1798" s="2">
        <f>SUM(contact[[#This Row],[?]:[x]])</f>
        <v>0</v>
      </c>
      <c r="G17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8" s="3" t="s">
        <v>2967</v>
      </c>
      <c r="K1798" s="1" t="s">
        <v>2</v>
      </c>
      <c r="L1798" s="1" t="s">
        <v>2</v>
      </c>
      <c r="M1798" s="1" t="s">
        <v>2</v>
      </c>
      <c r="O1798" s="2"/>
      <c r="P1798" s="2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</row>
    <row r="1799" spans="1:32" s="1" customFormat="1" ht="20.25" customHeight="1" x14ac:dyDescent="0.25">
      <c r="A1799" s="2"/>
      <c r="B1799" s="2"/>
      <c r="C1799" s="2"/>
      <c r="D1799" s="2">
        <f>COUNTIF(contact[[#This Row],[Bagossy]:[Szo
03:00 - 10:00]],"=~?")</f>
        <v>0</v>
      </c>
      <c r="E1799" s="2">
        <f>COUNTIF(contact[[#This Row],[Bagossy]:[Szo
03:00 - 10:00]],"=x")</f>
        <v>0</v>
      </c>
      <c r="F1799" s="2">
        <f>SUM(contact[[#This Row],[?]:[x]])</f>
        <v>0</v>
      </c>
      <c r="G17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799" s="3" t="s">
        <v>4258</v>
      </c>
      <c r="K1799" s="1" t="s">
        <v>2</v>
      </c>
      <c r="L1799" s="1" t="s">
        <v>2</v>
      </c>
      <c r="M1799" s="1" t="s">
        <v>2</v>
      </c>
      <c r="O1799" s="2"/>
      <c r="P1799" s="2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</row>
    <row r="1800" spans="1:32" s="1" customFormat="1" ht="20.25" customHeight="1" x14ac:dyDescent="0.25">
      <c r="A1800" s="2"/>
      <c r="B1800" s="2"/>
      <c r="C1800" s="2"/>
      <c r="D1800" s="2">
        <f>COUNTIF(contact[[#This Row],[Bagossy]:[Szo
03:00 - 10:00]],"=~?")</f>
        <v>0</v>
      </c>
      <c r="E1800" s="2">
        <f>COUNTIF(contact[[#This Row],[Bagossy]:[Szo
03:00 - 10:00]],"=x")</f>
        <v>0</v>
      </c>
      <c r="F1800" s="2">
        <f>SUM(contact[[#This Row],[?]:[x]])</f>
        <v>0</v>
      </c>
      <c r="G18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00" s="2"/>
      <c r="I1800" s="2"/>
      <c r="J1800" s="3" t="s">
        <v>3550</v>
      </c>
      <c r="K1800" s="1" t="s">
        <v>1668</v>
      </c>
      <c r="L1800" s="1" t="s">
        <v>2</v>
      </c>
      <c r="M1800" s="1" t="s">
        <v>2</v>
      </c>
      <c r="O1800" s="2"/>
      <c r="P1800" s="2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</row>
    <row r="1801" spans="1:32" s="1" customFormat="1" ht="20.25" customHeight="1" x14ac:dyDescent="0.25">
      <c r="A1801" s="2"/>
      <c r="B1801" s="2"/>
      <c r="C1801" s="2"/>
      <c r="D1801" s="2">
        <f>COUNTIF(contact[[#This Row],[Bagossy]:[Szo
03:00 - 10:00]],"=~?")</f>
        <v>0</v>
      </c>
      <c r="E1801" s="2">
        <f>COUNTIF(contact[[#This Row],[Bagossy]:[Szo
03:00 - 10:00]],"=x")</f>
        <v>0</v>
      </c>
      <c r="F1801" s="2">
        <f>SUM(contact[[#This Row],[?]:[x]])</f>
        <v>0</v>
      </c>
      <c r="G18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1" s="3" t="s">
        <v>3061</v>
      </c>
      <c r="K1801" s="1" t="s">
        <v>2</v>
      </c>
      <c r="L1801" s="1" t="s">
        <v>2</v>
      </c>
      <c r="M1801" s="1" t="s">
        <v>2</v>
      </c>
      <c r="O1801" s="2"/>
      <c r="P1801" s="2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</row>
    <row r="1802" spans="1:32" s="1" customFormat="1" ht="20.25" customHeight="1" x14ac:dyDescent="0.25">
      <c r="A1802" s="2"/>
      <c r="B1802" s="2"/>
      <c r="C1802" s="2"/>
      <c r="D1802" s="2">
        <f>COUNTIF(contact[[#This Row],[Bagossy]:[Szo
03:00 - 10:00]],"=~?")</f>
        <v>0</v>
      </c>
      <c r="E1802" s="2">
        <f>COUNTIF(contact[[#This Row],[Bagossy]:[Szo
03:00 - 10:00]],"=x")</f>
        <v>0</v>
      </c>
      <c r="F1802" s="2">
        <f>SUM(contact[[#This Row],[?]:[x]])</f>
        <v>0</v>
      </c>
      <c r="G18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2" s="3" t="s">
        <v>866</v>
      </c>
      <c r="K1802" s="1" t="s">
        <v>2</v>
      </c>
      <c r="L1802" s="1" t="s">
        <v>2</v>
      </c>
      <c r="M1802" s="1" t="s">
        <v>2</v>
      </c>
      <c r="O1802" s="2"/>
      <c r="P1802" s="2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</row>
    <row r="1803" spans="1:32" s="1" customFormat="1" ht="20.25" customHeight="1" x14ac:dyDescent="0.25">
      <c r="A1803" s="2"/>
      <c r="B1803" s="2"/>
      <c r="C1803" s="2"/>
      <c r="D1803" s="2">
        <f>COUNTIF(contact[[#This Row],[Bagossy]:[Szo
03:00 - 10:00]],"=~?")</f>
        <v>0</v>
      </c>
      <c r="E1803" s="2">
        <f>COUNTIF(contact[[#This Row],[Bagossy]:[Szo
03:00 - 10:00]],"=x")</f>
        <v>0</v>
      </c>
      <c r="F1803" s="2">
        <f>SUM(contact[[#This Row],[?]:[x]])</f>
        <v>0</v>
      </c>
      <c r="G18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3" s="3" t="s">
        <v>2450</v>
      </c>
      <c r="K1803" s="1" t="s">
        <v>314</v>
      </c>
      <c r="L1803" s="1" t="s">
        <v>2</v>
      </c>
      <c r="M1803" s="1" t="s">
        <v>2</v>
      </c>
      <c r="O1803" s="2"/>
      <c r="P1803" s="2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</row>
    <row r="1804" spans="1:32" s="1" customFormat="1" ht="20.25" customHeight="1" x14ac:dyDescent="0.25">
      <c r="A1804" s="2"/>
      <c r="B1804" s="2"/>
      <c r="C1804" s="2"/>
      <c r="D1804" s="2">
        <f>COUNTIF(contact[[#This Row],[Bagossy]:[Szo
03:00 - 10:00]],"=~?")</f>
        <v>0</v>
      </c>
      <c r="E1804" s="2">
        <f>COUNTIF(contact[[#This Row],[Bagossy]:[Szo
03:00 - 10:00]],"=x")</f>
        <v>0</v>
      </c>
      <c r="F1804" s="2">
        <f>SUM(contact[[#This Row],[?]:[x]])</f>
        <v>0</v>
      </c>
      <c r="G18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4" s="3" t="s">
        <v>4552</v>
      </c>
      <c r="K1804" s="1" t="s">
        <v>2</v>
      </c>
      <c r="L1804" s="1" t="s">
        <v>2</v>
      </c>
      <c r="M1804" s="1" t="s">
        <v>2</v>
      </c>
      <c r="O1804" s="2"/>
      <c r="P1804" s="2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</row>
    <row r="1805" spans="1:32" s="1" customFormat="1" ht="20.25" customHeight="1" x14ac:dyDescent="0.25">
      <c r="A1805" s="2"/>
      <c r="B1805" s="2"/>
      <c r="C1805" s="2"/>
      <c r="D1805" s="2">
        <f>COUNTIF(contact[[#This Row],[Bagossy]:[Szo
03:00 - 10:00]],"=~?")</f>
        <v>0</v>
      </c>
      <c r="E1805" s="2">
        <f>COUNTIF(contact[[#This Row],[Bagossy]:[Szo
03:00 - 10:00]],"=x")</f>
        <v>0</v>
      </c>
      <c r="F1805" s="2">
        <f>SUM(contact[[#This Row],[?]:[x]])</f>
        <v>0</v>
      </c>
      <c r="G18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5" s="3" t="s">
        <v>3653</v>
      </c>
      <c r="K1805" s="1" t="s">
        <v>886</v>
      </c>
      <c r="L1805" s="1" t="s">
        <v>2</v>
      </c>
      <c r="M1805" s="1" t="s">
        <v>2</v>
      </c>
      <c r="O1805" s="2"/>
      <c r="P1805" s="2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</row>
    <row r="1806" spans="1:32" s="1" customFormat="1" ht="20.25" customHeight="1" x14ac:dyDescent="0.25">
      <c r="A1806" s="2"/>
      <c r="B1806" s="2"/>
      <c r="C1806" s="2" t="s">
        <v>1285</v>
      </c>
      <c r="D1806" s="2">
        <f>COUNTIF(contact[[#This Row],[Bagossy]:[Szo
03:00 - 10:00]],"=~?")</f>
        <v>0</v>
      </c>
      <c r="E1806" s="2">
        <f>COUNTIF(contact[[#This Row],[Bagossy]:[Szo
03:00 - 10:00]],"=x")</f>
        <v>0</v>
      </c>
      <c r="F1806" s="2">
        <f>SUM(contact[[#This Row],[?]:[x]])</f>
        <v>0</v>
      </c>
      <c r="G18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06" s="2"/>
      <c r="I1806" s="2"/>
      <c r="J1806" s="3" t="s">
        <v>3552</v>
      </c>
      <c r="K1806" s="1" t="s">
        <v>166</v>
      </c>
      <c r="L1806" s="1" t="s">
        <v>2</v>
      </c>
      <c r="M1806" s="1" t="s">
        <v>2</v>
      </c>
      <c r="O1806" s="2"/>
      <c r="P1806" s="2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</row>
    <row r="1807" spans="1:32" s="1" customFormat="1" ht="20.25" customHeight="1" x14ac:dyDescent="0.25">
      <c r="A1807" s="2"/>
      <c r="B1807" s="2"/>
      <c r="C1807" s="2"/>
      <c r="D1807" s="2">
        <f>COUNTIF(contact[[#This Row],[Bagossy]:[Szo
03:00 - 10:00]],"=~?")</f>
        <v>0</v>
      </c>
      <c r="E1807" s="2">
        <f>COUNTIF(contact[[#This Row],[Bagossy]:[Szo
03:00 - 10:00]],"=x")</f>
        <v>0</v>
      </c>
      <c r="F1807" s="2">
        <f>SUM(contact[[#This Row],[?]:[x]])</f>
        <v>0</v>
      </c>
      <c r="G18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7" s="3" t="s">
        <v>2854</v>
      </c>
      <c r="K1807" s="1" t="s">
        <v>1499</v>
      </c>
      <c r="L1807" s="1" t="s">
        <v>2</v>
      </c>
      <c r="M1807" s="1" t="s">
        <v>2</v>
      </c>
      <c r="O1807" s="2"/>
      <c r="P1807" s="2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</row>
    <row r="1808" spans="1:32" s="1" customFormat="1" ht="20.25" customHeight="1" x14ac:dyDescent="0.25">
      <c r="A1808" s="2"/>
      <c r="B1808" s="2"/>
      <c r="C1808" s="2"/>
      <c r="D1808" s="2">
        <f>COUNTIF(contact[[#This Row],[Bagossy]:[Szo
03:00 - 10:00]],"=~?")</f>
        <v>0</v>
      </c>
      <c r="E1808" s="2">
        <f>COUNTIF(contact[[#This Row],[Bagossy]:[Szo
03:00 - 10:00]],"=x")</f>
        <v>0</v>
      </c>
      <c r="F1808" s="2">
        <f>SUM(contact[[#This Row],[?]:[x]])</f>
        <v>0</v>
      </c>
      <c r="G18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8" s="3" t="s">
        <v>3615</v>
      </c>
      <c r="K1808" s="1" t="s">
        <v>1685</v>
      </c>
      <c r="L1808" s="1" t="s">
        <v>2</v>
      </c>
      <c r="M1808" s="1" t="s">
        <v>2</v>
      </c>
      <c r="O1808" s="2"/>
      <c r="P1808" s="2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</row>
    <row r="1809" spans="1:32" s="1" customFormat="1" ht="20.25" customHeight="1" x14ac:dyDescent="0.25">
      <c r="A1809" s="2"/>
      <c r="B1809" s="2"/>
      <c r="C1809" s="2"/>
      <c r="D1809" s="2">
        <f>COUNTIF(contact[[#This Row],[Bagossy]:[Szo
03:00 - 10:00]],"=~?")</f>
        <v>0</v>
      </c>
      <c r="E1809" s="2">
        <f>COUNTIF(contact[[#This Row],[Bagossy]:[Szo
03:00 - 10:00]],"=x")</f>
        <v>0</v>
      </c>
      <c r="F1809" s="2">
        <f>SUM(contact[[#This Row],[?]:[x]])</f>
        <v>0</v>
      </c>
      <c r="G18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09" s="3" t="s">
        <v>2855</v>
      </c>
      <c r="K1809" s="1" t="s">
        <v>1500</v>
      </c>
      <c r="L1809" s="1" t="s">
        <v>2</v>
      </c>
      <c r="M1809" s="1" t="s">
        <v>2</v>
      </c>
      <c r="O1809" s="2"/>
      <c r="P1809" s="2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</row>
    <row r="1810" spans="1:32" s="1" customFormat="1" ht="20.25" customHeight="1" x14ac:dyDescent="0.25">
      <c r="A1810" s="2"/>
      <c r="B1810" s="2"/>
      <c r="C1810" s="2"/>
      <c r="D1810" s="2">
        <f>COUNTIF(contact[[#This Row],[Bagossy]:[Szo
03:00 - 10:00]],"=~?")</f>
        <v>0</v>
      </c>
      <c r="E1810" s="2">
        <f>COUNTIF(contact[[#This Row],[Bagossy]:[Szo
03:00 - 10:00]],"=x")</f>
        <v>0</v>
      </c>
      <c r="F1810" s="2">
        <f>SUM(contact[[#This Row],[?]:[x]])</f>
        <v>0</v>
      </c>
      <c r="G18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10" s="2"/>
      <c r="I1810" s="2"/>
      <c r="J1810" s="3" t="s">
        <v>3553</v>
      </c>
      <c r="K1810" s="1" t="s">
        <v>92</v>
      </c>
      <c r="L1810" s="1" t="s">
        <v>2</v>
      </c>
      <c r="M1810" s="1" t="s">
        <v>2</v>
      </c>
      <c r="O1810" s="2"/>
      <c r="P1810" s="2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</row>
    <row r="1811" spans="1:32" s="1" customFormat="1" ht="20.25" customHeight="1" x14ac:dyDescent="0.25">
      <c r="A1811" s="2"/>
      <c r="B1811" s="2"/>
      <c r="C1811" s="2"/>
      <c r="D1811" s="2">
        <f>COUNTIF(contact[[#This Row],[Bagossy]:[Szo
03:00 - 10:00]],"=~?")</f>
        <v>0</v>
      </c>
      <c r="E1811" s="2">
        <f>COUNTIF(contact[[#This Row],[Bagossy]:[Szo
03:00 - 10:00]],"=x")</f>
        <v>0</v>
      </c>
      <c r="F1811" s="2">
        <f>SUM(contact[[#This Row],[?]:[x]])</f>
        <v>0</v>
      </c>
      <c r="G18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11" s="3" t="s">
        <v>3473</v>
      </c>
      <c r="K1811" s="1" t="s">
        <v>806</v>
      </c>
      <c r="L1811" s="1" t="s">
        <v>2</v>
      </c>
      <c r="M1811" s="1" t="s">
        <v>2</v>
      </c>
      <c r="O1811" s="2"/>
      <c r="P1811" s="2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</row>
    <row r="1812" spans="1:32" s="1" customFormat="1" ht="20.25" customHeight="1" x14ac:dyDescent="0.25">
      <c r="A1812" s="2"/>
      <c r="B1812" s="2"/>
      <c r="C1812" s="2"/>
      <c r="D1812" s="2">
        <f>COUNTIF(contact[[#This Row],[Bagossy]:[Szo
03:00 - 10:00]],"=~?")</f>
        <v>0</v>
      </c>
      <c r="E1812" s="2">
        <f>COUNTIF(contact[[#This Row],[Bagossy]:[Szo
03:00 - 10:00]],"=x")</f>
        <v>0</v>
      </c>
      <c r="F1812" s="2">
        <f>SUM(contact[[#This Row],[?]:[x]])</f>
        <v>0</v>
      </c>
      <c r="G18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12" s="2"/>
      <c r="I1812" s="2"/>
      <c r="J1812" s="3" t="s">
        <v>3555</v>
      </c>
      <c r="K1812" s="1" t="s">
        <v>1670</v>
      </c>
      <c r="L1812" s="1" t="s">
        <v>2</v>
      </c>
      <c r="M1812" s="1" t="s">
        <v>2</v>
      </c>
      <c r="O1812" s="2"/>
      <c r="P1812" s="2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</row>
    <row r="1813" spans="1:32" s="1" customFormat="1" ht="20.25" customHeight="1" x14ac:dyDescent="0.25">
      <c r="A1813" s="2"/>
      <c r="B1813" s="2"/>
      <c r="C1813" s="2"/>
      <c r="D1813" s="2">
        <f>COUNTIF(contact[[#This Row],[Bagossy]:[Szo
03:00 - 10:00]],"=~?")</f>
        <v>0</v>
      </c>
      <c r="E1813" s="2">
        <f>COUNTIF(contact[[#This Row],[Bagossy]:[Szo
03:00 - 10:00]],"=x")</f>
        <v>0</v>
      </c>
      <c r="F1813" s="2">
        <f>SUM(contact[[#This Row],[?]:[x]])</f>
        <v>0</v>
      </c>
      <c r="G18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13" s="3" t="s">
        <v>3041</v>
      </c>
      <c r="K1813" s="1" t="s">
        <v>614</v>
      </c>
      <c r="L1813" s="1" t="s">
        <v>2</v>
      </c>
      <c r="M1813" s="1" t="s">
        <v>2</v>
      </c>
      <c r="O1813" s="2"/>
      <c r="P1813" s="2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</row>
    <row r="1814" spans="1:32" s="1" customFormat="1" ht="20.25" customHeight="1" x14ac:dyDescent="0.25">
      <c r="A1814" s="2"/>
      <c r="B1814" s="2"/>
      <c r="C1814" s="2"/>
      <c r="D1814" s="2">
        <f>COUNTIF(contact[[#This Row],[Bagossy]:[Szo
03:00 - 10:00]],"=~?")</f>
        <v>0</v>
      </c>
      <c r="E1814" s="2">
        <f>COUNTIF(contact[[#This Row],[Bagossy]:[Szo
03:00 - 10:00]],"=x")</f>
        <v>0</v>
      </c>
      <c r="F1814" s="2">
        <f>SUM(contact[[#This Row],[?]:[x]])</f>
        <v>0</v>
      </c>
      <c r="G18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14" s="3" t="s">
        <v>2856</v>
      </c>
      <c r="K1814" s="1" t="s">
        <v>1327</v>
      </c>
      <c r="L1814" s="1" t="s">
        <v>2</v>
      </c>
      <c r="M1814" s="1" t="s">
        <v>2</v>
      </c>
      <c r="O1814" s="2"/>
      <c r="P1814" s="2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</row>
    <row r="1815" spans="1:32" s="1" customFormat="1" ht="20.25" customHeight="1" x14ac:dyDescent="0.25">
      <c r="A1815" s="2"/>
      <c r="B1815" s="2" t="s">
        <v>1285</v>
      </c>
      <c r="C1815" s="2" t="s">
        <v>1285</v>
      </c>
      <c r="D1815" s="2">
        <f>COUNTIF(contact[[#This Row],[Bagossy]:[Szo
03:00 - 10:00]],"=~?")</f>
        <v>0</v>
      </c>
      <c r="E1815" s="2">
        <f>COUNTIF(contact[[#This Row],[Bagossy]:[Szo
03:00 - 10:00]],"=x")</f>
        <v>0</v>
      </c>
      <c r="F1815" s="2">
        <f>SUM(contact[[#This Row],[?]:[x]])</f>
        <v>0</v>
      </c>
      <c r="G18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15" s="2"/>
      <c r="I1815" s="2"/>
      <c r="J1815" s="3" t="s">
        <v>3571</v>
      </c>
      <c r="K1815" s="1" t="s">
        <v>1674</v>
      </c>
      <c r="L1815" s="1" t="s">
        <v>2</v>
      </c>
      <c r="M1815" s="1" t="s">
        <v>2</v>
      </c>
      <c r="O1815" s="2"/>
      <c r="P1815" s="2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</row>
    <row r="1816" spans="1:32" s="1" customFormat="1" ht="20.25" customHeight="1" x14ac:dyDescent="0.25">
      <c r="A1816" s="2"/>
      <c r="B1816" s="2"/>
      <c r="C1816" s="2"/>
      <c r="D1816" s="2">
        <f>COUNTIF(contact[[#This Row],[Bagossy]:[Szo
03:00 - 10:00]],"=~?")</f>
        <v>0</v>
      </c>
      <c r="E1816" s="2">
        <f>COUNTIF(contact[[#This Row],[Bagossy]:[Szo
03:00 - 10:00]],"=x")</f>
        <v>0</v>
      </c>
      <c r="F1816" s="2">
        <f>SUM(contact[[#This Row],[?]:[x]])</f>
        <v>0</v>
      </c>
      <c r="G18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16" s="3" t="s">
        <v>3420</v>
      </c>
      <c r="K1816" s="1" t="s">
        <v>787</v>
      </c>
      <c r="L1816" s="1" t="s">
        <v>2</v>
      </c>
      <c r="M1816" s="1" t="s">
        <v>2</v>
      </c>
      <c r="O1816" s="2"/>
      <c r="P1816" s="2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</row>
    <row r="1817" spans="1:32" s="1" customFormat="1" ht="20.25" customHeight="1" x14ac:dyDescent="0.25">
      <c r="A1817" s="2"/>
      <c r="B1817" s="2"/>
      <c r="C1817" s="2"/>
      <c r="D1817" s="2">
        <f>COUNTIF(contact[[#This Row],[Bagossy]:[Szo
03:00 - 10:00]],"=~?")</f>
        <v>0</v>
      </c>
      <c r="E1817" s="2">
        <f>COUNTIF(contact[[#This Row],[Bagossy]:[Szo
03:00 - 10:00]],"=x")</f>
        <v>0</v>
      </c>
      <c r="F1817" s="2">
        <f>SUM(contact[[#This Row],[?]:[x]])</f>
        <v>0</v>
      </c>
      <c r="G18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17" s="3" t="s">
        <v>3654</v>
      </c>
      <c r="K1817" s="1" t="s">
        <v>887</v>
      </c>
      <c r="L1817" s="1" t="s">
        <v>2</v>
      </c>
      <c r="M1817" s="1" t="s">
        <v>2</v>
      </c>
      <c r="O1817" s="2"/>
      <c r="P1817" s="2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</row>
    <row r="1818" spans="1:32" s="1" customFormat="1" ht="20.25" customHeight="1" x14ac:dyDescent="0.25">
      <c r="A1818" s="2"/>
      <c r="B1818" s="2"/>
      <c r="C1818" s="2"/>
      <c r="D1818" s="2">
        <f>COUNTIF(contact[[#This Row],[Bagossy]:[Szo
03:00 - 10:00]],"=~?")</f>
        <v>0</v>
      </c>
      <c r="E1818" s="2">
        <f>COUNTIF(contact[[#This Row],[Bagossy]:[Szo
03:00 - 10:00]],"=x")</f>
        <v>0</v>
      </c>
      <c r="F1818" s="2">
        <f>SUM(contact[[#This Row],[?]:[x]])</f>
        <v>0</v>
      </c>
      <c r="G18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18" s="3" t="s">
        <v>878</v>
      </c>
      <c r="K1818" s="1" t="s">
        <v>878</v>
      </c>
      <c r="L1818" s="1" t="s">
        <v>2</v>
      </c>
      <c r="M1818" s="1" t="s">
        <v>2</v>
      </c>
      <c r="O1818" s="2"/>
      <c r="P1818" s="2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</row>
    <row r="1819" spans="1:32" s="1" customFormat="1" ht="20.25" customHeight="1" x14ac:dyDescent="0.25">
      <c r="A1819" s="2"/>
      <c r="B1819" s="2"/>
      <c r="C1819" s="2"/>
      <c r="D1819" s="2">
        <f>COUNTIF(contact[[#This Row],[Bagossy]:[Szo
03:00 - 10:00]],"=~?")</f>
        <v>0</v>
      </c>
      <c r="E1819" s="2">
        <f>COUNTIF(contact[[#This Row],[Bagossy]:[Szo
03:00 - 10:00]],"=x")</f>
        <v>0</v>
      </c>
      <c r="F1819" s="2">
        <f>SUM(contact[[#This Row],[?]:[x]])</f>
        <v>0</v>
      </c>
      <c r="G18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19" s="2"/>
      <c r="I1819" s="2"/>
      <c r="J1819" s="3" t="s">
        <v>3583</v>
      </c>
      <c r="K1819" s="1" t="s">
        <v>24</v>
      </c>
      <c r="L1819" s="1" t="s">
        <v>2</v>
      </c>
      <c r="M1819" s="1" t="s">
        <v>2</v>
      </c>
      <c r="O1819" s="2"/>
      <c r="P1819" s="2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</row>
    <row r="1820" spans="1:32" s="1" customFormat="1" ht="20.25" customHeight="1" x14ac:dyDescent="0.25">
      <c r="A1820" s="2"/>
      <c r="B1820" s="2"/>
      <c r="C1820" s="2"/>
      <c r="D1820" s="2">
        <f>COUNTIF(contact[[#This Row],[Bagossy]:[Szo
03:00 - 10:00]],"=~?")</f>
        <v>0</v>
      </c>
      <c r="E1820" s="2">
        <f>COUNTIF(contact[[#This Row],[Bagossy]:[Szo
03:00 - 10:00]],"=x")</f>
        <v>0</v>
      </c>
      <c r="F1820" s="2">
        <f>SUM(contact[[#This Row],[?]:[x]])</f>
        <v>0</v>
      </c>
      <c r="G18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0" s="3" t="s">
        <v>2622</v>
      </c>
      <c r="K1820" s="1" t="s">
        <v>1459</v>
      </c>
      <c r="L1820" s="1" t="s">
        <v>2</v>
      </c>
      <c r="M1820" s="1" t="s">
        <v>2</v>
      </c>
      <c r="O1820" s="2"/>
      <c r="P1820" s="2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</row>
    <row r="1821" spans="1:32" s="1" customFormat="1" ht="20.25" customHeight="1" x14ac:dyDescent="0.25">
      <c r="A1821" s="2"/>
      <c r="B1821" s="2"/>
      <c r="C1821" s="2"/>
      <c r="D1821" s="2">
        <f>COUNTIF(contact[[#This Row],[Bagossy]:[Szo
03:00 - 10:00]],"=~?")</f>
        <v>0</v>
      </c>
      <c r="E1821" s="2">
        <f>COUNTIF(contact[[#This Row],[Bagossy]:[Szo
03:00 - 10:00]],"=x")</f>
        <v>0</v>
      </c>
      <c r="F1821" s="2">
        <f>SUM(contact[[#This Row],[?]:[x]])</f>
        <v>0</v>
      </c>
      <c r="G18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1" s="3" t="s">
        <v>3509</v>
      </c>
      <c r="K1821" s="1" t="s">
        <v>570</v>
      </c>
      <c r="L1821" s="1" t="s">
        <v>2</v>
      </c>
      <c r="M1821" s="1" t="s">
        <v>2</v>
      </c>
      <c r="O1821" s="2"/>
      <c r="P1821" s="2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</row>
    <row r="1822" spans="1:32" s="1" customFormat="1" ht="20.25" customHeight="1" x14ac:dyDescent="0.25">
      <c r="A1822" s="2"/>
      <c r="B1822" s="2"/>
      <c r="C1822" s="2"/>
      <c r="D1822" s="2">
        <f>COUNTIF(contact[[#This Row],[Bagossy]:[Szo
03:00 - 10:00]],"=~?")</f>
        <v>0</v>
      </c>
      <c r="E1822" s="2">
        <f>COUNTIF(contact[[#This Row],[Bagossy]:[Szo
03:00 - 10:00]],"=x")</f>
        <v>0</v>
      </c>
      <c r="F1822" s="2">
        <f>SUM(contact[[#This Row],[?]:[x]])</f>
        <v>0</v>
      </c>
      <c r="G18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2" s="3" t="s">
        <v>3540</v>
      </c>
      <c r="K1822" s="1" t="s">
        <v>1666</v>
      </c>
      <c r="L1822" s="1" t="s">
        <v>2</v>
      </c>
      <c r="M1822" s="1" t="s">
        <v>2</v>
      </c>
      <c r="O1822" s="2"/>
      <c r="P1822" s="2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</row>
    <row r="1823" spans="1:32" s="1" customFormat="1" ht="20.25" customHeight="1" x14ac:dyDescent="0.25">
      <c r="A1823" s="2"/>
      <c r="B1823" s="2"/>
      <c r="C1823" s="2" t="s">
        <v>1285</v>
      </c>
      <c r="D1823" s="2">
        <f>COUNTIF(contact[[#This Row],[Bagossy]:[Szo
03:00 - 10:00]],"=~?")</f>
        <v>0</v>
      </c>
      <c r="E1823" s="2">
        <f>COUNTIF(contact[[#This Row],[Bagossy]:[Szo
03:00 - 10:00]],"=x")</f>
        <v>0</v>
      </c>
      <c r="F1823" s="2">
        <f>SUM(contact[[#This Row],[?]:[x]])</f>
        <v>0</v>
      </c>
      <c r="G18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23" s="2"/>
      <c r="I1823" s="2"/>
      <c r="J1823" s="3" t="s">
        <v>3592</v>
      </c>
      <c r="K1823" s="1" t="s">
        <v>92</v>
      </c>
      <c r="L1823" s="1" t="s">
        <v>2</v>
      </c>
      <c r="M1823" s="1" t="s">
        <v>2</v>
      </c>
      <c r="O1823" s="2"/>
      <c r="P1823" s="2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</row>
    <row r="1824" spans="1:32" s="1" customFormat="1" ht="20.25" customHeight="1" x14ac:dyDescent="0.25">
      <c r="A1824" s="2"/>
      <c r="B1824" s="2"/>
      <c r="C1824" s="2"/>
      <c r="D1824" s="2">
        <f>COUNTIF(contact[[#This Row],[Bagossy]:[Szo
03:00 - 10:00]],"=~?")</f>
        <v>0</v>
      </c>
      <c r="E1824" s="2">
        <f>COUNTIF(contact[[#This Row],[Bagossy]:[Szo
03:00 - 10:00]],"=x")</f>
        <v>0</v>
      </c>
      <c r="F1824" s="2">
        <f>SUM(contact[[#This Row],[?]:[x]])</f>
        <v>0</v>
      </c>
      <c r="G18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4" s="3" t="s">
        <v>3982</v>
      </c>
      <c r="K1824" s="1" t="s">
        <v>1049</v>
      </c>
      <c r="L1824" s="1" t="s">
        <v>2</v>
      </c>
      <c r="M1824" s="1" t="s">
        <v>2</v>
      </c>
      <c r="O1824" s="2"/>
      <c r="P1824" s="2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</row>
    <row r="1825" spans="1:32" s="1" customFormat="1" ht="20.25" customHeight="1" x14ac:dyDescent="0.25">
      <c r="A1825" s="2"/>
      <c r="B1825" s="2"/>
      <c r="C1825" s="2"/>
      <c r="D1825" s="2">
        <f>COUNTIF(contact[[#This Row],[Bagossy]:[Szo
03:00 - 10:00]],"=~?")</f>
        <v>0</v>
      </c>
      <c r="E1825" s="2">
        <f>COUNTIF(contact[[#This Row],[Bagossy]:[Szo
03:00 - 10:00]],"=x")</f>
        <v>0</v>
      </c>
      <c r="F1825" s="2">
        <f>SUM(contact[[#This Row],[?]:[x]])</f>
        <v>0</v>
      </c>
      <c r="G18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5" s="3" t="s">
        <v>881</v>
      </c>
      <c r="K1825" s="1" t="s">
        <v>2</v>
      </c>
      <c r="L1825" s="1" t="s">
        <v>2</v>
      </c>
      <c r="M1825" s="1" t="s">
        <v>2</v>
      </c>
      <c r="O1825" s="2"/>
      <c r="P1825" s="2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</row>
    <row r="1826" spans="1:32" s="1" customFormat="1" ht="20.25" customHeight="1" x14ac:dyDescent="0.25">
      <c r="A1826" s="2"/>
      <c r="B1826" s="2"/>
      <c r="C1826" s="2"/>
      <c r="D1826" s="2">
        <f>COUNTIF(contact[[#This Row],[Bagossy]:[Szo
03:00 - 10:00]],"=~?")</f>
        <v>0</v>
      </c>
      <c r="E1826" s="2">
        <f>COUNTIF(contact[[#This Row],[Bagossy]:[Szo
03:00 - 10:00]],"=x")</f>
        <v>0</v>
      </c>
      <c r="F1826" s="2">
        <f>SUM(contact[[#This Row],[?]:[x]])</f>
        <v>0</v>
      </c>
      <c r="G18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6" s="3" t="s">
        <v>2192</v>
      </c>
      <c r="K1826" s="1" t="s">
        <v>165</v>
      </c>
      <c r="L1826" s="1" t="s">
        <v>2</v>
      </c>
      <c r="M1826" s="1" t="s">
        <v>2</v>
      </c>
      <c r="O1826" s="2"/>
      <c r="P1826" s="2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</row>
    <row r="1827" spans="1:32" s="1" customFormat="1" ht="20.25" customHeight="1" x14ac:dyDescent="0.25">
      <c r="A1827" s="2"/>
      <c r="B1827" s="2"/>
      <c r="C1827" s="2"/>
      <c r="D1827" s="2">
        <f>COUNTIF(contact[[#This Row],[Bagossy]:[Szo
03:00 - 10:00]],"=~?")</f>
        <v>0</v>
      </c>
      <c r="E1827" s="2">
        <f>COUNTIF(contact[[#This Row],[Bagossy]:[Szo
03:00 - 10:00]],"=x")</f>
        <v>0</v>
      </c>
      <c r="F1827" s="2">
        <f>SUM(contact[[#This Row],[?]:[x]])</f>
        <v>0</v>
      </c>
      <c r="G18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7" s="3" t="s">
        <v>2771</v>
      </c>
      <c r="K1827" s="1" t="s">
        <v>484</v>
      </c>
      <c r="L1827" s="1" t="s">
        <v>2</v>
      </c>
      <c r="M1827" s="1" t="s">
        <v>2</v>
      </c>
      <c r="O1827" s="2"/>
      <c r="P1827" s="2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</row>
    <row r="1828" spans="1:32" s="1" customFormat="1" ht="20.25" customHeight="1" x14ac:dyDescent="0.25">
      <c r="A1828" s="2"/>
      <c r="B1828" s="2"/>
      <c r="C1828" s="2"/>
      <c r="D1828" s="2">
        <f>COUNTIF(contact[[#This Row],[Bagossy]:[Szo
03:00 - 10:00]],"=~?")</f>
        <v>0</v>
      </c>
      <c r="E1828" s="2">
        <f>COUNTIF(contact[[#This Row],[Bagossy]:[Szo
03:00 - 10:00]],"=x")</f>
        <v>0</v>
      </c>
      <c r="F1828" s="2">
        <f>SUM(contact[[#This Row],[?]:[x]])</f>
        <v>0</v>
      </c>
      <c r="G18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8" s="3" t="s">
        <v>883</v>
      </c>
      <c r="K1828" s="1" t="s">
        <v>2</v>
      </c>
      <c r="L1828" s="1" t="s">
        <v>2</v>
      </c>
      <c r="M1828" s="1" t="s">
        <v>2</v>
      </c>
      <c r="O1828" s="2"/>
      <c r="P1828" s="2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</row>
    <row r="1829" spans="1:32" s="1" customFormat="1" ht="20.25" customHeight="1" x14ac:dyDescent="0.25">
      <c r="A1829" s="2"/>
      <c r="B1829" s="2"/>
      <c r="C1829" s="2"/>
      <c r="D1829" s="2">
        <f>COUNTIF(contact[[#This Row],[Bagossy]:[Szo
03:00 - 10:00]],"=~?")</f>
        <v>0</v>
      </c>
      <c r="E1829" s="2">
        <f>COUNTIF(contact[[#This Row],[Bagossy]:[Szo
03:00 - 10:00]],"=x")</f>
        <v>0</v>
      </c>
      <c r="F1829" s="2">
        <f>SUM(contact[[#This Row],[?]:[x]])</f>
        <v>0</v>
      </c>
      <c r="G18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29" s="3" t="s">
        <v>3609</v>
      </c>
      <c r="K1829" s="1" t="s">
        <v>867</v>
      </c>
      <c r="L1829" s="1" t="s">
        <v>2</v>
      </c>
      <c r="M1829" s="1" t="s">
        <v>2</v>
      </c>
      <c r="O1829" s="2"/>
      <c r="P1829" s="2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</row>
    <row r="1830" spans="1:32" s="1" customFormat="1" ht="20.25" customHeight="1" x14ac:dyDescent="0.25">
      <c r="A1830" s="2"/>
      <c r="B1830" s="2"/>
      <c r="C1830" s="2"/>
      <c r="D1830" s="2">
        <f>COUNTIF(contact[[#This Row],[Bagossy]:[Szo
03:00 - 10:00]],"=~?")</f>
        <v>0</v>
      </c>
      <c r="E1830" s="2">
        <f>COUNTIF(contact[[#This Row],[Bagossy]:[Szo
03:00 - 10:00]],"=x")</f>
        <v>0</v>
      </c>
      <c r="F1830" s="2">
        <f>SUM(contact[[#This Row],[?]:[x]])</f>
        <v>0</v>
      </c>
      <c r="G18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30" s="2"/>
      <c r="I1830" s="2"/>
      <c r="J1830" s="3" t="s">
        <v>3595</v>
      </c>
      <c r="K1830" s="1" t="s">
        <v>1679</v>
      </c>
      <c r="L1830" s="1" t="s">
        <v>2</v>
      </c>
      <c r="M1830" s="1" t="s">
        <v>2</v>
      </c>
      <c r="O1830" s="2"/>
      <c r="P1830" s="2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</row>
    <row r="1831" spans="1:32" s="1" customFormat="1" ht="20.25" customHeight="1" x14ac:dyDescent="0.25">
      <c r="A1831" s="2"/>
      <c r="B1831" s="2"/>
      <c r="C1831" s="2"/>
      <c r="D1831" s="2">
        <f>COUNTIF(contact[[#This Row],[Bagossy]:[Szo
03:00 - 10:00]],"=~?")</f>
        <v>0</v>
      </c>
      <c r="E1831" s="2">
        <f>COUNTIF(contact[[#This Row],[Bagossy]:[Szo
03:00 - 10:00]],"=x")</f>
        <v>0</v>
      </c>
      <c r="F1831" s="2">
        <f>SUM(contact[[#This Row],[?]:[x]])</f>
        <v>0</v>
      </c>
      <c r="G18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1" s="3" t="s">
        <v>2615</v>
      </c>
      <c r="K1831" s="1" t="s">
        <v>1456</v>
      </c>
      <c r="L1831" s="1" t="s">
        <v>2</v>
      </c>
      <c r="M1831" s="1" t="s">
        <v>2</v>
      </c>
      <c r="O1831" s="2"/>
      <c r="P1831" s="2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</row>
    <row r="1832" spans="1:32" s="1" customFormat="1" ht="20.25" customHeight="1" x14ac:dyDescent="0.25">
      <c r="A1832" s="2"/>
      <c r="B1832" s="2"/>
      <c r="C1832" s="2"/>
      <c r="D1832" s="2">
        <f>COUNTIF(contact[[#This Row],[Bagossy]:[Szo
03:00 - 10:00]],"=~?")</f>
        <v>0</v>
      </c>
      <c r="E1832" s="2">
        <f>COUNTIF(contact[[#This Row],[Bagossy]:[Szo
03:00 - 10:00]],"=x")</f>
        <v>0</v>
      </c>
      <c r="F1832" s="2">
        <f>SUM(contact[[#This Row],[?]:[x]])</f>
        <v>0</v>
      </c>
      <c r="G18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2" s="3" t="s">
        <v>4106</v>
      </c>
      <c r="K1832" s="1" t="s">
        <v>2</v>
      </c>
      <c r="L1832" s="1" t="s">
        <v>2</v>
      </c>
      <c r="M1832" s="1" t="s">
        <v>2</v>
      </c>
      <c r="O1832" s="2"/>
      <c r="P1832" s="2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</row>
    <row r="1833" spans="1:32" s="1" customFormat="1" ht="20.25" customHeight="1" x14ac:dyDescent="0.25">
      <c r="A1833" s="2"/>
      <c r="B1833" s="2"/>
      <c r="C1833" s="2"/>
      <c r="D1833" s="2">
        <f>COUNTIF(contact[[#This Row],[Bagossy]:[Szo
03:00 - 10:00]],"=~?")</f>
        <v>0</v>
      </c>
      <c r="E1833" s="2">
        <f>COUNTIF(contact[[#This Row],[Bagossy]:[Szo
03:00 - 10:00]],"=x")</f>
        <v>0</v>
      </c>
      <c r="F1833" s="2">
        <f>SUM(contact[[#This Row],[?]:[x]])</f>
        <v>0</v>
      </c>
      <c r="G18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3" s="3" t="s">
        <v>2334</v>
      </c>
      <c r="K1833" s="1" t="s">
        <v>249</v>
      </c>
      <c r="L1833" s="1" t="s">
        <v>2</v>
      </c>
      <c r="M1833" s="1" t="s">
        <v>2</v>
      </c>
      <c r="O1833" s="2"/>
      <c r="P1833" s="2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</row>
    <row r="1834" spans="1:32" s="1" customFormat="1" ht="20.25" customHeight="1" x14ac:dyDescent="0.25">
      <c r="A1834" s="2"/>
      <c r="B1834" s="2"/>
      <c r="C1834" s="2"/>
      <c r="D1834" s="2">
        <f>COUNTIF(contact[[#This Row],[Bagossy]:[Szo
03:00 - 10:00]],"=~?")</f>
        <v>0</v>
      </c>
      <c r="E1834" s="2">
        <f>COUNTIF(contact[[#This Row],[Bagossy]:[Szo
03:00 - 10:00]],"=x")</f>
        <v>0</v>
      </c>
      <c r="F1834" s="2">
        <f>SUM(contact[[#This Row],[?]:[x]])</f>
        <v>0</v>
      </c>
      <c r="G18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4" s="3" t="s">
        <v>884</v>
      </c>
      <c r="K1834" s="1" t="s">
        <v>2</v>
      </c>
      <c r="L1834" s="1" t="s">
        <v>2</v>
      </c>
      <c r="M1834" s="1" t="s">
        <v>2</v>
      </c>
      <c r="O1834" s="2"/>
      <c r="P1834" s="2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</row>
    <row r="1835" spans="1:32" s="1" customFormat="1" ht="20.25" customHeight="1" x14ac:dyDescent="0.25">
      <c r="A1835" s="2"/>
      <c r="B1835" s="2"/>
      <c r="C1835" s="2"/>
      <c r="D1835" s="2">
        <f>COUNTIF(contact[[#This Row],[Bagossy]:[Szo
03:00 - 10:00]],"=~?")</f>
        <v>0</v>
      </c>
      <c r="E1835" s="2">
        <f>COUNTIF(contact[[#This Row],[Bagossy]:[Szo
03:00 - 10:00]],"=x")</f>
        <v>0</v>
      </c>
      <c r="F1835" s="2">
        <f>SUM(contact[[#This Row],[?]:[x]])</f>
        <v>0</v>
      </c>
      <c r="G18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5" s="3" t="s">
        <v>2857</v>
      </c>
      <c r="K1835" s="1" t="s">
        <v>2</v>
      </c>
      <c r="L1835" s="1" t="s">
        <v>2</v>
      </c>
      <c r="M1835" s="1" t="s">
        <v>2</v>
      </c>
      <c r="O1835" s="2"/>
      <c r="P1835" s="2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</row>
    <row r="1836" spans="1:32" s="1" customFormat="1" ht="20.25" customHeight="1" x14ac:dyDescent="0.25">
      <c r="A1836" s="2"/>
      <c r="B1836" s="2"/>
      <c r="C1836" s="2"/>
      <c r="D1836" s="2">
        <f>COUNTIF(contact[[#This Row],[Bagossy]:[Szo
03:00 - 10:00]],"=~?")</f>
        <v>0</v>
      </c>
      <c r="E1836" s="2">
        <f>COUNTIF(contact[[#This Row],[Bagossy]:[Szo
03:00 - 10:00]],"=x")</f>
        <v>0</v>
      </c>
      <c r="F1836" s="2">
        <f>SUM(contact[[#This Row],[?]:[x]])</f>
        <v>0</v>
      </c>
      <c r="G18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6" s="3" t="s">
        <v>1930</v>
      </c>
      <c r="K1836" s="1" t="s">
        <v>2</v>
      </c>
      <c r="L1836" s="1" t="s">
        <v>2</v>
      </c>
      <c r="M1836" s="1" t="s">
        <v>2</v>
      </c>
      <c r="O1836" s="2"/>
      <c r="P1836" s="2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</row>
    <row r="1837" spans="1:32" s="1" customFormat="1" ht="20.25" customHeight="1" x14ac:dyDescent="0.25">
      <c r="A1837" s="2"/>
      <c r="B1837" s="2"/>
      <c r="C1837" s="2"/>
      <c r="D1837" s="2">
        <f>COUNTIF(contact[[#This Row],[Bagossy]:[Szo
03:00 - 10:00]],"=~?")</f>
        <v>0</v>
      </c>
      <c r="E1837" s="2">
        <f>COUNTIF(contact[[#This Row],[Bagossy]:[Szo
03:00 - 10:00]],"=x")</f>
        <v>0</v>
      </c>
      <c r="F1837" s="2">
        <f>SUM(contact[[#This Row],[?]:[x]])</f>
        <v>0</v>
      </c>
      <c r="G18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7" s="3" t="s">
        <v>3647</v>
      </c>
      <c r="K1837" s="1" t="s">
        <v>1692</v>
      </c>
      <c r="L1837" s="1" t="s">
        <v>2</v>
      </c>
      <c r="M1837" s="1" t="s">
        <v>2</v>
      </c>
      <c r="O1837" s="2"/>
      <c r="P1837" s="2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</row>
    <row r="1838" spans="1:32" s="1" customFormat="1" ht="20.25" customHeight="1" x14ac:dyDescent="0.25">
      <c r="A1838" s="2"/>
      <c r="B1838" s="2"/>
      <c r="C1838" s="2"/>
      <c r="D1838" s="2">
        <f>COUNTIF(contact[[#This Row],[Bagossy]:[Szo
03:00 - 10:00]],"=~?")</f>
        <v>0</v>
      </c>
      <c r="E1838" s="2">
        <f>COUNTIF(contact[[#This Row],[Bagossy]:[Szo
03:00 - 10:00]],"=x")</f>
        <v>0</v>
      </c>
      <c r="F1838" s="2">
        <f>SUM(contact[[#This Row],[?]:[x]])</f>
        <v>0</v>
      </c>
      <c r="G18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8" s="3" t="s">
        <v>2308</v>
      </c>
      <c r="K1838" s="1" t="s">
        <v>2</v>
      </c>
      <c r="L1838" s="1" t="s">
        <v>2</v>
      </c>
      <c r="M1838" s="1" t="s">
        <v>2</v>
      </c>
      <c r="O1838" s="2"/>
      <c r="P1838" s="2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</row>
    <row r="1839" spans="1:32" s="1" customFormat="1" ht="20.25" customHeight="1" x14ac:dyDescent="0.25">
      <c r="A1839" s="2"/>
      <c r="B1839" s="2"/>
      <c r="C1839" s="2"/>
      <c r="D1839" s="2">
        <f>COUNTIF(contact[[#This Row],[Bagossy]:[Szo
03:00 - 10:00]],"=~?")</f>
        <v>0</v>
      </c>
      <c r="E1839" s="2">
        <f>COUNTIF(contact[[#This Row],[Bagossy]:[Szo
03:00 - 10:00]],"=x")</f>
        <v>0</v>
      </c>
      <c r="F1839" s="2">
        <f>SUM(contact[[#This Row],[?]:[x]])</f>
        <v>0</v>
      </c>
      <c r="G18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39" s="3" t="s">
        <v>2098</v>
      </c>
      <c r="K1839" s="1" t="s">
        <v>115</v>
      </c>
      <c r="L1839" s="1" t="s">
        <v>2</v>
      </c>
      <c r="M1839" s="1" t="s">
        <v>2</v>
      </c>
      <c r="O1839" s="2"/>
      <c r="P1839" s="2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</row>
    <row r="1840" spans="1:32" s="1" customFormat="1" ht="20.25" customHeight="1" x14ac:dyDescent="0.25">
      <c r="A1840" s="2"/>
      <c r="B1840" s="2"/>
      <c r="C1840" s="2"/>
      <c r="D1840" s="2">
        <f>COUNTIF(contact[[#This Row],[Bagossy]:[Szo
03:00 - 10:00]],"=~?")</f>
        <v>0</v>
      </c>
      <c r="E1840" s="2">
        <f>COUNTIF(contact[[#This Row],[Bagossy]:[Szo
03:00 - 10:00]],"=x")</f>
        <v>0</v>
      </c>
      <c r="F1840" s="2">
        <f>SUM(contact[[#This Row],[?]:[x]])</f>
        <v>0</v>
      </c>
      <c r="G18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0" s="3" t="s">
        <v>888</v>
      </c>
      <c r="K1840" s="1" t="s">
        <v>2</v>
      </c>
      <c r="L1840" s="1" t="s">
        <v>2</v>
      </c>
      <c r="M1840" s="1" t="s">
        <v>2</v>
      </c>
      <c r="O1840" s="2"/>
      <c r="P1840" s="2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</row>
    <row r="1841" spans="1:32" s="1" customFormat="1" ht="20.25" customHeight="1" x14ac:dyDescent="0.25">
      <c r="A1841" s="2"/>
      <c r="B1841" s="2"/>
      <c r="C1841" s="2"/>
      <c r="D1841" s="2">
        <f>COUNTIF(contact[[#This Row],[Bagossy]:[Szo
03:00 - 10:00]],"=~?")</f>
        <v>0</v>
      </c>
      <c r="E1841" s="2">
        <f>COUNTIF(contact[[#This Row],[Bagossy]:[Szo
03:00 - 10:00]],"=x")</f>
        <v>0</v>
      </c>
      <c r="F1841" s="2">
        <f>SUM(contact[[#This Row],[?]:[x]])</f>
        <v>0</v>
      </c>
      <c r="G18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1" s="3" t="s">
        <v>889</v>
      </c>
      <c r="K1841" s="1" t="s">
        <v>2</v>
      </c>
      <c r="L1841" s="1" t="s">
        <v>2</v>
      </c>
      <c r="M1841" s="1" t="s">
        <v>2</v>
      </c>
      <c r="O1841" s="2"/>
      <c r="P1841" s="2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</row>
    <row r="1842" spans="1:32" s="1" customFormat="1" ht="20.25" customHeight="1" x14ac:dyDescent="0.25">
      <c r="A1842" s="2"/>
      <c r="B1842" s="2"/>
      <c r="C1842" s="2"/>
      <c r="D1842" s="2">
        <f>COUNTIF(contact[[#This Row],[Bagossy]:[Szo
03:00 - 10:00]],"=~?")</f>
        <v>0</v>
      </c>
      <c r="E1842" s="2">
        <f>COUNTIF(contact[[#This Row],[Bagossy]:[Szo
03:00 - 10:00]],"=x")</f>
        <v>0</v>
      </c>
      <c r="F1842" s="2">
        <f>SUM(contact[[#This Row],[?]:[x]])</f>
        <v>0</v>
      </c>
      <c r="G18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2" s="3" t="s">
        <v>4336</v>
      </c>
      <c r="K1842" s="1" t="s">
        <v>2</v>
      </c>
      <c r="L1842" s="1" t="s">
        <v>2</v>
      </c>
      <c r="M1842" s="1" t="s">
        <v>2</v>
      </c>
      <c r="O1842" s="2"/>
      <c r="P1842" s="2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</row>
    <row r="1843" spans="1:32" s="1" customFormat="1" ht="20.25" customHeight="1" x14ac:dyDescent="0.25">
      <c r="A1843" s="2"/>
      <c r="B1843" s="2"/>
      <c r="C1843" s="2"/>
      <c r="D1843" s="2">
        <f>COUNTIF(contact[[#This Row],[Bagossy]:[Szo
03:00 - 10:00]],"=~?")</f>
        <v>0</v>
      </c>
      <c r="E1843" s="2">
        <f>COUNTIF(contact[[#This Row],[Bagossy]:[Szo
03:00 - 10:00]],"=x")</f>
        <v>0</v>
      </c>
      <c r="F1843" s="2">
        <f>SUM(contact[[#This Row],[?]:[x]])</f>
        <v>0</v>
      </c>
      <c r="G18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3" s="3" t="s">
        <v>3173</v>
      </c>
      <c r="K1843" s="1" t="s">
        <v>1580</v>
      </c>
      <c r="L1843" s="1" t="s">
        <v>2</v>
      </c>
      <c r="M1843" s="1" t="s">
        <v>2</v>
      </c>
      <c r="O1843" s="2"/>
      <c r="P1843" s="2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</row>
    <row r="1844" spans="1:32" s="1" customFormat="1" ht="20.25" customHeight="1" x14ac:dyDescent="0.25">
      <c r="A1844" s="2"/>
      <c r="B1844" s="2"/>
      <c r="C1844" s="2" t="s">
        <v>1285</v>
      </c>
      <c r="D1844" s="2">
        <f>COUNTIF(contact[[#This Row],[Bagossy]:[Szo
03:00 - 10:00]],"=~?")</f>
        <v>0</v>
      </c>
      <c r="E1844" s="2">
        <f>COUNTIF(contact[[#This Row],[Bagossy]:[Szo
03:00 - 10:00]],"=x")</f>
        <v>0</v>
      </c>
      <c r="F1844" s="2">
        <f>SUM(contact[[#This Row],[?]:[x]])</f>
        <v>0</v>
      </c>
      <c r="G18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44" s="2"/>
      <c r="I1844" s="2"/>
      <c r="J1844" s="3" t="s">
        <v>3597</v>
      </c>
      <c r="K1844" s="1" t="s">
        <v>92</v>
      </c>
      <c r="L1844" s="1" t="s">
        <v>2</v>
      </c>
      <c r="M1844" s="1" t="s">
        <v>2</v>
      </c>
      <c r="O1844" s="2"/>
      <c r="P1844" s="2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</row>
    <row r="1845" spans="1:32" s="1" customFormat="1" ht="20.25" customHeight="1" x14ac:dyDescent="0.25">
      <c r="A1845" s="2"/>
      <c r="B1845" s="2"/>
      <c r="C1845" s="2"/>
      <c r="D1845" s="2">
        <f>COUNTIF(contact[[#This Row],[Bagossy]:[Szo
03:00 - 10:00]],"=~?")</f>
        <v>0</v>
      </c>
      <c r="E1845" s="2">
        <f>COUNTIF(contact[[#This Row],[Bagossy]:[Szo
03:00 - 10:00]],"=x")</f>
        <v>0</v>
      </c>
      <c r="F1845" s="2">
        <f>SUM(contact[[#This Row],[?]:[x]])</f>
        <v>0</v>
      </c>
      <c r="G18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45" s="2"/>
      <c r="I1845" s="2"/>
      <c r="J1845" s="3" t="s">
        <v>3599</v>
      </c>
      <c r="K1845" s="1" t="s">
        <v>19</v>
      </c>
      <c r="L1845" s="1" t="s">
        <v>2</v>
      </c>
      <c r="M1845" s="1" t="s">
        <v>2</v>
      </c>
      <c r="O1845" s="2"/>
      <c r="P1845" s="2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</row>
    <row r="1846" spans="1:32" s="1" customFormat="1" ht="20.25" customHeight="1" x14ac:dyDescent="0.25">
      <c r="A1846" s="2"/>
      <c r="B1846" s="2"/>
      <c r="C1846" s="2"/>
      <c r="D1846" s="2">
        <f>COUNTIF(contact[[#This Row],[Bagossy]:[Szo
03:00 - 10:00]],"=~?")</f>
        <v>0</v>
      </c>
      <c r="E1846" s="2">
        <f>COUNTIF(contact[[#This Row],[Bagossy]:[Szo
03:00 - 10:00]],"=x")</f>
        <v>0</v>
      </c>
      <c r="F1846" s="2">
        <f>SUM(contact[[#This Row],[?]:[x]])</f>
        <v>0</v>
      </c>
      <c r="G18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6" s="3" t="s">
        <v>3801</v>
      </c>
      <c r="K1846" s="1" t="s">
        <v>2</v>
      </c>
      <c r="L1846" s="1" t="s">
        <v>2</v>
      </c>
      <c r="M1846" s="1" t="s">
        <v>2</v>
      </c>
      <c r="O1846" s="2"/>
      <c r="P1846" s="2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</row>
    <row r="1847" spans="1:32" s="1" customFormat="1" ht="20.25" customHeight="1" x14ac:dyDescent="0.25">
      <c r="A1847" s="2"/>
      <c r="B1847" s="2"/>
      <c r="C1847" s="2"/>
      <c r="D1847" s="2">
        <f>COUNTIF(contact[[#This Row],[Bagossy]:[Szo
03:00 - 10:00]],"=~?")</f>
        <v>0</v>
      </c>
      <c r="E1847" s="2">
        <f>COUNTIF(contact[[#This Row],[Bagossy]:[Szo
03:00 - 10:00]],"=x")</f>
        <v>0</v>
      </c>
      <c r="F1847" s="2">
        <f>SUM(contact[[#This Row],[?]:[x]])</f>
        <v>0</v>
      </c>
      <c r="G18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7" s="3" t="s">
        <v>3421</v>
      </c>
      <c r="K1847" s="1" t="s">
        <v>1303</v>
      </c>
      <c r="L1847" s="1" t="s">
        <v>2</v>
      </c>
      <c r="M1847" s="1" t="s">
        <v>2</v>
      </c>
      <c r="O1847" s="2"/>
      <c r="P1847" s="2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</row>
    <row r="1848" spans="1:32" s="1" customFormat="1" ht="20.25" customHeight="1" x14ac:dyDescent="0.25">
      <c r="A1848" s="2"/>
      <c r="B1848" s="2"/>
      <c r="C1848" s="2"/>
      <c r="D1848" s="2">
        <f>COUNTIF(contact[[#This Row],[Bagossy]:[Szo
03:00 - 10:00]],"=~?")</f>
        <v>0</v>
      </c>
      <c r="E1848" s="2">
        <f>COUNTIF(contact[[#This Row],[Bagossy]:[Szo
03:00 - 10:00]],"=x")</f>
        <v>0</v>
      </c>
      <c r="F1848" s="2">
        <f>SUM(contact[[#This Row],[?]:[x]])</f>
        <v>0</v>
      </c>
      <c r="G18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8" s="3" t="s">
        <v>4085</v>
      </c>
      <c r="K1848" s="1" t="s">
        <v>1780</v>
      </c>
      <c r="L1848" s="1" t="s">
        <v>2</v>
      </c>
      <c r="M1848" s="1" t="s">
        <v>2</v>
      </c>
      <c r="O1848" s="2"/>
      <c r="P1848" s="2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</row>
    <row r="1849" spans="1:32" s="1" customFormat="1" ht="20.25" customHeight="1" x14ac:dyDescent="0.25">
      <c r="A1849" s="2"/>
      <c r="B1849" s="2"/>
      <c r="C1849" s="2"/>
      <c r="D1849" s="2">
        <f>COUNTIF(contact[[#This Row],[Bagossy]:[Szo
03:00 - 10:00]],"=~?")</f>
        <v>0</v>
      </c>
      <c r="E1849" s="2">
        <f>COUNTIF(contact[[#This Row],[Bagossy]:[Szo
03:00 - 10:00]],"=x")</f>
        <v>0</v>
      </c>
      <c r="F1849" s="2">
        <f>SUM(contact[[#This Row],[?]:[x]])</f>
        <v>0</v>
      </c>
      <c r="G18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49" s="3" t="s">
        <v>2498</v>
      </c>
      <c r="K1849" s="1" t="s">
        <v>1428</v>
      </c>
      <c r="L1849" s="1" t="s">
        <v>2</v>
      </c>
      <c r="M1849" s="1" t="s">
        <v>2</v>
      </c>
      <c r="O1849" s="2"/>
      <c r="P1849" s="2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</row>
    <row r="1850" spans="1:32" s="1" customFormat="1" ht="20.25" customHeight="1" x14ac:dyDescent="0.25">
      <c r="A1850" s="2"/>
      <c r="B1850" s="2"/>
      <c r="C1850" s="2"/>
      <c r="D1850" s="2">
        <f>COUNTIF(contact[[#This Row],[Bagossy]:[Szo
03:00 - 10:00]],"=~?")</f>
        <v>0</v>
      </c>
      <c r="E1850" s="2">
        <f>COUNTIF(contact[[#This Row],[Bagossy]:[Szo
03:00 - 10:00]],"=x")</f>
        <v>0</v>
      </c>
      <c r="F1850" s="2">
        <f>SUM(contact[[#This Row],[?]:[x]])</f>
        <v>0</v>
      </c>
      <c r="G18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50" s="3" t="s">
        <v>891</v>
      </c>
      <c r="K1850" s="1" t="s">
        <v>2</v>
      </c>
      <c r="L1850" s="1" t="s">
        <v>2</v>
      </c>
      <c r="M1850" s="1" t="s">
        <v>2</v>
      </c>
      <c r="O1850" s="2"/>
      <c r="P1850" s="2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</row>
    <row r="1851" spans="1:32" s="1" customFormat="1" ht="20.25" customHeight="1" x14ac:dyDescent="0.25">
      <c r="A1851" s="2"/>
      <c r="B1851" s="2"/>
      <c r="C1851" s="2"/>
      <c r="D1851" s="2">
        <f>COUNTIF(contact[[#This Row],[Bagossy]:[Szo
03:00 - 10:00]],"=~?")</f>
        <v>0</v>
      </c>
      <c r="E1851" s="2">
        <f>COUNTIF(contact[[#This Row],[Bagossy]:[Szo
03:00 - 10:00]],"=x")</f>
        <v>0</v>
      </c>
      <c r="F1851" s="2">
        <f>SUM(contact[[#This Row],[?]:[x]])</f>
        <v>0</v>
      </c>
      <c r="G18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51" s="3" t="s">
        <v>2412</v>
      </c>
      <c r="K1851" s="1" t="s">
        <v>2</v>
      </c>
      <c r="L1851" s="1" t="s">
        <v>2</v>
      </c>
      <c r="M1851" s="1" t="s">
        <v>2</v>
      </c>
      <c r="O1851" s="2"/>
      <c r="P1851" s="2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</row>
    <row r="1852" spans="1:32" s="1" customFormat="1" ht="20.25" customHeight="1" x14ac:dyDescent="0.25">
      <c r="A1852" s="2"/>
      <c r="B1852" s="2"/>
      <c r="C1852" s="2"/>
      <c r="D1852" s="2">
        <f>COUNTIF(contact[[#This Row],[Bagossy]:[Szo
03:00 - 10:00]],"=~?")</f>
        <v>0</v>
      </c>
      <c r="E1852" s="2">
        <f>COUNTIF(contact[[#This Row],[Bagossy]:[Szo
03:00 - 10:00]],"=x")</f>
        <v>0</v>
      </c>
      <c r="F1852" s="2">
        <f>SUM(contact[[#This Row],[?]:[x]])</f>
        <v>0</v>
      </c>
      <c r="G18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52" s="2"/>
      <c r="I1852" s="2"/>
      <c r="J1852" s="3" t="s">
        <v>3603</v>
      </c>
      <c r="K1852" s="1" t="s">
        <v>6</v>
      </c>
      <c r="L1852" s="1" t="s">
        <v>2</v>
      </c>
      <c r="M1852" s="1" t="s">
        <v>2</v>
      </c>
      <c r="O1852" s="2"/>
      <c r="P1852" s="2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</row>
    <row r="1853" spans="1:32" s="1" customFormat="1" ht="20.25" customHeight="1" x14ac:dyDescent="0.25">
      <c r="A1853" s="2"/>
      <c r="B1853" s="2"/>
      <c r="C1853" s="2"/>
      <c r="D1853" s="2">
        <f>COUNTIF(contact[[#This Row],[Bagossy]:[Szo
03:00 - 10:00]],"=~?")</f>
        <v>0</v>
      </c>
      <c r="E1853" s="2">
        <f>COUNTIF(contact[[#This Row],[Bagossy]:[Szo
03:00 - 10:00]],"=x")</f>
        <v>0</v>
      </c>
      <c r="F1853" s="2">
        <f>SUM(contact[[#This Row],[?]:[x]])</f>
        <v>0</v>
      </c>
      <c r="G18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53" s="3" t="s">
        <v>2707</v>
      </c>
      <c r="K1853" s="1" t="s">
        <v>2</v>
      </c>
      <c r="L1853" s="1" t="s">
        <v>2</v>
      </c>
      <c r="M1853" s="1" t="s">
        <v>2</v>
      </c>
      <c r="O1853" s="2"/>
      <c r="P1853" s="2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</row>
    <row r="1854" spans="1:32" s="1" customFormat="1" ht="20.25" customHeight="1" x14ac:dyDescent="0.25">
      <c r="A1854" s="2"/>
      <c r="B1854" s="2"/>
      <c r="C1854" s="2"/>
      <c r="D1854" s="2">
        <f>COUNTIF(contact[[#This Row],[Bagossy]:[Szo
03:00 - 10:00]],"=~?")</f>
        <v>0</v>
      </c>
      <c r="E1854" s="2">
        <f>COUNTIF(contact[[#This Row],[Bagossy]:[Szo
03:00 - 10:00]],"=x")</f>
        <v>0</v>
      </c>
      <c r="F1854" s="2">
        <f>SUM(contact[[#This Row],[?]:[x]])</f>
        <v>0</v>
      </c>
      <c r="G18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54" s="2"/>
      <c r="I1854" s="2"/>
      <c r="J1854" s="3" t="s">
        <v>3604</v>
      </c>
      <c r="K1854" s="1" t="s">
        <v>1681</v>
      </c>
      <c r="L1854" s="1" t="s">
        <v>2</v>
      </c>
      <c r="M1854" s="1" t="s">
        <v>2</v>
      </c>
      <c r="O1854" s="2"/>
      <c r="P1854" s="2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</row>
    <row r="1855" spans="1:32" s="1" customFormat="1" ht="20.25" customHeight="1" x14ac:dyDescent="0.25">
      <c r="A1855" s="2"/>
      <c r="B1855" s="2"/>
      <c r="C1855" s="2"/>
      <c r="D1855" s="2">
        <f>COUNTIF(contact[[#This Row],[Bagossy]:[Szo
03:00 - 10:00]],"=~?")</f>
        <v>0</v>
      </c>
      <c r="E1855" s="2">
        <f>COUNTIF(contact[[#This Row],[Bagossy]:[Szo
03:00 - 10:00]],"=x")</f>
        <v>0</v>
      </c>
      <c r="F1855" s="2">
        <f>SUM(contact[[#This Row],[?]:[x]])</f>
        <v>0</v>
      </c>
      <c r="G18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55" s="3" t="s">
        <v>3239</v>
      </c>
      <c r="K1855" s="1" t="s">
        <v>1600</v>
      </c>
      <c r="L1855" s="1" t="s">
        <v>2</v>
      </c>
      <c r="M1855" s="1" t="s">
        <v>2</v>
      </c>
      <c r="O1855" s="2"/>
      <c r="P1855" s="2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</row>
    <row r="1856" spans="1:32" s="1" customFormat="1" ht="20.25" customHeight="1" x14ac:dyDescent="0.25">
      <c r="A1856" s="2"/>
      <c r="B1856" s="2"/>
      <c r="C1856" s="2"/>
      <c r="D1856" s="2">
        <f>COUNTIF(contact[[#This Row],[Bagossy]:[Szo
03:00 - 10:00]],"=~?")</f>
        <v>0</v>
      </c>
      <c r="E1856" s="2">
        <f>COUNTIF(contact[[#This Row],[Bagossy]:[Szo
03:00 - 10:00]],"=x")</f>
        <v>0</v>
      </c>
      <c r="F1856" s="2">
        <f>SUM(contact[[#This Row],[?]:[x]])</f>
        <v>0</v>
      </c>
      <c r="G18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56" s="2"/>
      <c r="I1856" s="2"/>
      <c r="J1856" s="3" t="s">
        <v>3606</v>
      </c>
      <c r="K1856" s="1" t="s">
        <v>531</v>
      </c>
      <c r="L1856" s="1" t="s">
        <v>2</v>
      </c>
      <c r="M1856" s="1" t="s">
        <v>2</v>
      </c>
      <c r="O1856" s="2"/>
      <c r="P1856" s="2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</row>
    <row r="1857" spans="1:32" s="1" customFormat="1" ht="20.25" customHeight="1" x14ac:dyDescent="0.25">
      <c r="A1857" s="2"/>
      <c r="B1857" s="2"/>
      <c r="C1857" s="2"/>
      <c r="D1857" s="2">
        <f>COUNTIF(contact[[#This Row],[Bagossy]:[Szo
03:00 - 10:00]],"=~?")</f>
        <v>0</v>
      </c>
      <c r="E1857" s="2">
        <f>COUNTIF(contact[[#This Row],[Bagossy]:[Szo
03:00 - 10:00]],"=x")</f>
        <v>0</v>
      </c>
      <c r="F1857" s="2">
        <f>SUM(contact[[#This Row],[?]:[x]])</f>
        <v>0</v>
      </c>
      <c r="G18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57" s="3" t="s">
        <v>2633</v>
      </c>
      <c r="K1857" s="1" t="s">
        <v>1462</v>
      </c>
      <c r="L1857" s="1" t="s">
        <v>2</v>
      </c>
      <c r="M1857" s="1" t="s">
        <v>2</v>
      </c>
      <c r="O1857" s="2"/>
      <c r="P1857" s="2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</row>
    <row r="1858" spans="1:32" s="1" customFormat="1" ht="20.25" customHeight="1" x14ac:dyDescent="0.25">
      <c r="A1858" s="2"/>
      <c r="B1858" s="2"/>
      <c r="C1858" s="2"/>
      <c r="D1858" s="2">
        <f>COUNTIF(contact[[#This Row],[Bagossy]:[Szo
03:00 - 10:00]],"=~?")</f>
        <v>0</v>
      </c>
      <c r="E1858" s="2">
        <f>COUNTIF(contact[[#This Row],[Bagossy]:[Szo
03:00 - 10:00]],"=x")</f>
        <v>0</v>
      </c>
      <c r="F1858" s="2">
        <f>SUM(contact[[#This Row],[?]:[x]])</f>
        <v>0</v>
      </c>
      <c r="G18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58" s="3" t="s">
        <v>2576</v>
      </c>
      <c r="K1858" s="1" t="s">
        <v>177</v>
      </c>
      <c r="L1858" s="1" t="s">
        <v>2</v>
      </c>
      <c r="M1858" s="1" t="s">
        <v>2</v>
      </c>
      <c r="O1858" s="2"/>
      <c r="P1858" s="2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</row>
    <row r="1859" spans="1:32" s="1" customFormat="1" ht="20.25" customHeight="1" x14ac:dyDescent="0.25">
      <c r="A1859" s="2"/>
      <c r="B1859" s="2"/>
      <c r="C1859" s="2"/>
      <c r="D1859" s="2">
        <f>COUNTIF(contact[[#This Row],[Bagossy]:[Szo
03:00 - 10:00]],"=~?")</f>
        <v>0</v>
      </c>
      <c r="E1859" s="2">
        <f>COUNTIF(contact[[#This Row],[Bagossy]:[Szo
03:00 - 10:00]],"=x")</f>
        <v>0</v>
      </c>
      <c r="F1859" s="2">
        <f>SUM(contact[[#This Row],[?]:[x]])</f>
        <v>0</v>
      </c>
      <c r="G18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59" s="2"/>
      <c r="I1859" s="2"/>
      <c r="J1859" s="3" t="s">
        <v>3607</v>
      </c>
      <c r="K1859" s="1" t="s">
        <v>1683</v>
      </c>
      <c r="L1859" s="1" t="s">
        <v>2</v>
      </c>
      <c r="M1859" s="1" t="s">
        <v>2</v>
      </c>
      <c r="O1859" s="2"/>
      <c r="P1859" s="2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</row>
    <row r="1860" spans="1:32" s="1" customFormat="1" ht="20.25" customHeight="1" x14ac:dyDescent="0.25">
      <c r="A1860" s="2"/>
      <c r="B1860" s="2"/>
      <c r="C1860" s="2"/>
      <c r="D1860" s="2">
        <f>COUNTIF(contact[[#This Row],[Bagossy]:[Szo
03:00 - 10:00]],"=~?")</f>
        <v>0</v>
      </c>
      <c r="E1860" s="2">
        <f>COUNTIF(contact[[#This Row],[Bagossy]:[Szo
03:00 - 10:00]],"=x")</f>
        <v>0</v>
      </c>
      <c r="F1860" s="2">
        <f>SUM(contact[[#This Row],[?]:[x]])</f>
        <v>0</v>
      </c>
      <c r="G18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0" s="3" t="s">
        <v>4399</v>
      </c>
      <c r="K1860" s="1" t="s">
        <v>1346</v>
      </c>
      <c r="L1860" s="1" t="s">
        <v>2</v>
      </c>
      <c r="M1860" s="1" t="s">
        <v>2</v>
      </c>
      <c r="O1860" s="2"/>
      <c r="P1860" s="2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</row>
    <row r="1861" spans="1:32" s="1" customFormat="1" ht="20.25" customHeight="1" x14ac:dyDescent="0.25">
      <c r="A1861" s="2"/>
      <c r="B1861" s="2"/>
      <c r="C1861" s="2"/>
      <c r="D1861" s="2">
        <f>COUNTIF(contact[[#This Row],[Bagossy]:[Szo
03:00 - 10:00]],"=~?")</f>
        <v>0</v>
      </c>
      <c r="E1861" s="2">
        <f>COUNTIF(contact[[#This Row],[Bagossy]:[Szo
03:00 - 10:00]],"=x")</f>
        <v>0</v>
      </c>
      <c r="F1861" s="2">
        <f>SUM(contact[[#This Row],[?]:[x]])</f>
        <v>0</v>
      </c>
      <c r="G18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1" s="3" t="s">
        <v>2688</v>
      </c>
      <c r="K1861" s="1" t="s">
        <v>1470</v>
      </c>
      <c r="L1861" s="1" t="s">
        <v>2</v>
      </c>
      <c r="M1861" s="1" t="s">
        <v>2</v>
      </c>
      <c r="O1861" s="2"/>
      <c r="P1861" s="2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</row>
    <row r="1862" spans="1:32" s="1" customFormat="1" ht="20.25" customHeight="1" x14ac:dyDescent="0.25">
      <c r="A1862" s="2"/>
      <c r="B1862" s="2"/>
      <c r="C1862" s="2"/>
      <c r="D1862" s="2">
        <f>COUNTIF(contact[[#This Row],[Bagossy]:[Szo
03:00 - 10:00]],"=~?")</f>
        <v>0</v>
      </c>
      <c r="E1862" s="2">
        <f>COUNTIF(contact[[#This Row],[Bagossy]:[Szo
03:00 - 10:00]],"=x")</f>
        <v>0</v>
      </c>
      <c r="F1862" s="2">
        <f>SUM(contact[[#This Row],[?]:[x]])</f>
        <v>0</v>
      </c>
      <c r="G18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2" s="3" t="s">
        <v>2894</v>
      </c>
      <c r="K1862" s="1" t="s">
        <v>1510</v>
      </c>
      <c r="L1862" s="1" t="s">
        <v>2</v>
      </c>
      <c r="M1862" s="1" t="s">
        <v>2</v>
      </c>
      <c r="O1862" s="2"/>
      <c r="P1862" s="2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</row>
    <row r="1863" spans="1:32" s="1" customFormat="1" ht="20.25" customHeight="1" x14ac:dyDescent="0.25">
      <c r="A1863" s="2"/>
      <c r="B1863" s="2"/>
      <c r="C1863" s="2"/>
      <c r="D1863" s="2">
        <f>COUNTIF(contact[[#This Row],[Bagossy]:[Szo
03:00 - 10:00]],"=~?")</f>
        <v>0</v>
      </c>
      <c r="E1863" s="2">
        <f>COUNTIF(contact[[#This Row],[Bagossy]:[Szo
03:00 - 10:00]],"=x")</f>
        <v>0</v>
      </c>
      <c r="F1863" s="2">
        <f>SUM(contact[[#This Row],[?]:[x]])</f>
        <v>0</v>
      </c>
      <c r="G18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3" s="3" t="s">
        <v>3994</v>
      </c>
      <c r="K1863" s="1" t="s">
        <v>1755</v>
      </c>
      <c r="L1863" s="1" t="s">
        <v>2</v>
      </c>
      <c r="M1863" s="1" t="s">
        <v>2</v>
      </c>
      <c r="O1863" s="2"/>
      <c r="P1863" s="2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</row>
    <row r="1864" spans="1:32" s="1" customFormat="1" ht="20.25" customHeight="1" x14ac:dyDescent="0.25">
      <c r="A1864" s="2"/>
      <c r="B1864" s="2"/>
      <c r="C1864" s="2"/>
      <c r="D1864" s="2">
        <f>COUNTIF(contact[[#This Row],[Bagossy]:[Szo
03:00 - 10:00]],"=~?")</f>
        <v>0</v>
      </c>
      <c r="E1864" s="2">
        <f>COUNTIF(contact[[#This Row],[Bagossy]:[Szo
03:00 - 10:00]],"=x")</f>
        <v>0</v>
      </c>
      <c r="F1864" s="2">
        <f>SUM(contact[[#This Row],[?]:[x]])</f>
        <v>0</v>
      </c>
      <c r="G18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4" s="3" t="s">
        <v>2027</v>
      </c>
      <c r="K1864" s="1" t="s">
        <v>1319</v>
      </c>
      <c r="L1864" s="1" t="s">
        <v>2</v>
      </c>
      <c r="M1864" s="1" t="s">
        <v>2</v>
      </c>
      <c r="O1864" s="2"/>
      <c r="P1864" s="2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</row>
    <row r="1865" spans="1:32" s="1" customFormat="1" ht="20.25" customHeight="1" x14ac:dyDescent="0.25">
      <c r="A1865" s="2"/>
      <c r="B1865" s="2"/>
      <c r="C1865" s="2"/>
      <c r="D1865" s="2">
        <f>COUNTIF(contact[[#This Row],[Bagossy]:[Szo
03:00 - 10:00]],"=~?")</f>
        <v>0</v>
      </c>
      <c r="E1865" s="2">
        <f>COUNTIF(contact[[#This Row],[Bagossy]:[Szo
03:00 - 10:00]],"=x")</f>
        <v>0</v>
      </c>
      <c r="F1865" s="2">
        <f>SUM(contact[[#This Row],[?]:[x]])</f>
        <v>0</v>
      </c>
      <c r="G18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5" s="3" t="s">
        <v>4159</v>
      </c>
      <c r="K1865" s="1" t="s">
        <v>1798</v>
      </c>
      <c r="L1865" s="1" t="s">
        <v>2</v>
      </c>
      <c r="M1865" s="1" t="s">
        <v>2</v>
      </c>
      <c r="O1865" s="2"/>
      <c r="P1865" s="2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</row>
    <row r="1866" spans="1:32" s="1" customFormat="1" ht="20.25" customHeight="1" x14ac:dyDescent="0.25">
      <c r="A1866" s="2"/>
      <c r="B1866" s="2"/>
      <c r="C1866" s="2"/>
      <c r="D1866" s="2">
        <f>COUNTIF(contact[[#This Row],[Bagossy]:[Szo
03:00 - 10:00]],"=~?")</f>
        <v>0</v>
      </c>
      <c r="E1866" s="2">
        <f>COUNTIF(contact[[#This Row],[Bagossy]:[Szo
03:00 - 10:00]],"=x")</f>
        <v>0</v>
      </c>
      <c r="F1866" s="2">
        <f>SUM(contact[[#This Row],[?]:[x]])</f>
        <v>0</v>
      </c>
      <c r="G18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6" s="3" t="s">
        <v>3712</v>
      </c>
      <c r="K1866" s="1" t="s">
        <v>2</v>
      </c>
      <c r="L1866" s="1" t="s">
        <v>2</v>
      </c>
      <c r="M1866" s="1" t="s">
        <v>2</v>
      </c>
      <c r="O1866" s="2"/>
      <c r="P1866" s="2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</row>
    <row r="1867" spans="1:32" s="1" customFormat="1" ht="20.25" customHeight="1" x14ac:dyDescent="0.25">
      <c r="A1867" s="2"/>
      <c r="B1867" s="2"/>
      <c r="C1867" s="2"/>
      <c r="D1867" s="2">
        <f>COUNTIF(contact[[#This Row],[Bagossy]:[Szo
03:00 - 10:00]],"=~?")</f>
        <v>0</v>
      </c>
      <c r="E1867" s="2">
        <f>COUNTIF(contact[[#This Row],[Bagossy]:[Szo
03:00 - 10:00]],"=x")</f>
        <v>0</v>
      </c>
      <c r="F1867" s="2">
        <f>SUM(contact[[#This Row],[?]:[x]])</f>
        <v>0</v>
      </c>
      <c r="G18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7" s="3" t="s">
        <v>3892</v>
      </c>
      <c r="K1867" s="1" t="s">
        <v>1737</v>
      </c>
      <c r="L1867" s="1" t="s">
        <v>2</v>
      </c>
      <c r="M1867" s="1" t="s">
        <v>2</v>
      </c>
      <c r="O1867" s="2"/>
      <c r="P1867" s="2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</row>
    <row r="1868" spans="1:32" s="1" customFormat="1" ht="20.25" customHeight="1" x14ac:dyDescent="0.25">
      <c r="A1868" s="2"/>
      <c r="B1868" s="2"/>
      <c r="C1868" s="2" t="s">
        <v>1285</v>
      </c>
      <c r="D1868" s="2">
        <f>COUNTIF(contact[[#This Row],[Bagossy]:[Szo
03:00 - 10:00]],"=~?")</f>
        <v>0</v>
      </c>
      <c r="E1868" s="2">
        <f>COUNTIF(contact[[#This Row],[Bagossy]:[Szo
03:00 - 10:00]],"=x")</f>
        <v>0</v>
      </c>
      <c r="F1868" s="2">
        <f>SUM(contact[[#This Row],[?]:[x]])</f>
        <v>0</v>
      </c>
      <c r="G18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68" s="2"/>
      <c r="I1868" s="2"/>
      <c r="J1868" s="3" t="s">
        <v>3613</v>
      </c>
      <c r="K1868" s="1" t="s">
        <v>1389</v>
      </c>
      <c r="L1868" s="1" t="s">
        <v>2</v>
      </c>
      <c r="M1868" s="1" t="s">
        <v>2</v>
      </c>
      <c r="O1868" s="2"/>
      <c r="P1868" s="2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</row>
    <row r="1869" spans="1:32" s="1" customFormat="1" ht="20.25" customHeight="1" x14ac:dyDescent="0.25">
      <c r="A1869" s="2"/>
      <c r="B1869" s="2"/>
      <c r="C1869" s="2"/>
      <c r="D1869" s="2">
        <f>COUNTIF(contact[[#This Row],[Bagossy]:[Szo
03:00 - 10:00]],"=~?")</f>
        <v>0</v>
      </c>
      <c r="E1869" s="2">
        <f>COUNTIF(contact[[#This Row],[Bagossy]:[Szo
03:00 - 10:00]],"=x")</f>
        <v>0</v>
      </c>
      <c r="F1869" s="2">
        <f>SUM(contact[[#This Row],[?]:[x]])</f>
        <v>0</v>
      </c>
      <c r="G18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69" s="3" t="s">
        <v>2729</v>
      </c>
      <c r="K1869" s="1" t="s">
        <v>1476</v>
      </c>
      <c r="L1869" s="1" t="s">
        <v>2</v>
      </c>
      <c r="M1869" s="1" t="s">
        <v>2</v>
      </c>
      <c r="O1869" s="2"/>
      <c r="P1869" s="2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</row>
    <row r="1870" spans="1:32" s="1" customFormat="1" ht="20.25" customHeight="1" x14ac:dyDescent="0.25">
      <c r="A1870" s="2"/>
      <c r="B1870" s="2"/>
      <c r="C1870" s="2"/>
      <c r="D1870" s="2">
        <f>COUNTIF(contact[[#This Row],[Bagossy]:[Szo
03:00 - 10:00]],"=~?")</f>
        <v>0</v>
      </c>
      <c r="E1870" s="2">
        <f>COUNTIF(contact[[#This Row],[Bagossy]:[Szo
03:00 - 10:00]],"=x")</f>
        <v>0</v>
      </c>
      <c r="F1870" s="2">
        <f>SUM(contact[[#This Row],[?]:[x]])</f>
        <v>0</v>
      </c>
      <c r="G18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0" s="3" t="s">
        <v>2645</v>
      </c>
      <c r="K1870" s="1" t="s">
        <v>2</v>
      </c>
      <c r="L1870" s="1" t="s">
        <v>2</v>
      </c>
      <c r="M1870" s="1" t="s">
        <v>2</v>
      </c>
      <c r="O1870" s="2"/>
      <c r="P1870" s="2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</row>
    <row r="1871" spans="1:32" s="1" customFormat="1" ht="20.25" customHeight="1" x14ac:dyDescent="0.25">
      <c r="A1871" s="2"/>
      <c r="B1871" s="2"/>
      <c r="C1871" s="2"/>
      <c r="D1871" s="2">
        <f>COUNTIF(contact[[#This Row],[Bagossy]:[Szo
03:00 - 10:00]],"=~?")</f>
        <v>0</v>
      </c>
      <c r="E1871" s="2">
        <f>COUNTIF(contact[[#This Row],[Bagossy]:[Szo
03:00 - 10:00]],"=x")</f>
        <v>0</v>
      </c>
      <c r="F1871" s="2">
        <f>SUM(contact[[#This Row],[?]:[x]])</f>
        <v>0</v>
      </c>
      <c r="G18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1" s="3" t="s">
        <v>2099</v>
      </c>
      <c r="K1871" s="1" t="s">
        <v>1335</v>
      </c>
      <c r="L1871" s="1" t="s">
        <v>2</v>
      </c>
      <c r="M1871" s="1" t="s">
        <v>2</v>
      </c>
      <c r="O1871" s="2"/>
      <c r="P1871" s="2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</row>
    <row r="1872" spans="1:32" s="1" customFormat="1" ht="20.25" customHeight="1" x14ac:dyDescent="0.25">
      <c r="A1872" s="2"/>
      <c r="B1872" s="2"/>
      <c r="C1872" s="2"/>
      <c r="D1872" s="2">
        <f>COUNTIF(contact[[#This Row],[Bagossy]:[Szo
03:00 - 10:00]],"=~?")</f>
        <v>0</v>
      </c>
      <c r="E1872" s="2">
        <f>COUNTIF(contact[[#This Row],[Bagossy]:[Szo
03:00 - 10:00]],"=x")</f>
        <v>0</v>
      </c>
      <c r="F1872" s="2">
        <f>SUM(contact[[#This Row],[?]:[x]])</f>
        <v>0</v>
      </c>
      <c r="G18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2" s="3" t="s">
        <v>4471</v>
      </c>
      <c r="K1872" s="1" t="s">
        <v>2</v>
      </c>
      <c r="L1872" s="1" t="s">
        <v>2</v>
      </c>
      <c r="M1872" s="1" t="s">
        <v>2</v>
      </c>
      <c r="O1872" s="2"/>
      <c r="P1872" s="2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</row>
    <row r="1873" spans="1:32" s="1" customFormat="1" ht="20.25" customHeight="1" x14ac:dyDescent="0.25">
      <c r="A1873" s="2"/>
      <c r="B1873" s="2"/>
      <c r="C1873" s="2"/>
      <c r="D1873" s="2">
        <f>COUNTIF(contact[[#This Row],[Bagossy]:[Szo
03:00 - 10:00]],"=~?")</f>
        <v>0</v>
      </c>
      <c r="E1873" s="2">
        <f>COUNTIF(contact[[#This Row],[Bagossy]:[Szo
03:00 - 10:00]],"=x")</f>
        <v>0</v>
      </c>
      <c r="F1873" s="2">
        <f>SUM(contact[[#This Row],[?]:[x]])</f>
        <v>0</v>
      </c>
      <c r="G18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3" s="3" t="s">
        <v>2724</v>
      </c>
      <c r="K1873" s="1" t="s">
        <v>461</v>
      </c>
      <c r="L1873" s="1" t="s">
        <v>2</v>
      </c>
      <c r="M1873" s="1" t="s">
        <v>2</v>
      </c>
      <c r="O1873" s="2"/>
      <c r="P1873" s="2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</row>
    <row r="1874" spans="1:32" s="1" customFormat="1" ht="20.25" customHeight="1" x14ac:dyDescent="0.25">
      <c r="A1874" s="2"/>
      <c r="B1874" s="2"/>
      <c r="C1874" s="2"/>
      <c r="D1874" s="2">
        <f>COUNTIF(contact[[#This Row],[Bagossy]:[Szo
03:00 - 10:00]],"=~?")</f>
        <v>0</v>
      </c>
      <c r="E1874" s="2">
        <f>COUNTIF(contact[[#This Row],[Bagossy]:[Szo
03:00 - 10:00]],"=x")</f>
        <v>0</v>
      </c>
      <c r="F1874" s="2">
        <f>SUM(contact[[#This Row],[?]:[x]])</f>
        <v>0</v>
      </c>
      <c r="G18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4" s="3" t="s">
        <v>3950</v>
      </c>
      <c r="K1874" s="1" t="s">
        <v>1035</v>
      </c>
      <c r="L1874" s="1" t="s">
        <v>2</v>
      </c>
      <c r="M1874" s="1" t="s">
        <v>2</v>
      </c>
      <c r="O1874" s="2"/>
      <c r="P1874" s="2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</row>
    <row r="1875" spans="1:32" s="1" customFormat="1" ht="20.25" customHeight="1" x14ac:dyDescent="0.25">
      <c r="A1875" s="2"/>
      <c r="B1875" s="2"/>
      <c r="C1875" s="2"/>
      <c r="D1875" s="2">
        <f>COUNTIF(contact[[#This Row],[Bagossy]:[Szo
03:00 - 10:00]],"=~?")</f>
        <v>0</v>
      </c>
      <c r="E1875" s="2">
        <f>COUNTIF(contact[[#This Row],[Bagossy]:[Szo
03:00 - 10:00]],"=x")</f>
        <v>0</v>
      </c>
      <c r="F1875" s="2">
        <f>SUM(contact[[#This Row],[?]:[x]])</f>
        <v>0</v>
      </c>
      <c r="G18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5" s="3" t="s">
        <v>3310</v>
      </c>
      <c r="K1875" s="1" t="s">
        <v>742</v>
      </c>
      <c r="L1875" s="1" t="s">
        <v>2</v>
      </c>
      <c r="M1875" s="1" t="s">
        <v>2</v>
      </c>
      <c r="O1875" s="2"/>
      <c r="P1875" s="2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</row>
    <row r="1876" spans="1:32" s="1" customFormat="1" ht="20.25" customHeight="1" x14ac:dyDescent="0.25">
      <c r="A1876" s="2"/>
      <c r="B1876" s="2"/>
      <c r="C1876" s="2"/>
      <c r="D1876" s="2">
        <f>COUNTIF(contact[[#This Row],[Bagossy]:[Szo
03:00 - 10:00]],"=~?")</f>
        <v>0</v>
      </c>
      <c r="E1876" s="2">
        <f>COUNTIF(contact[[#This Row],[Bagossy]:[Szo
03:00 - 10:00]],"=x")</f>
        <v>0</v>
      </c>
      <c r="F1876" s="2">
        <f>SUM(contact[[#This Row],[?]:[x]])</f>
        <v>0</v>
      </c>
      <c r="G18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6" s="3" t="s">
        <v>2193</v>
      </c>
      <c r="K1876" s="1" t="s">
        <v>2</v>
      </c>
      <c r="L1876" s="1" t="s">
        <v>2</v>
      </c>
      <c r="M1876" s="1" t="s">
        <v>2</v>
      </c>
      <c r="O1876" s="2"/>
      <c r="P1876" s="2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</row>
    <row r="1877" spans="1:32" s="1" customFormat="1" ht="20.25" customHeight="1" x14ac:dyDescent="0.25">
      <c r="A1877" s="2"/>
      <c r="B1877" s="2"/>
      <c r="C1877" s="2"/>
      <c r="D1877" s="2">
        <f>COUNTIF(contact[[#This Row],[Bagossy]:[Szo
03:00 - 10:00]],"=~?")</f>
        <v>0</v>
      </c>
      <c r="E1877" s="2">
        <f>COUNTIF(contact[[#This Row],[Bagossy]:[Szo
03:00 - 10:00]],"=x")</f>
        <v>0</v>
      </c>
      <c r="F1877" s="2">
        <f>SUM(contact[[#This Row],[?]:[x]])</f>
        <v>0</v>
      </c>
      <c r="G18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7" s="3" t="s">
        <v>4227</v>
      </c>
      <c r="K1877" s="1" t="s">
        <v>1150</v>
      </c>
      <c r="L1877" s="1" t="s">
        <v>2</v>
      </c>
      <c r="M1877" s="1" t="s">
        <v>2</v>
      </c>
      <c r="O1877" s="2"/>
      <c r="P1877" s="2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</row>
    <row r="1878" spans="1:32" s="1" customFormat="1" ht="20.25" customHeight="1" x14ac:dyDescent="0.25">
      <c r="A1878" s="2"/>
      <c r="B1878" s="2"/>
      <c r="C1878" s="2"/>
      <c r="D1878" s="2">
        <f>COUNTIF(contact[[#This Row],[Bagossy]:[Szo
03:00 - 10:00]],"=~?")</f>
        <v>0</v>
      </c>
      <c r="E1878" s="2">
        <f>COUNTIF(contact[[#This Row],[Bagossy]:[Szo
03:00 - 10:00]],"=x")</f>
        <v>0</v>
      </c>
      <c r="F1878" s="2">
        <f>SUM(contact[[#This Row],[?]:[x]])</f>
        <v>0</v>
      </c>
      <c r="G18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8" s="3" t="s">
        <v>2860</v>
      </c>
      <c r="K1878" s="1" t="s">
        <v>1502</v>
      </c>
      <c r="L1878" s="1" t="s">
        <v>2</v>
      </c>
      <c r="M1878" s="1" t="s">
        <v>2</v>
      </c>
      <c r="O1878" s="2"/>
      <c r="P1878" s="2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</row>
    <row r="1879" spans="1:32" s="1" customFormat="1" ht="20.25" customHeight="1" x14ac:dyDescent="0.25">
      <c r="A1879" s="2"/>
      <c r="B1879" s="2"/>
      <c r="C1879" s="2"/>
      <c r="D1879" s="2">
        <f>COUNTIF(contact[[#This Row],[Bagossy]:[Szo
03:00 - 10:00]],"=~?")</f>
        <v>0</v>
      </c>
      <c r="E1879" s="2">
        <f>COUNTIF(contact[[#This Row],[Bagossy]:[Szo
03:00 - 10:00]],"=x")</f>
        <v>0</v>
      </c>
      <c r="F1879" s="2">
        <f>SUM(contact[[#This Row],[?]:[x]])</f>
        <v>0</v>
      </c>
      <c r="G18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79" s="3" t="s">
        <v>3474</v>
      </c>
      <c r="K1879" s="1" t="s">
        <v>1327</v>
      </c>
      <c r="L1879" s="1" t="s">
        <v>2</v>
      </c>
      <c r="M1879" s="1" t="s">
        <v>2</v>
      </c>
      <c r="O1879" s="2"/>
      <c r="P1879" s="2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</row>
    <row r="1880" spans="1:32" s="1" customFormat="1" ht="20.25" customHeight="1" x14ac:dyDescent="0.25">
      <c r="A1880" s="2"/>
      <c r="B1880" s="2"/>
      <c r="C1880" s="2"/>
      <c r="D1880" s="2">
        <f>COUNTIF(contact[[#This Row],[Bagossy]:[Szo
03:00 - 10:00]],"=~?")</f>
        <v>0</v>
      </c>
      <c r="E1880" s="2">
        <f>COUNTIF(contact[[#This Row],[Bagossy]:[Szo
03:00 - 10:00]],"=x")</f>
        <v>0</v>
      </c>
      <c r="F1880" s="2">
        <f>SUM(contact[[#This Row],[?]:[x]])</f>
        <v>0</v>
      </c>
      <c r="G18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0" s="3" t="s">
        <v>900</v>
      </c>
      <c r="K1880" s="1" t="s">
        <v>2</v>
      </c>
      <c r="L1880" s="1" t="s">
        <v>2</v>
      </c>
      <c r="M1880" s="1" t="s">
        <v>2</v>
      </c>
      <c r="O1880" s="2"/>
      <c r="P1880" s="2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</row>
    <row r="1881" spans="1:32" s="1" customFormat="1" ht="20.25" customHeight="1" x14ac:dyDescent="0.25">
      <c r="A1881" s="2"/>
      <c r="B1881" s="2"/>
      <c r="C1881" s="2"/>
      <c r="D1881" s="2">
        <f>COUNTIF(contact[[#This Row],[Bagossy]:[Szo
03:00 - 10:00]],"=~?")</f>
        <v>0</v>
      </c>
      <c r="E1881" s="2">
        <f>COUNTIF(contact[[#This Row],[Bagossy]:[Szo
03:00 - 10:00]],"=x")</f>
        <v>0</v>
      </c>
      <c r="F1881" s="2">
        <f>SUM(contact[[#This Row],[?]:[x]])</f>
        <v>0</v>
      </c>
      <c r="G18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1" s="3" t="s">
        <v>1932</v>
      </c>
      <c r="K1881" s="1" t="s">
        <v>2</v>
      </c>
      <c r="L1881" s="1" t="s">
        <v>2</v>
      </c>
      <c r="M1881" s="1" t="s">
        <v>2</v>
      </c>
      <c r="O1881" s="2"/>
      <c r="P1881" s="2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</row>
    <row r="1882" spans="1:32" s="1" customFormat="1" ht="20.25" customHeight="1" x14ac:dyDescent="0.25">
      <c r="A1882" s="2"/>
      <c r="B1882" s="2"/>
      <c r="C1882" s="2"/>
      <c r="D1882" s="2">
        <f>COUNTIF(contact[[#This Row],[Bagossy]:[Szo
03:00 - 10:00]],"=~?")</f>
        <v>0</v>
      </c>
      <c r="E1882" s="2">
        <f>COUNTIF(contact[[#This Row],[Bagossy]:[Szo
03:00 - 10:00]],"=x")</f>
        <v>0</v>
      </c>
      <c r="F1882" s="2">
        <f>SUM(contact[[#This Row],[?]:[x]])</f>
        <v>0</v>
      </c>
      <c r="G18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2" s="3" t="s">
        <v>4228</v>
      </c>
      <c r="K1882" s="1" t="s">
        <v>2</v>
      </c>
      <c r="L1882" s="1" t="s">
        <v>2</v>
      </c>
      <c r="M1882" s="1" t="s">
        <v>2</v>
      </c>
      <c r="O1882" s="2"/>
      <c r="P1882" s="2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</row>
    <row r="1883" spans="1:32" s="1" customFormat="1" ht="20.25" customHeight="1" x14ac:dyDescent="0.25">
      <c r="A1883" s="2"/>
      <c r="B1883" s="2"/>
      <c r="C1883" s="2"/>
      <c r="D1883" s="2">
        <f>COUNTIF(contact[[#This Row],[Bagossy]:[Szo
03:00 - 10:00]],"=~?")</f>
        <v>0</v>
      </c>
      <c r="E1883" s="2">
        <f>COUNTIF(contact[[#This Row],[Bagossy]:[Szo
03:00 - 10:00]],"=x")</f>
        <v>0</v>
      </c>
      <c r="F1883" s="2">
        <f>SUM(contact[[#This Row],[?]:[x]])</f>
        <v>0</v>
      </c>
      <c r="G18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3" s="3" t="s">
        <v>2970</v>
      </c>
      <c r="K1883" s="1" t="s">
        <v>1529</v>
      </c>
      <c r="L1883" s="1" t="s">
        <v>2</v>
      </c>
      <c r="M1883" s="1" t="s">
        <v>2</v>
      </c>
      <c r="O1883" s="2"/>
      <c r="P1883" s="2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</row>
    <row r="1884" spans="1:32" s="1" customFormat="1" ht="20.25" customHeight="1" x14ac:dyDescent="0.25">
      <c r="A1884" s="2"/>
      <c r="B1884" s="2"/>
      <c r="C1884" s="2"/>
      <c r="D1884" s="2">
        <f>COUNTIF(contact[[#This Row],[Bagossy]:[Szo
03:00 - 10:00]],"=~?")</f>
        <v>0</v>
      </c>
      <c r="E1884" s="2">
        <f>COUNTIF(contact[[#This Row],[Bagossy]:[Szo
03:00 - 10:00]],"=x")</f>
        <v>0</v>
      </c>
      <c r="F1884" s="2">
        <f>SUM(contact[[#This Row],[?]:[x]])</f>
        <v>0</v>
      </c>
      <c r="G18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4" s="3" t="s">
        <v>4332</v>
      </c>
      <c r="K1884" s="1" t="s">
        <v>2</v>
      </c>
      <c r="L1884" s="1" t="s">
        <v>2</v>
      </c>
      <c r="M1884" s="1" t="s">
        <v>2</v>
      </c>
      <c r="O1884" s="2"/>
      <c r="P1884" s="2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</row>
    <row r="1885" spans="1:32" s="1" customFormat="1" ht="20.25" customHeight="1" x14ac:dyDescent="0.25">
      <c r="A1885" s="2"/>
      <c r="B1885" s="2"/>
      <c r="C1885" s="2"/>
      <c r="D1885" s="2">
        <f>COUNTIF(contact[[#This Row],[Bagossy]:[Szo
03:00 - 10:00]],"=~?")</f>
        <v>0</v>
      </c>
      <c r="E1885" s="2">
        <f>COUNTIF(contact[[#This Row],[Bagossy]:[Szo
03:00 - 10:00]],"=x")</f>
        <v>0</v>
      </c>
      <c r="F1885" s="2">
        <f>SUM(contact[[#This Row],[?]:[x]])</f>
        <v>0</v>
      </c>
      <c r="G18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5" s="3" t="s">
        <v>3572</v>
      </c>
      <c r="K1885" s="1" t="s">
        <v>10</v>
      </c>
      <c r="L1885" s="1" t="s">
        <v>2</v>
      </c>
      <c r="M1885" s="1" t="s">
        <v>2</v>
      </c>
      <c r="O1885" s="2"/>
      <c r="P1885" s="2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</row>
    <row r="1886" spans="1:32" s="1" customFormat="1" ht="20.25" customHeight="1" x14ac:dyDescent="0.25">
      <c r="A1886" s="2"/>
      <c r="B1886" s="2"/>
      <c r="C1886" s="2"/>
      <c r="D1886" s="2">
        <f>COUNTIF(contact[[#This Row],[Bagossy]:[Szo
03:00 - 10:00]],"=~?")</f>
        <v>0</v>
      </c>
      <c r="E1886" s="2">
        <f>COUNTIF(contact[[#This Row],[Bagossy]:[Szo
03:00 - 10:00]],"=x")</f>
        <v>0</v>
      </c>
      <c r="F1886" s="2">
        <f>SUM(contact[[#This Row],[?]:[x]])</f>
        <v>0</v>
      </c>
      <c r="G18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6" s="3" t="s">
        <v>3701</v>
      </c>
      <c r="K1886" s="1" t="s">
        <v>2</v>
      </c>
      <c r="L1886" s="1" t="s">
        <v>2</v>
      </c>
      <c r="M1886" s="1" t="s">
        <v>2</v>
      </c>
      <c r="O1886" s="2"/>
      <c r="P1886" s="2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</row>
    <row r="1887" spans="1:32" s="1" customFormat="1" ht="20.25" customHeight="1" x14ac:dyDescent="0.25">
      <c r="A1887" s="2"/>
      <c r="B1887" s="2"/>
      <c r="C1887" s="2"/>
      <c r="D1887" s="2">
        <f>COUNTIF(contact[[#This Row],[Bagossy]:[Szo
03:00 - 10:00]],"=~?")</f>
        <v>0</v>
      </c>
      <c r="E1887" s="2">
        <f>COUNTIF(contact[[#This Row],[Bagossy]:[Szo
03:00 - 10:00]],"=x")</f>
        <v>0</v>
      </c>
      <c r="F1887" s="2">
        <f>SUM(contact[[#This Row],[?]:[x]])</f>
        <v>0</v>
      </c>
      <c r="G18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7" s="3" t="s">
        <v>2583</v>
      </c>
      <c r="K1887" s="1" t="s">
        <v>2</v>
      </c>
      <c r="L1887" s="1" t="s">
        <v>2</v>
      </c>
      <c r="M1887" s="1" t="s">
        <v>2</v>
      </c>
      <c r="O1887" s="2"/>
      <c r="P1887" s="2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</row>
    <row r="1888" spans="1:32" s="1" customFormat="1" ht="20.25" customHeight="1" x14ac:dyDescent="0.25">
      <c r="A1888" s="2"/>
      <c r="B1888" s="2"/>
      <c r="C1888" s="2"/>
      <c r="D1888" s="2">
        <f>COUNTIF(contact[[#This Row],[Bagossy]:[Szo
03:00 - 10:00]],"=~?")</f>
        <v>0</v>
      </c>
      <c r="E1888" s="2">
        <f>COUNTIF(contact[[#This Row],[Bagossy]:[Szo
03:00 - 10:00]],"=x")</f>
        <v>0</v>
      </c>
      <c r="F1888" s="2">
        <f>SUM(contact[[#This Row],[?]:[x]])</f>
        <v>0</v>
      </c>
      <c r="G18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8" s="3" t="s">
        <v>4343</v>
      </c>
      <c r="K1888" s="1" t="s">
        <v>1206</v>
      </c>
      <c r="L1888" s="1" t="s">
        <v>2</v>
      </c>
      <c r="M1888" s="1" t="s">
        <v>2</v>
      </c>
      <c r="O1888" s="2"/>
      <c r="P1888" s="2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</row>
    <row r="1889" spans="1:32" s="1" customFormat="1" ht="20.25" customHeight="1" x14ac:dyDescent="0.25">
      <c r="A1889" s="2"/>
      <c r="B1889" s="2"/>
      <c r="C1889" s="2"/>
      <c r="D1889" s="2">
        <f>COUNTIF(contact[[#This Row],[Bagossy]:[Szo
03:00 - 10:00]],"=~?")</f>
        <v>0</v>
      </c>
      <c r="E1889" s="2">
        <f>COUNTIF(contact[[#This Row],[Bagossy]:[Szo
03:00 - 10:00]],"=x")</f>
        <v>0</v>
      </c>
      <c r="F1889" s="2">
        <f>SUM(contact[[#This Row],[?]:[x]])</f>
        <v>0</v>
      </c>
      <c r="G18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89" s="3" t="s">
        <v>465</v>
      </c>
      <c r="K1889" s="1" t="s">
        <v>465</v>
      </c>
      <c r="L1889" s="1" t="s">
        <v>2</v>
      </c>
      <c r="M1889" s="1" t="s">
        <v>2</v>
      </c>
      <c r="O1889" s="2"/>
      <c r="P1889" s="2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</row>
    <row r="1890" spans="1:32" s="1" customFormat="1" ht="20.25" customHeight="1" x14ac:dyDescent="0.25">
      <c r="A1890" s="2"/>
      <c r="B1890" s="2"/>
      <c r="C1890" s="2" t="s">
        <v>1285</v>
      </c>
      <c r="D1890" s="2">
        <f>COUNTIF(contact[[#This Row],[Bagossy]:[Szo
03:00 - 10:00]],"=~?")</f>
        <v>0</v>
      </c>
      <c r="E1890" s="2">
        <f>COUNTIF(contact[[#This Row],[Bagossy]:[Szo
03:00 - 10:00]],"=x")</f>
        <v>0</v>
      </c>
      <c r="F1890" s="2">
        <f>SUM(contact[[#This Row],[?]:[x]])</f>
        <v>0</v>
      </c>
      <c r="G18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90" s="2"/>
      <c r="I1890" s="2"/>
      <c r="J1890" s="3" t="s">
        <v>3616</v>
      </c>
      <c r="K1890" s="1" t="s">
        <v>254</v>
      </c>
      <c r="L1890" s="1" t="s">
        <v>2</v>
      </c>
      <c r="M1890" s="1" t="s">
        <v>2</v>
      </c>
      <c r="O1890" s="2"/>
      <c r="P1890" s="2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</row>
    <row r="1891" spans="1:32" s="1" customFormat="1" ht="20.25" customHeight="1" x14ac:dyDescent="0.25">
      <c r="A1891" s="2"/>
      <c r="B1891" s="2"/>
      <c r="C1891" s="2" t="s">
        <v>1285</v>
      </c>
      <c r="D1891" s="2">
        <f>COUNTIF(contact[[#This Row],[Bagossy]:[Szo
03:00 - 10:00]],"=~?")</f>
        <v>0</v>
      </c>
      <c r="E1891" s="2">
        <f>COUNTIF(contact[[#This Row],[Bagossy]:[Szo
03:00 - 10:00]],"=x")</f>
        <v>0</v>
      </c>
      <c r="F1891" s="2">
        <f>SUM(contact[[#This Row],[?]:[x]])</f>
        <v>0</v>
      </c>
      <c r="G18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91" s="2" t="s">
        <v>4616</v>
      </c>
      <c r="I1891" s="2"/>
      <c r="J1891" s="3" t="s">
        <v>3617</v>
      </c>
      <c r="K1891" s="1" t="s">
        <v>1686</v>
      </c>
      <c r="L1891" s="1" t="s">
        <v>2</v>
      </c>
      <c r="M1891" s="1" t="s">
        <v>2</v>
      </c>
      <c r="O1891" s="2"/>
      <c r="P1891" s="2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</row>
    <row r="1892" spans="1:32" s="1" customFormat="1" ht="20.25" customHeight="1" x14ac:dyDescent="0.25">
      <c r="A1892" s="2"/>
      <c r="B1892" s="2"/>
      <c r="C1892" s="2"/>
      <c r="D1892" s="2">
        <f>COUNTIF(contact[[#This Row],[Bagossy]:[Szo
03:00 - 10:00]],"=~?")</f>
        <v>0</v>
      </c>
      <c r="E1892" s="2">
        <f>COUNTIF(contact[[#This Row],[Bagossy]:[Szo
03:00 - 10:00]],"=x")</f>
        <v>0</v>
      </c>
      <c r="F1892" s="2">
        <f>SUM(contact[[#This Row],[?]:[x]])</f>
        <v>0</v>
      </c>
      <c r="G18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2" s="3" t="s">
        <v>3658</v>
      </c>
      <c r="K1892" s="1" t="s">
        <v>890</v>
      </c>
      <c r="L1892" s="1" t="s">
        <v>2</v>
      </c>
      <c r="M1892" s="1" t="s">
        <v>2</v>
      </c>
      <c r="O1892" s="2"/>
      <c r="P1892" s="2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</row>
    <row r="1893" spans="1:32" s="1" customFormat="1" ht="20.25" customHeight="1" x14ac:dyDescent="0.25">
      <c r="A1893" s="2"/>
      <c r="B1893" s="2"/>
      <c r="C1893" s="2"/>
      <c r="D1893" s="2">
        <f>COUNTIF(contact[[#This Row],[Bagossy]:[Szo
03:00 - 10:00]],"=~?")</f>
        <v>0</v>
      </c>
      <c r="E1893" s="2">
        <f>COUNTIF(contact[[#This Row],[Bagossy]:[Szo
03:00 - 10:00]],"=x")</f>
        <v>0</v>
      </c>
      <c r="F1893" s="2">
        <f>SUM(contact[[#This Row],[?]:[x]])</f>
        <v>0</v>
      </c>
      <c r="G18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3" s="3" t="s">
        <v>2335</v>
      </c>
      <c r="K1893" s="1" t="s">
        <v>1392</v>
      </c>
      <c r="L1893" s="1" t="s">
        <v>2</v>
      </c>
      <c r="M1893" s="1" t="s">
        <v>2</v>
      </c>
      <c r="O1893" s="2"/>
      <c r="P1893" s="2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</row>
    <row r="1894" spans="1:32" s="1" customFormat="1" ht="20.25" customHeight="1" x14ac:dyDescent="0.25">
      <c r="A1894" s="2"/>
      <c r="B1894" s="2"/>
      <c r="C1894" s="2"/>
      <c r="D1894" s="2">
        <f>COUNTIF(contact[[#This Row],[Bagossy]:[Szo
03:00 - 10:00]],"=~?")</f>
        <v>0</v>
      </c>
      <c r="E1894" s="2">
        <f>COUNTIF(contact[[#This Row],[Bagossy]:[Szo
03:00 - 10:00]],"=x")</f>
        <v>0</v>
      </c>
      <c r="F1894" s="2">
        <f>SUM(contact[[#This Row],[?]:[x]])</f>
        <v>0</v>
      </c>
      <c r="G18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4" s="3" t="s">
        <v>4029</v>
      </c>
      <c r="K1894" s="1" t="s">
        <v>1069</v>
      </c>
      <c r="L1894" s="1" t="s">
        <v>2</v>
      </c>
      <c r="M1894" s="1" t="s">
        <v>2</v>
      </c>
      <c r="O1894" s="2"/>
      <c r="P1894" s="2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</row>
    <row r="1895" spans="1:32" s="1" customFormat="1" ht="20.25" customHeight="1" x14ac:dyDescent="0.25">
      <c r="A1895" s="2"/>
      <c r="B1895" s="2"/>
      <c r="C1895" s="2"/>
      <c r="D1895" s="2">
        <f>COUNTIF(contact[[#This Row],[Bagossy]:[Szo
03:00 - 10:00]],"=~?")</f>
        <v>0</v>
      </c>
      <c r="E1895" s="2">
        <f>COUNTIF(contact[[#This Row],[Bagossy]:[Szo
03:00 - 10:00]],"=x")</f>
        <v>0</v>
      </c>
      <c r="F1895" s="2">
        <f>SUM(contact[[#This Row],[?]:[x]])</f>
        <v>0</v>
      </c>
      <c r="G18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5" s="3" t="s">
        <v>4053</v>
      </c>
      <c r="K1895" s="1" t="s">
        <v>1080</v>
      </c>
      <c r="L1895" s="1" t="s">
        <v>2</v>
      </c>
      <c r="M1895" s="1" t="s">
        <v>2</v>
      </c>
      <c r="O1895" s="2"/>
      <c r="P1895" s="2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</row>
    <row r="1896" spans="1:32" s="1" customFormat="1" ht="20.25" customHeight="1" x14ac:dyDescent="0.25">
      <c r="A1896" s="2"/>
      <c r="B1896" s="2"/>
      <c r="C1896" s="2"/>
      <c r="D1896" s="2">
        <f>COUNTIF(contact[[#This Row],[Bagossy]:[Szo
03:00 - 10:00]],"=~?")</f>
        <v>0</v>
      </c>
      <c r="E1896" s="2">
        <f>COUNTIF(contact[[#This Row],[Bagossy]:[Szo
03:00 - 10:00]],"=x")</f>
        <v>0</v>
      </c>
      <c r="F1896" s="2">
        <f>SUM(contact[[#This Row],[?]:[x]])</f>
        <v>0</v>
      </c>
      <c r="G18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6" s="3" t="s">
        <v>3944</v>
      </c>
      <c r="K1896" s="1" t="s">
        <v>1026</v>
      </c>
      <c r="L1896" s="1" t="s">
        <v>2</v>
      </c>
      <c r="M1896" s="1" t="s">
        <v>2</v>
      </c>
      <c r="O1896" s="2"/>
      <c r="P1896" s="2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</row>
    <row r="1897" spans="1:32" s="1" customFormat="1" ht="20.25" customHeight="1" x14ac:dyDescent="0.25">
      <c r="A1897" s="2"/>
      <c r="B1897" s="2"/>
      <c r="C1897" s="2"/>
      <c r="D1897" s="2">
        <f>COUNTIF(contact[[#This Row],[Bagossy]:[Szo
03:00 - 10:00]],"=~?")</f>
        <v>0</v>
      </c>
      <c r="E1897" s="2">
        <f>COUNTIF(contact[[#This Row],[Bagossy]:[Szo
03:00 - 10:00]],"=x")</f>
        <v>0</v>
      </c>
      <c r="F1897" s="2">
        <f>SUM(contact[[#This Row],[?]:[x]])</f>
        <v>0</v>
      </c>
      <c r="G18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7" s="3" t="s">
        <v>904</v>
      </c>
      <c r="K1897" s="1" t="s">
        <v>2</v>
      </c>
      <c r="L1897" s="1" t="s">
        <v>2</v>
      </c>
      <c r="M1897" s="1" t="s">
        <v>2</v>
      </c>
      <c r="O1897" s="2"/>
      <c r="P1897" s="2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</row>
    <row r="1898" spans="1:32" s="1" customFormat="1" ht="20.25" customHeight="1" x14ac:dyDescent="0.25">
      <c r="A1898" s="2"/>
      <c r="B1898" s="2"/>
      <c r="C1898" s="2"/>
      <c r="D1898" s="2">
        <f>COUNTIF(contact[[#This Row],[Bagossy]:[Szo
03:00 - 10:00]],"=~?")</f>
        <v>0</v>
      </c>
      <c r="E1898" s="2">
        <f>COUNTIF(contact[[#This Row],[Bagossy]:[Szo
03:00 - 10:00]],"=x")</f>
        <v>0</v>
      </c>
      <c r="F1898" s="2">
        <f>SUM(contact[[#This Row],[?]:[x]])</f>
        <v>0</v>
      </c>
      <c r="G18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898" s="3" t="s">
        <v>2861</v>
      </c>
      <c r="K1898" s="1" t="s">
        <v>1503</v>
      </c>
      <c r="L1898" s="1" t="s">
        <v>2</v>
      </c>
      <c r="M1898" s="1" t="s">
        <v>2</v>
      </c>
      <c r="O1898" s="2"/>
      <c r="P1898" s="2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</row>
    <row r="1899" spans="1:32" s="1" customFormat="1" ht="20.25" customHeight="1" x14ac:dyDescent="0.25">
      <c r="A1899" s="2"/>
      <c r="B1899" s="2"/>
      <c r="C1899" s="2"/>
      <c r="D1899" s="2">
        <f>COUNTIF(contact[[#This Row],[Bagossy]:[Szo
03:00 - 10:00]],"=~?")</f>
        <v>0</v>
      </c>
      <c r="E1899" s="2">
        <f>COUNTIF(contact[[#This Row],[Bagossy]:[Szo
03:00 - 10:00]],"=x")</f>
        <v>0</v>
      </c>
      <c r="F1899" s="2">
        <f>SUM(contact[[#This Row],[?]:[x]])</f>
        <v>0</v>
      </c>
      <c r="G18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899" s="2"/>
      <c r="I1899" s="2"/>
      <c r="J1899" s="3" t="s">
        <v>3619</v>
      </c>
      <c r="K1899" s="1" t="s">
        <v>1688</v>
      </c>
      <c r="L1899" s="1" t="s">
        <v>2</v>
      </c>
      <c r="M1899" s="1" t="s">
        <v>2</v>
      </c>
      <c r="O1899" s="2"/>
      <c r="P1899" s="2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</row>
    <row r="1900" spans="1:32" s="1" customFormat="1" ht="20.25" customHeight="1" x14ac:dyDescent="0.25">
      <c r="A1900" s="2"/>
      <c r="B1900" s="2"/>
      <c r="C1900" s="2"/>
      <c r="D1900" s="2">
        <f>COUNTIF(contact[[#This Row],[Bagossy]:[Szo
03:00 - 10:00]],"=~?")</f>
        <v>0</v>
      </c>
      <c r="E1900" s="2">
        <f>COUNTIF(contact[[#This Row],[Bagossy]:[Szo
03:00 - 10:00]],"=x")</f>
        <v>0</v>
      </c>
      <c r="F1900" s="2">
        <f>SUM(contact[[#This Row],[?]:[x]])</f>
        <v>0</v>
      </c>
      <c r="G19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0" s="3" t="s">
        <v>3174</v>
      </c>
      <c r="K1900" s="1" t="s">
        <v>1303</v>
      </c>
      <c r="L1900" s="1" t="s">
        <v>2</v>
      </c>
      <c r="M1900" s="1" t="s">
        <v>2</v>
      </c>
      <c r="O1900" s="2"/>
      <c r="P1900" s="2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</row>
    <row r="1901" spans="1:32" s="1" customFormat="1" ht="20.25" customHeight="1" x14ac:dyDescent="0.25">
      <c r="A1901" s="2"/>
      <c r="B1901" s="2"/>
      <c r="C1901" s="2"/>
      <c r="D1901" s="2">
        <f>COUNTIF(contact[[#This Row],[Bagossy]:[Szo
03:00 - 10:00]],"=~?")</f>
        <v>0</v>
      </c>
      <c r="E1901" s="2">
        <f>COUNTIF(contact[[#This Row],[Bagossy]:[Szo
03:00 - 10:00]],"=x")</f>
        <v>0</v>
      </c>
      <c r="F1901" s="2">
        <f>SUM(contact[[#This Row],[?]:[x]])</f>
        <v>0</v>
      </c>
      <c r="G19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1" s="3" t="s">
        <v>3893</v>
      </c>
      <c r="K1901" s="1" t="s">
        <v>530</v>
      </c>
      <c r="L1901" s="1" t="s">
        <v>2</v>
      </c>
      <c r="M1901" s="1" t="s">
        <v>2</v>
      </c>
      <c r="O1901" s="2"/>
      <c r="P1901" s="2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</row>
    <row r="1902" spans="1:32" s="1" customFormat="1" ht="20.25" customHeight="1" x14ac:dyDescent="0.25">
      <c r="A1902" s="2"/>
      <c r="B1902" s="2"/>
      <c r="C1902" s="2"/>
      <c r="D1902" s="2">
        <f>COUNTIF(contact[[#This Row],[Bagossy]:[Szo
03:00 - 10:00]],"=~?")</f>
        <v>0</v>
      </c>
      <c r="E1902" s="2">
        <f>COUNTIF(contact[[#This Row],[Bagossy]:[Szo
03:00 - 10:00]],"=x")</f>
        <v>0</v>
      </c>
      <c r="F1902" s="2">
        <f>SUM(contact[[#This Row],[?]:[x]])</f>
        <v>0</v>
      </c>
      <c r="G19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2" s="3" t="s">
        <v>2862</v>
      </c>
      <c r="K1902" s="1" t="s">
        <v>532</v>
      </c>
      <c r="L1902" s="1" t="s">
        <v>2</v>
      </c>
      <c r="M1902" s="1" t="s">
        <v>2</v>
      </c>
      <c r="O1902" s="2"/>
      <c r="P1902" s="2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</row>
    <row r="1903" spans="1:32" s="1" customFormat="1" ht="20.25" customHeight="1" x14ac:dyDescent="0.25">
      <c r="A1903" s="2"/>
      <c r="B1903" s="2"/>
      <c r="C1903" s="2"/>
      <c r="D1903" s="2">
        <f>COUNTIF(contact[[#This Row],[Bagossy]:[Szo
03:00 - 10:00]],"=~?")</f>
        <v>0</v>
      </c>
      <c r="E1903" s="2">
        <f>COUNTIF(contact[[#This Row],[Bagossy]:[Szo
03:00 - 10:00]],"=x")</f>
        <v>0</v>
      </c>
      <c r="F1903" s="2">
        <f>SUM(contact[[#This Row],[?]:[x]])</f>
        <v>0</v>
      </c>
      <c r="G19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3" s="3" t="s">
        <v>3275</v>
      </c>
      <c r="K1903" s="1" t="s">
        <v>727</v>
      </c>
      <c r="L1903" s="1" t="s">
        <v>2</v>
      </c>
      <c r="M1903" s="1" t="s">
        <v>2</v>
      </c>
      <c r="O1903" s="2"/>
      <c r="P1903" s="2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</row>
    <row r="1904" spans="1:32" s="1" customFormat="1" ht="20.25" customHeight="1" x14ac:dyDescent="0.25">
      <c r="A1904" s="2"/>
      <c r="B1904" s="2"/>
      <c r="C1904" s="2"/>
      <c r="D1904" s="2">
        <f>COUNTIF(contact[[#This Row],[Bagossy]:[Szo
03:00 - 10:00]],"=~?")</f>
        <v>0</v>
      </c>
      <c r="E1904" s="2">
        <f>COUNTIF(contact[[#This Row],[Bagossy]:[Szo
03:00 - 10:00]],"=x")</f>
        <v>0</v>
      </c>
      <c r="F1904" s="2">
        <f>SUM(contact[[#This Row],[?]:[x]])</f>
        <v>0</v>
      </c>
      <c r="G19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4" s="3" t="s">
        <v>3296</v>
      </c>
      <c r="K1904" s="1" t="s">
        <v>2</v>
      </c>
      <c r="L1904" s="1" t="s">
        <v>2</v>
      </c>
      <c r="M1904" s="1" t="s">
        <v>2</v>
      </c>
      <c r="O1904" s="2"/>
      <c r="P1904" s="2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</row>
    <row r="1905" spans="1:32" s="1" customFormat="1" ht="20.25" customHeight="1" x14ac:dyDescent="0.25">
      <c r="A1905" s="2"/>
      <c r="B1905" s="2"/>
      <c r="C1905" s="2"/>
      <c r="D1905" s="2">
        <f>COUNTIF(contact[[#This Row],[Bagossy]:[Szo
03:00 - 10:00]],"=~?")</f>
        <v>0</v>
      </c>
      <c r="E1905" s="2">
        <f>COUNTIF(contact[[#This Row],[Bagossy]:[Szo
03:00 - 10:00]],"=x")</f>
        <v>0</v>
      </c>
      <c r="F1905" s="2">
        <f>SUM(contact[[#This Row],[?]:[x]])</f>
        <v>0</v>
      </c>
      <c r="G19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5" s="3" t="s">
        <v>1933</v>
      </c>
      <c r="K1905" s="1" t="s">
        <v>20</v>
      </c>
      <c r="L1905" s="1" t="s">
        <v>2</v>
      </c>
      <c r="M1905" s="1" t="s">
        <v>2</v>
      </c>
      <c r="O1905" s="2"/>
      <c r="P1905" s="2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</row>
    <row r="1906" spans="1:32" s="1" customFormat="1" ht="20.25" customHeight="1" x14ac:dyDescent="0.25">
      <c r="A1906" s="2"/>
      <c r="B1906" s="2"/>
      <c r="C1906" s="2"/>
      <c r="D1906" s="2">
        <f>COUNTIF(contact[[#This Row],[Bagossy]:[Szo
03:00 - 10:00]],"=~?")</f>
        <v>0</v>
      </c>
      <c r="E1906" s="2">
        <f>COUNTIF(contact[[#This Row],[Bagossy]:[Szo
03:00 - 10:00]],"=x")</f>
        <v>0</v>
      </c>
      <c r="F1906" s="2">
        <f>SUM(contact[[#This Row],[?]:[x]])</f>
        <v>0</v>
      </c>
      <c r="G19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6" s="3" t="s">
        <v>1959</v>
      </c>
      <c r="K1906" s="1" t="s">
        <v>2</v>
      </c>
      <c r="L1906" s="1" t="s">
        <v>2</v>
      </c>
      <c r="M1906" s="1" t="s">
        <v>2</v>
      </c>
      <c r="O1906" s="2"/>
      <c r="P1906" s="2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</row>
    <row r="1907" spans="1:32" s="1" customFormat="1" ht="20.25" customHeight="1" x14ac:dyDescent="0.25">
      <c r="A1907" s="2"/>
      <c r="B1907" s="2"/>
      <c r="C1907" s="2"/>
      <c r="D1907" s="2">
        <f>COUNTIF(contact[[#This Row],[Bagossy]:[Szo
03:00 - 10:00]],"=~?")</f>
        <v>0</v>
      </c>
      <c r="E1907" s="2">
        <f>COUNTIF(contact[[#This Row],[Bagossy]:[Szo
03:00 - 10:00]],"=x")</f>
        <v>0</v>
      </c>
      <c r="F1907" s="2">
        <f>SUM(contact[[#This Row],[?]:[x]])</f>
        <v>0</v>
      </c>
      <c r="G19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07" s="2"/>
      <c r="I1907" s="2"/>
      <c r="J1907" s="3" t="s">
        <v>3620</v>
      </c>
      <c r="K1907" s="1" t="s">
        <v>6</v>
      </c>
      <c r="L1907" s="1" t="s">
        <v>2</v>
      </c>
      <c r="M1907" s="1" t="s">
        <v>2</v>
      </c>
      <c r="O1907" s="2"/>
      <c r="P1907" s="2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</row>
    <row r="1908" spans="1:32" s="1" customFormat="1" ht="20.25" customHeight="1" x14ac:dyDescent="0.25">
      <c r="A1908" s="2"/>
      <c r="B1908" s="2"/>
      <c r="C1908" s="2"/>
      <c r="D1908" s="2">
        <f>COUNTIF(contact[[#This Row],[Bagossy]:[Szo
03:00 - 10:00]],"=~?")</f>
        <v>0</v>
      </c>
      <c r="E1908" s="2">
        <f>COUNTIF(contact[[#This Row],[Bagossy]:[Szo
03:00 - 10:00]],"=x")</f>
        <v>0</v>
      </c>
      <c r="F1908" s="2">
        <f>SUM(contact[[#This Row],[?]:[x]])</f>
        <v>0</v>
      </c>
      <c r="G19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8" s="3" t="s">
        <v>2387</v>
      </c>
      <c r="K1908" s="1" t="s">
        <v>280</v>
      </c>
      <c r="L1908" s="1" t="s">
        <v>2</v>
      </c>
      <c r="M1908" s="1" t="s">
        <v>2</v>
      </c>
      <c r="O1908" s="2"/>
      <c r="P1908" s="2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</row>
    <row r="1909" spans="1:32" s="1" customFormat="1" ht="20.25" customHeight="1" x14ac:dyDescent="0.25">
      <c r="A1909" s="2"/>
      <c r="B1909" s="2"/>
      <c r="C1909" s="2"/>
      <c r="D1909" s="2">
        <f>COUNTIF(contact[[#This Row],[Bagossy]:[Szo
03:00 - 10:00]],"=~?")</f>
        <v>0</v>
      </c>
      <c r="E1909" s="2">
        <f>COUNTIF(contact[[#This Row],[Bagossy]:[Szo
03:00 - 10:00]],"=x")</f>
        <v>0</v>
      </c>
      <c r="F1909" s="2">
        <f>SUM(contact[[#This Row],[?]:[x]])</f>
        <v>0</v>
      </c>
      <c r="G19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09" s="3" t="s">
        <v>2451</v>
      </c>
      <c r="K1909" s="1" t="s">
        <v>1327</v>
      </c>
      <c r="L1909" s="1" t="s">
        <v>2</v>
      </c>
      <c r="M1909" s="1" t="s">
        <v>2</v>
      </c>
      <c r="O1909" s="2"/>
      <c r="P1909" s="2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</row>
    <row r="1910" spans="1:32" s="1" customFormat="1" ht="20.25" customHeight="1" x14ac:dyDescent="0.25">
      <c r="A1910" s="2"/>
      <c r="B1910" s="2"/>
      <c r="C1910" s="2"/>
      <c r="D1910" s="2">
        <f>COUNTIF(contact[[#This Row],[Bagossy]:[Szo
03:00 - 10:00]],"=~?")</f>
        <v>0</v>
      </c>
      <c r="E1910" s="2">
        <f>COUNTIF(contact[[#This Row],[Bagossy]:[Szo
03:00 - 10:00]],"=x")</f>
        <v>0</v>
      </c>
      <c r="F1910" s="2">
        <f>SUM(contact[[#This Row],[?]:[x]])</f>
        <v>0</v>
      </c>
      <c r="G19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0" s="3" t="s">
        <v>2539</v>
      </c>
      <c r="K1910" s="1" t="s">
        <v>363</v>
      </c>
      <c r="L1910" s="1" t="s">
        <v>2</v>
      </c>
      <c r="M1910" s="1" t="s">
        <v>2</v>
      </c>
      <c r="O1910" s="2"/>
      <c r="P1910" s="2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</row>
    <row r="1911" spans="1:32" s="1" customFormat="1" ht="20.25" customHeight="1" x14ac:dyDescent="0.25">
      <c r="A1911" s="2"/>
      <c r="B1911" s="2"/>
      <c r="C1911" s="2"/>
      <c r="D1911" s="2">
        <f>COUNTIF(contact[[#This Row],[Bagossy]:[Szo
03:00 - 10:00]],"=~?")</f>
        <v>0</v>
      </c>
      <c r="E1911" s="2">
        <f>COUNTIF(contact[[#This Row],[Bagossy]:[Szo
03:00 - 10:00]],"=x")</f>
        <v>0</v>
      </c>
      <c r="F1911" s="2">
        <f>SUM(contact[[#This Row],[?]:[x]])</f>
        <v>0</v>
      </c>
      <c r="G19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1" s="3" t="s">
        <v>2663</v>
      </c>
      <c r="K1911" s="1" t="s">
        <v>2</v>
      </c>
      <c r="L1911" s="1" t="s">
        <v>2</v>
      </c>
      <c r="M1911" s="1" t="s">
        <v>2</v>
      </c>
      <c r="O1911" s="2"/>
      <c r="P1911" s="2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</row>
    <row r="1912" spans="1:32" s="1" customFormat="1" ht="20.25" customHeight="1" x14ac:dyDescent="0.25">
      <c r="A1912" s="2"/>
      <c r="B1912" s="2"/>
      <c r="C1912" s="2"/>
      <c r="D1912" s="2">
        <f>COUNTIF(contact[[#This Row],[Bagossy]:[Szo
03:00 - 10:00]],"=~?")</f>
        <v>0</v>
      </c>
      <c r="E1912" s="2">
        <f>COUNTIF(contact[[#This Row],[Bagossy]:[Szo
03:00 - 10:00]],"=x")</f>
        <v>0</v>
      </c>
      <c r="F1912" s="2">
        <f>SUM(contact[[#This Row],[?]:[x]])</f>
        <v>0</v>
      </c>
      <c r="G19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2" s="3" t="s">
        <v>2899</v>
      </c>
      <c r="K1912" s="1" t="s">
        <v>2</v>
      </c>
      <c r="L1912" s="1" t="s">
        <v>2</v>
      </c>
      <c r="M1912" s="1" t="s">
        <v>2</v>
      </c>
      <c r="O1912" s="2"/>
      <c r="P1912" s="2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</row>
    <row r="1913" spans="1:32" s="1" customFormat="1" ht="20.25" customHeight="1" x14ac:dyDescent="0.25">
      <c r="A1913" s="2"/>
      <c r="B1913" s="2"/>
      <c r="C1913" s="2"/>
      <c r="D1913" s="2">
        <f>COUNTIF(contact[[#This Row],[Bagossy]:[Szo
03:00 - 10:00]],"=~?")</f>
        <v>0</v>
      </c>
      <c r="E1913" s="2">
        <f>COUNTIF(contact[[#This Row],[Bagossy]:[Szo
03:00 - 10:00]],"=x")</f>
        <v>0</v>
      </c>
      <c r="F1913" s="2">
        <f>SUM(contact[[#This Row],[?]:[x]])</f>
        <v>0</v>
      </c>
      <c r="G19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3" s="3" t="s">
        <v>3100</v>
      </c>
      <c r="K1913" s="1" t="s">
        <v>104</v>
      </c>
      <c r="L1913" s="1" t="s">
        <v>2</v>
      </c>
      <c r="M1913" s="1" t="s">
        <v>2</v>
      </c>
      <c r="O1913" s="2"/>
      <c r="P1913" s="2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</row>
    <row r="1914" spans="1:32" s="1" customFormat="1" ht="20.25" customHeight="1" x14ac:dyDescent="0.25">
      <c r="A1914" s="2"/>
      <c r="B1914" s="2"/>
      <c r="C1914" s="2" t="s">
        <v>1285</v>
      </c>
      <c r="D1914" s="2">
        <f>COUNTIF(contact[[#This Row],[Bagossy]:[Szo
03:00 - 10:00]],"=~?")</f>
        <v>0</v>
      </c>
      <c r="E1914" s="2">
        <f>COUNTIF(contact[[#This Row],[Bagossy]:[Szo
03:00 - 10:00]],"=x")</f>
        <v>0</v>
      </c>
      <c r="F1914" s="2">
        <f>SUM(contact[[#This Row],[?]:[x]])</f>
        <v>0</v>
      </c>
      <c r="G19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14" s="2"/>
      <c r="I1914" s="2"/>
      <c r="J1914" s="3" t="s">
        <v>3630</v>
      </c>
      <c r="K1914" s="1" t="s">
        <v>172</v>
      </c>
      <c r="L1914" s="1" t="s">
        <v>2</v>
      </c>
      <c r="M1914" s="1" t="s">
        <v>2</v>
      </c>
      <c r="O1914" s="2"/>
      <c r="P1914" s="2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</row>
    <row r="1915" spans="1:32" s="1" customFormat="1" ht="20.25" customHeight="1" x14ac:dyDescent="0.25">
      <c r="A1915" s="2"/>
      <c r="B1915" s="2"/>
      <c r="C1915" s="2"/>
      <c r="D1915" s="2">
        <f>COUNTIF(contact[[#This Row],[Bagossy]:[Szo
03:00 - 10:00]],"=~?")</f>
        <v>0</v>
      </c>
      <c r="E1915" s="2">
        <f>COUNTIF(contact[[#This Row],[Bagossy]:[Szo
03:00 - 10:00]],"=x")</f>
        <v>0</v>
      </c>
      <c r="F1915" s="2">
        <f>SUM(contact[[#This Row],[?]:[x]])</f>
        <v>0</v>
      </c>
      <c r="G19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5" s="3" t="s">
        <v>3209</v>
      </c>
      <c r="K1915" s="1" t="s">
        <v>1327</v>
      </c>
      <c r="L1915" s="1" t="s">
        <v>2</v>
      </c>
      <c r="M1915" s="1" t="s">
        <v>2</v>
      </c>
      <c r="O1915" s="2"/>
      <c r="P1915" s="2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</row>
    <row r="1916" spans="1:32" s="1" customFormat="1" ht="20.25" customHeight="1" x14ac:dyDescent="0.25">
      <c r="A1916" s="2"/>
      <c r="B1916" s="2"/>
      <c r="C1916" s="2"/>
      <c r="D1916" s="2">
        <f>COUNTIF(contact[[#This Row],[Bagossy]:[Szo
03:00 - 10:00]],"=~?")</f>
        <v>0</v>
      </c>
      <c r="E1916" s="2">
        <f>COUNTIF(contact[[#This Row],[Bagossy]:[Szo
03:00 - 10:00]],"=x")</f>
        <v>0</v>
      </c>
      <c r="F1916" s="2">
        <f>SUM(contact[[#This Row],[?]:[x]])</f>
        <v>0</v>
      </c>
      <c r="G19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16" s="2"/>
      <c r="I1916" s="2"/>
      <c r="J1916" s="3" t="s">
        <v>3634</v>
      </c>
      <c r="K1916" s="1" t="s">
        <v>1691</v>
      </c>
      <c r="L1916" s="1" t="s">
        <v>2</v>
      </c>
      <c r="M1916" s="1" t="s">
        <v>2</v>
      </c>
      <c r="O1916" s="2"/>
      <c r="P1916" s="2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</row>
    <row r="1917" spans="1:32" s="1" customFormat="1" ht="20.25" customHeight="1" x14ac:dyDescent="0.25">
      <c r="A1917" s="2"/>
      <c r="B1917" s="2"/>
      <c r="C1917" s="2"/>
      <c r="D1917" s="2">
        <f>COUNTIF(contact[[#This Row],[Bagossy]:[Szo
03:00 - 10:00]],"=~?")</f>
        <v>0</v>
      </c>
      <c r="E1917" s="2">
        <f>COUNTIF(contact[[#This Row],[Bagossy]:[Szo
03:00 - 10:00]],"=x")</f>
        <v>0</v>
      </c>
      <c r="F1917" s="2">
        <f>SUM(contact[[#This Row],[?]:[x]])</f>
        <v>0</v>
      </c>
      <c r="G19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17" s="2"/>
      <c r="I1917" s="2"/>
      <c r="J1917" s="3" t="s">
        <v>3641</v>
      </c>
      <c r="K1917" s="1" t="s">
        <v>899</v>
      </c>
      <c r="L1917" s="1" t="s">
        <v>2</v>
      </c>
      <c r="M1917" s="1" t="s">
        <v>2</v>
      </c>
      <c r="O1917" s="2"/>
      <c r="P1917" s="2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</row>
    <row r="1918" spans="1:32" s="1" customFormat="1" ht="20.25" customHeight="1" x14ac:dyDescent="0.25">
      <c r="A1918" s="2"/>
      <c r="B1918" s="2"/>
      <c r="C1918" s="2"/>
      <c r="D1918" s="2">
        <f>COUNTIF(contact[[#This Row],[Bagossy]:[Szo
03:00 - 10:00]],"=~?")</f>
        <v>0</v>
      </c>
      <c r="E1918" s="2">
        <f>COUNTIF(contact[[#This Row],[Bagossy]:[Szo
03:00 - 10:00]],"=x")</f>
        <v>0</v>
      </c>
      <c r="F1918" s="2">
        <f>SUM(contact[[#This Row],[?]:[x]])</f>
        <v>0</v>
      </c>
      <c r="G19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8" s="3" t="s">
        <v>3756</v>
      </c>
      <c r="K1918" s="1" t="s">
        <v>2</v>
      </c>
      <c r="L1918" s="1" t="s">
        <v>2</v>
      </c>
      <c r="M1918" s="1" t="s">
        <v>2</v>
      </c>
      <c r="O1918" s="2"/>
      <c r="P1918" s="2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</row>
    <row r="1919" spans="1:32" s="1" customFormat="1" ht="20.25" customHeight="1" x14ac:dyDescent="0.25">
      <c r="A1919" s="2"/>
      <c r="B1919" s="2"/>
      <c r="C1919" s="2"/>
      <c r="D1919" s="2">
        <f>COUNTIF(contact[[#This Row],[Bagossy]:[Szo
03:00 - 10:00]],"=~?")</f>
        <v>0</v>
      </c>
      <c r="E1919" s="2">
        <f>COUNTIF(contact[[#This Row],[Bagossy]:[Szo
03:00 - 10:00]],"=x")</f>
        <v>0</v>
      </c>
      <c r="F1919" s="2">
        <f>SUM(contact[[#This Row],[?]:[x]])</f>
        <v>0</v>
      </c>
      <c r="G19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19" s="3" t="s">
        <v>4134</v>
      </c>
      <c r="K1919" s="1" t="s">
        <v>1114</v>
      </c>
      <c r="L1919" s="1" t="s">
        <v>2</v>
      </c>
      <c r="M1919" s="1" t="s">
        <v>2</v>
      </c>
      <c r="O1919" s="2"/>
      <c r="P1919" s="2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</row>
    <row r="1920" spans="1:32" s="1" customFormat="1" ht="20.25" customHeight="1" x14ac:dyDescent="0.25">
      <c r="A1920" s="2"/>
      <c r="B1920" s="2"/>
      <c r="C1920" s="2"/>
      <c r="D1920" s="2">
        <f>COUNTIF(contact[[#This Row],[Bagossy]:[Szo
03:00 - 10:00]],"=~?")</f>
        <v>0</v>
      </c>
      <c r="E1920" s="2">
        <f>COUNTIF(contact[[#This Row],[Bagossy]:[Szo
03:00 - 10:00]],"=x")</f>
        <v>0</v>
      </c>
      <c r="F1920" s="2">
        <f>SUM(contact[[#This Row],[?]:[x]])</f>
        <v>0</v>
      </c>
      <c r="G19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0" s="3" t="s">
        <v>4285</v>
      </c>
      <c r="K1920" s="1" t="s">
        <v>1175</v>
      </c>
      <c r="L1920" s="1" t="s">
        <v>2</v>
      </c>
      <c r="M1920" s="1" t="s">
        <v>2</v>
      </c>
      <c r="O1920" s="2"/>
      <c r="P1920" s="2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</row>
    <row r="1921" spans="1:32" s="1" customFormat="1" ht="20.25" customHeight="1" x14ac:dyDescent="0.25">
      <c r="A1921" s="2"/>
      <c r="B1921" s="2"/>
      <c r="C1921" s="2"/>
      <c r="D1921" s="2">
        <f>COUNTIF(contact[[#This Row],[Bagossy]:[Szo
03:00 - 10:00]],"=~?")</f>
        <v>0</v>
      </c>
      <c r="E1921" s="2">
        <f>COUNTIF(contact[[#This Row],[Bagossy]:[Szo
03:00 - 10:00]],"=x")</f>
        <v>0</v>
      </c>
      <c r="F1921" s="2">
        <f>SUM(contact[[#This Row],[?]:[x]])</f>
        <v>0</v>
      </c>
      <c r="G19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1" s="3" t="s">
        <v>4418</v>
      </c>
      <c r="K1921" s="1" t="s">
        <v>1232</v>
      </c>
      <c r="L1921" s="1" t="s">
        <v>2</v>
      </c>
      <c r="M1921" s="1" t="s">
        <v>2</v>
      </c>
      <c r="O1921" s="2"/>
      <c r="P1921" s="2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</row>
    <row r="1922" spans="1:32" s="1" customFormat="1" ht="20.25" customHeight="1" x14ac:dyDescent="0.25">
      <c r="A1922" s="2"/>
      <c r="B1922" s="2"/>
      <c r="C1922" s="2"/>
      <c r="D1922" s="2">
        <f>COUNTIF(contact[[#This Row],[Bagossy]:[Szo
03:00 - 10:00]],"=~?")</f>
        <v>0</v>
      </c>
      <c r="E1922" s="2">
        <f>COUNTIF(contact[[#This Row],[Bagossy]:[Szo
03:00 - 10:00]],"=x")</f>
        <v>0</v>
      </c>
      <c r="F1922" s="2">
        <f>SUM(contact[[#This Row],[?]:[x]])</f>
        <v>0</v>
      </c>
      <c r="G19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2" s="3" t="s">
        <v>4472</v>
      </c>
      <c r="K1922" s="1" t="s">
        <v>1869</v>
      </c>
      <c r="L1922" s="1" t="s">
        <v>2</v>
      </c>
      <c r="M1922" s="1" t="s">
        <v>2</v>
      </c>
      <c r="O1922" s="2"/>
      <c r="P1922" s="2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</row>
    <row r="1923" spans="1:32" s="1" customFormat="1" ht="20.25" customHeight="1" x14ac:dyDescent="0.25">
      <c r="A1923" s="2"/>
      <c r="B1923" s="2"/>
      <c r="C1923" s="2"/>
      <c r="D1923" s="2">
        <f>COUNTIF(contact[[#This Row],[Bagossy]:[Szo
03:00 - 10:00]],"=~?")</f>
        <v>0</v>
      </c>
      <c r="E1923" s="2">
        <f>COUNTIF(contact[[#This Row],[Bagossy]:[Szo
03:00 - 10:00]],"=x")</f>
        <v>0</v>
      </c>
      <c r="F1923" s="2">
        <f>SUM(contact[[#This Row],[?]:[x]])</f>
        <v>0</v>
      </c>
      <c r="G19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23" s="2"/>
      <c r="I1923" s="2"/>
      <c r="J1923" s="3" t="s">
        <v>3665</v>
      </c>
      <c r="K1923" s="1" t="s">
        <v>604</v>
      </c>
      <c r="L1923" s="1" t="s">
        <v>2</v>
      </c>
      <c r="M1923" s="1" t="s">
        <v>2</v>
      </c>
      <c r="O1923" s="2"/>
      <c r="P1923" s="2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</row>
    <row r="1924" spans="1:32" s="1" customFormat="1" ht="20.25" customHeight="1" x14ac:dyDescent="0.25">
      <c r="A1924" s="2"/>
      <c r="B1924" s="2"/>
      <c r="C1924" s="2"/>
      <c r="D1924" s="2">
        <f>COUNTIF(contact[[#This Row],[Bagossy]:[Szo
03:00 - 10:00]],"=~?")</f>
        <v>0</v>
      </c>
      <c r="E1924" s="2">
        <f>COUNTIF(contact[[#This Row],[Bagossy]:[Szo
03:00 - 10:00]],"=x")</f>
        <v>0</v>
      </c>
      <c r="F1924" s="2">
        <f>SUM(contact[[#This Row],[?]:[x]])</f>
        <v>0</v>
      </c>
      <c r="G19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4" s="3" t="s">
        <v>906</v>
      </c>
      <c r="K1924" s="1" t="s">
        <v>2</v>
      </c>
      <c r="L1924" s="1" t="s">
        <v>2</v>
      </c>
      <c r="M1924" s="1" t="s">
        <v>2</v>
      </c>
      <c r="O1924" s="2"/>
      <c r="P1924" s="2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</row>
    <row r="1925" spans="1:32" s="1" customFormat="1" ht="20.25" customHeight="1" x14ac:dyDescent="0.25">
      <c r="A1925" s="2"/>
      <c r="B1925" s="2"/>
      <c r="C1925" s="2"/>
      <c r="D1925" s="2">
        <f>COUNTIF(contact[[#This Row],[Bagossy]:[Szo
03:00 - 10:00]],"=~?")</f>
        <v>0</v>
      </c>
      <c r="E1925" s="2">
        <f>COUNTIF(contact[[#This Row],[Bagossy]:[Szo
03:00 - 10:00]],"=x")</f>
        <v>0</v>
      </c>
      <c r="F1925" s="2">
        <f>SUM(contact[[#This Row],[?]:[x]])</f>
        <v>0</v>
      </c>
      <c r="G19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5" s="3" t="s">
        <v>4315</v>
      </c>
      <c r="K1925" s="1" t="s">
        <v>1185</v>
      </c>
      <c r="L1925" s="1" t="s">
        <v>2</v>
      </c>
      <c r="M1925" s="1" t="s">
        <v>2</v>
      </c>
      <c r="O1925" s="2"/>
      <c r="P1925" s="2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</row>
    <row r="1926" spans="1:32" s="1" customFormat="1" ht="20.25" customHeight="1" x14ac:dyDescent="0.25">
      <c r="A1926" s="2"/>
      <c r="B1926" s="2"/>
      <c r="C1926" s="2"/>
      <c r="D1926" s="2">
        <f>COUNTIF(contact[[#This Row],[Bagossy]:[Szo
03:00 - 10:00]],"=~?")</f>
        <v>0</v>
      </c>
      <c r="E1926" s="2">
        <f>COUNTIF(contact[[#This Row],[Bagossy]:[Szo
03:00 - 10:00]],"=x")</f>
        <v>0</v>
      </c>
      <c r="F1926" s="2">
        <f>SUM(contact[[#This Row],[?]:[x]])</f>
        <v>0</v>
      </c>
      <c r="G19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6" s="3" t="s">
        <v>4030</v>
      </c>
      <c r="K1926" s="1" t="s">
        <v>2</v>
      </c>
      <c r="L1926" s="1" t="s">
        <v>2</v>
      </c>
      <c r="M1926" s="1" t="s">
        <v>2</v>
      </c>
      <c r="O1926" s="2"/>
      <c r="P1926" s="2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</row>
    <row r="1927" spans="1:32" s="1" customFormat="1" ht="20.25" customHeight="1" x14ac:dyDescent="0.25">
      <c r="A1927" s="2"/>
      <c r="B1927" s="2"/>
      <c r="C1927" s="2"/>
      <c r="D1927" s="2">
        <f>COUNTIF(contact[[#This Row],[Bagossy]:[Szo
03:00 - 10:00]],"=~?")</f>
        <v>0</v>
      </c>
      <c r="E1927" s="2">
        <f>COUNTIF(contact[[#This Row],[Bagossy]:[Szo
03:00 - 10:00]],"=x")</f>
        <v>0</v>
      </c>
      <c r="F1927" s="2">
        <f>SUM(contact[[#This Row],[?]:[x]])</f>
        <v>0</v>
      </c>
      <c r="G19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7" s="3" t="s">
        <v>3927</v>
      </c>
      <c r="K1927" s="1" t="s">
        <v>78</v>
      </c>
      <c r="L1927" s="1" t="s">
        <v>2</v>
      </c>
      <c r="M1927" s="1" t="s">
        <v>2</v>
      </c>
      <c r="O1927" s="2"/>
      <c r="P1927" s="2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</row>
    <row r="1928" spans="1:32" s="1" customFormat="1" ht="20.25" customHeight="1" x14ac:dyDescent="0.25">
      <c r="A1928" s="2"/>
      <c r="B1928" s="2"/>
      <c r="C1928" s="2"/>
      <c r="D1928" s="2">
        <f>COUNTIF(contact[[#This Row],[Bagossy]:[Szo
03:00 - 10:00]],"=~?")</f>
        <v>0</v>
      </c>
      <c r="E1928" s="2">
        <f>COUNTIF(contact[[#This Row],[Bagossy]:[Szo
03:00 - 10:00]],"=x")</f>
        <v>0</v>
      </c>
      <c r="F1928" s="2">
        <f>SUM(contact[[#This Row],[?]:[x]])</f>
        <v>0</v>
      </c>
      <c r="G19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28" s="2"/>
      <c r="I1928" s="2"/>
      <c r="J1928" s="3" t="s">
        <v>908</v>
      </c>
      <c r="K1928" s="1" t="s">
        <v>896</v>
      </c>
      <c r="L1928" s="1" t="s">
        <v>2</v>
      </c>
      <c r="M1928" s="1" t="s">
        <v>2</v>
      </c>
      <c r="O1928" s="2"/>
      <c r="P1928" s="2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</row>
    <row r="1929" spans="1:32" s="1" customFormat="1" ht="20.25" customHeight="1" x14ac:dyDescent="0.25">
      <c r="A1929" s="2"/>
      <c r="B1929" s="2"/>
      <c r="C1929" s="2"/>
      <c r="D1929" s="2">
        <f>COUNTIF(contact[[#This Row],[Bagossy]:[Szo
03:00 - 10:00]],"=~?")</f>
        <v>0</v>
      </c>
      <c r="E1929" s="2">
        <f>COUNTIF(contact[[#This Row],[Bagossy]:[Szo
03:00 - 10:00]],"=x")</f>
        <v>0</v>
      </c>
      <c r="F1929" s="2">
        <f>SUM(contact[[#This Row],[?]:[x]])</f>
        <v>0</v>
      </c>
      <c r="G19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29" s="3" t="s">
        <v>2126</v>
      </c>
      <c r="K1929" s="1" t="s">
        <v>1342</v>
      </c>
      <c r="L1929" s="1" t="s">
        <v>2</v>
      </c>
      <c r="M1929" s="1" t="s">
        <v>2</v>
      </c>
      <c r="O1929" s="2"/>
      <c r="P1929" s="2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</row>
    <row r="1930" spans="1:32" s="1" customFormat="1" ht="20.25" customHeight="1" x14ac:dyDescent="0.25">
      <c r="A1930" s="2"/>
      <c r="B1930" s="2"/>
      <c r="C1930" s="2"/>
      <c r="D1930" s="2">
        <f>COUNTIF(contact[[#This Row],[Bagossy]:[Szo
03:00 - 10:00]],"=~?")</f>
        <v>0</v>
      </c>
      <c r="E1930" s="2">
        <f>COUNTIF(contact[[#This Row],[Bagossy]:[Szo
03:00 - 10:00]],"=x")</f>
        <v>0</v>
      </c>
      <c r="F1930" s="2">
        <f>SUM(contact[[#This Row],[?]:[x]])</f>
        <v>0</v>
      </c>
      <c r="G19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0" s="3" t="s">
        <v>909</v>
      </c>
      <c r="K1930" s="1" t="s">
        <v>2</v>
      </c>
      <c r="L1930" s="1" t="s">
        <v>2</v>
      </c>
      <c r="M1930" s="1" t="s">
        <v>2</v>
      </c>
      <c r="O1930" s="2"/>
      <c r="P1930" s="2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</row>
    <row r="1931" spans="1:32" s="1" customFormat="1" ht="20.25" customHeight="1" x14ac:dyDescent="0.25">
      <c r="A1931" s="2"/>
      <c r="B1931" s="2"/>
      <c r="C1931" s="2"/>
      <c r="D1931" s="2">
        <f>COUNTIF(contact[[#This Row],[Bagossy]:[Szo
03:00 - 10:00]],"=~?")</f>
        <v>0</v>
      </c>
      <c r="E1931" s="2">
        <f>COUNTIF(contact[[#This Row],[Bagossy]:[Szo
03:00 - 10:00]],"=x")</f>
        <v>0</v>
      </c>
      <c r="F1931" s="2">
        <f>SUM(contact[[#This Row],[?]:[x]])</f>
        <v>0</v>
      </c>
      <c r="G19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1" s="3" t="s">
        <v>3529</v>
      </c>
      <c r="K1931" s="1" t="s">
        <v>1664</v>
      </c>
      <c r="L1931" s="1" t="s">
        <v>2</v>
      </c>
      <c r="M1931" s="1" t="s">
        <v>2</v>
      </c>
      <c r="O1931" s="2"/>
      <c r="P1931" s="2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</row>
    <row r="1932" spans="1:32" s="1" customFormat="1" ht="20.25" customHeight="1" x14ac:dyDescent="0.25">
      <c r="A1932" s="2"/>
      <c r="B1932" s="2"/>
      <c r="C1932" s="2"/>
      <c r="D1932" s="2">
        <f>COUNTIF(contact[[#This Row],[Bagossy]:[Szo
03:00 - 10:00]],"=~?")</f>
        <v>0</v>
      </c>
      <c r="E1932" s="2">
        <f>COUNTIF(contact[[#This Row],[Bagossy]:[Szo
03:00 - 10:00]],"=x")</f>
        <v>0</v>
      </c>
      <c r="F1932" s="2">
        <f>SUM(contact[[#This Row],[?]:[x]])</f>
        <v>0</v>
      </c>
      <c r="G19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2" s="3" t="s">
        <v>910</v>
      </c>
      <c r="K1932" s="1" t="s">
        <v>2</v>
      </c>
      <c r="L1932" s="1" t="s">
        <v>2</v>
      </c>
      <c r="M1932" s="1" t="s">
        <v>2</v>
      </c>
      <c r="O1932" s="2"/>
      <c r="P1932" s="2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</row>
    <row r="1933" spans="1:32" s="1" customFormat="1" ht="20.25" customHeight="1" x14ac:dyDescent="0.25">
      <c r="A1933" s="2"/>
      <c r="B1933" s="2"/>
      <c r="C1933" s="2"/>
      <c r="D1933" s="2">
        <f>COUNTIF(contact[[#This Row],[Bagossy]:[Szo
03:00 - 10:00]],"=~?")</f>
        <v>0</v>
      </c>
      <c r="E1933" s="2">
        <f>COUNTIF(contact[[#This Row],[Bagossy]:[Szo
03:00 - 10:00]],"=x")</f>
        <v>0</v>
      </c>
      <c r="F1933" s="2">
        <f>SUM(contact[[#This Row],[?]:[x]])</f>
        <v>0</v>
      </c>
      <c r="G19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33" s="2"/>
      <c r="I1933" s="2"/>
      <c r="J1933" s="3" t="s">
        <v>3672</v>
      </c>
      <c r="K1933" s="1" t="s">
        <v>1695</v>
      </c>
      <c r="L1933" s="1" t="s">
        <v>2</v>
      </c>
      <c r="M1933" s="1" t="s">
        <v>2</v>
      </c>
      <c r="O1933" s="2"/>
      <c r="P1933" s="2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</row>
    <row r="1934" spans="1:32" s="1" customFormat="1" ht="20.25" customHeight="1" x14ac:dyDescent="0.25">
      <c r="A1934" s="2"/>
      <c r="B1934" s="2"/>
      <c r="C1934" s="2"/>
      <c r="D1934" s="2">
        <f>COUNTIF(contact[[#This Row],[Bagossy]:[Szo
03:00 - 10:00]],"=~?")</f>
        <v>0</v>
      </c>
      <c r="E1934" s="2">
        <f>COUNTIF(contact[[#This Row],[Bagossy]:[Szo
03:00 - 10:00]],"=x")</f>
        <v>0</v>
      </c>
      <c r="F1934" s="2">
        <f>SUM(contact[[#This Row],[?]:[x]])</f>
        <v>0</v>
      </c>
      <c r="G19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4" s="3" t="s">
        <v>3523</v>
      </c>
      <c r="K1934" s="1" t="s">
        <v>391</v>
      </c>
      <c r="L1934" s="1" t="s">
        <v>2</v>
      </c>
      <c r="M1934" s="1" t="s">
        <v>2</v>
      </c>
      <c r="O1934" s="2"/>
      <c r="P1934" s="2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</row>
    <row r="1935" spans="1:32" s="1" customFormat="1" ht="20.25" customHeight="1" x14ac:dyDescent="0.25">
      <c r="A1935" s="2"/>
      <c r="B1935" s="2"/>
      <c r="C1935" s="2"/>
      <c r="D1935" s="2">
        <f>COUNTIF(contact[[#This Row],[Bagossy]:[Szo
03:00 - 10:00]],"=~?")</f>
        <v>0</v>
      </c>
      <c r="E1935" s="2">
        <f>COUNTIF(contact[[#This Row],[Bagossy]:[Szo
03:00 - 10:00]],"=x")</f>
        <v>0</v>
      </c>
      <c r="F1935" s="2">
        <f>SUM(contact[[#This Row],[?]:[x]])</f>
        <v>0</v>
      </c>
      <c r="G19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5" s="3" t="s">
        <v>3605</v>
      </c>
      <c r="K1935" s="1" t="s">
        <v>1682</v>
      </c>
      <c r="L1935" s="1" t="s">
        <v>2</v>
      </c>
      <c r="M1935" s="1" t="s">
        <v>2</v>
      </c>
      <c r="O1935" s="2"/>
      <c r="P1935" s="2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</row>
    <row r="1936" spans="1:32" s="1" customFormat="1" ht="20.25" customHeight="1" x14ac:dyDescent="0.25">
      <c r="A1936" s="2"/>
      <c r="B1936" s="2"/>
      <c r="C1936" s="2"/>
      <c r="D1936" s="2">
        <f>COUNTIF(contact[[#This Row],[Bagossy]:[Szo
03:00 - 10:00]],"=~?")</f>
        <v>0</v>
      </c>
      <c r="E1936" s="2">
        <f>COUNTIF(contact[[#This Row],[Bagossy]:[Szo
03:00 - 10:00]],"=x")</f>
        <v>0</v>
      </c>
      <c r="F1936" s="2">
        <f>SUM(contact[[#This Row],[?]:[x]])</f>
        <v>0</v>
      </c>
      <c r="G19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6" s="3" t="s">
        <v>4356</v>
      </c>
      <c r="K1936" s="1" t="s">
        <v>1843</v>
      </c>
      <c r="L1936" s="1" t="s">
        <v>2</v>
      </c>
      <c r="M1936" s="1" t="s">
        <v>2</v>
      </c>
      <c r="O1936" s="2"/>
      <c r="P1936" s="2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</row>
    <row r="1937" spans="1:32" s="1" customFormat="1" ht="20.25" customHeight="1" x14ac:dyDescent="0.25">
      <c r="A1937" s="2" t="s">
        <v>1285</v>
      </c>
      <c r="B1937" s="2" t="s">
        <v>1285</v>
      </c>
      <c r="C1937" s="2" t="s">
        <v>1285</v>
      </c>
      <c r="D1937" s="2">
        <f>COUNTIF(contact[[#This Row],[Bagossy]:[Szo
03:00 - 10:00]],"=~?")</f>
        <v>0</v>
      </c>
      <c r="E1937" s="2">
        <f>COUNTIF(contact[[#This Row],[Bagossy]:[Szo
03:00 - 10:00]],"=x")</f>
        <v>7</v>
      </c>
      <c r="F1937" s="2">
        <f>SUM(contact[[#This Row],[?]:[x]])</f>
        <v>7</v>
      </c>
      <c r="G1937" s="2">
        <f>COUNTIF(contact[[#This Row],[Sze
10:00 - 22:00]:[Cs
03:00 - 08:00]],"=x")+COUNTIF(contact[[#This Row],[P
08:00 - 12:00]:[P
03:00 - 08:00]],"=x")+COUNTIF(contact[[#This Row],[Szo
08:00 - 12:00]:[Szo
03:00 - 10:00]],"=x")</f>
        <v>7</v>
      </c>
      <c r="H1937" s="1" t="s">
        <v>4620</v>
      </c>
      <c r="J1937" s="3" t="s">
        <v>4628</v>
      </c>
      <c r="K1937" s="1" t="s">
        <v>4629</v>
      </c>
      <c r="O1937" s="2"/>
      <c r="P1937" s="2"/>
      <c r="Q1937" s="6" t="s">
        <v>1285</v>
      </c>
      <c r="R1937" s="6"/>
      <c r="S1937" s="6"/>
      <c r="T1937" s="6" t="s">
        <v>1285</v>
      </c>
      <c r="U1937" s="6" t="s">
        <v>1285</v>
      </c>
      <c r="V1937" s="6"/>
      <c r="W1937" s="6"/>
      <c r="X1937" s="6"/>
      <c r="Y1937" s="6" t="s">
        <v>1285</v>
      </c>
      <c r="Z1937" s="6" t="s">
        <v>1285</v>
      </c>
      <c r="AA1937" s="6"/>
      <c r="AB1937" s="6"/>
      <c r="AC1937" s="6"/>
      <c r="AD1937" s="6" t="s">
        <v>1285</v>
      </c>
      <c r="AE1937" s="6" t="s">
        <v>1285</v>
      </c>
      <c r="AF1937" s="6"/>
    </row>
    <row r="1938" spans="1:32" s="1" customFormat="1" ht="20.25" customHeight="1" x14ac:dyDescent="0.25">
      <c r="A1938" s="2"/>
      <c r="B1938" s="2"/>
      <c r="C1938" s="2"/>
      <c r="D1938" s="2">
        <f>COUNTIF(contact[[#This Row],[Bagossy]:[Szo
03:00 - 10:00]],"=~?")</f>
        <v>0</v>
      </c>
      <c r="E1938" s="2">
        <f>COUNTIF(contact[[#This Row],[Bagossy]:[Szo
03:00 - 10:00]],"=x")</f>
        <v>0</v>
      </c>
      <c r="F1938" s="2">
        <f>SUM(contact[[#This Row],[?]:[x]])</f>
        <v>0</v>
      </c>
      <c r="G19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8" s="3" t="s">
        <v>1934</v>
      </c>
      <c r="K1938" s="1" t="s">
        <v>2</v>
      </c>
      <c r="L1938" s="1" t="s">
        <v>2</v>
      </c>
      <c r="M1938" s="1" t="s">
        <v>2</v>
      </c>
      <c r="O1938" s="2"/>
      <c r="P1938" s="2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</row>
    <row r="1939" spans="1:32" s="1" customFormat="1" ht="20.25" customHeight="1" x14ac:dyDescent="0.25">
      <c r="A1939" s="2"/>
      <c r="B1939" s="2"/>
      <c r="C1939" s="2"/>
      <c r="D1939" s="2">
        <f>COUNTIF(contact[[#This Row],[Bagossy]:[Szo
03:00 - 10:00]],"=~?")</f>
        <v>0</v>
      </c>
      <c r="E1939" s="2">
        <f>COUNTIF(contact[[#This Row],[Bagossy]:[Szo
03:00 - 10:00]],"=x")</f>
        <v>0</v>
      </c>
      <c r="F1939" s="2">
        <f>SUM(contact[[#This Row],[?]:[x]])</f>
        <v>0</v>
      </c>
      <c r="G19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39" s="3" t="s">
        <v>4114</v>
      </c>
      <c r="K1939" s="1" t="s">
        <v>1790</v>
      </c>
      <c r="L1939" s="1" t="s">
        <v>2</v>
      </c>
      <c r="M1939" s="1" t="s">
        <v>2</v>
      </c>
      <c r="O1939" s="2"/>
      <c r="P1939" s="2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</row>
    <row r="1940" spans="1:32" s="1" customFormat="1" ht="20.25" customHeight="1" x14ac:dyDescent="0.25">
      <c r="A1940" s="2"/>
      <c r="B1940" s="2"/>
      <c r="C1940" s="2"/>
      <c r="D1940" s="2">
        <f>COUNTIF(contact[[#This Row],[Bagossy]:[Szo
03:00 - 10:00]],"=~?")</f>
        <v>0</v>
      </c>
      <c r="E1940" s="2">
        <f>COUNTIF(contact[[#This Row],[Bagossy]:[Szo
03:00 - 10:00]],"=x")</f>
        <v>0</v>
      </c>
      <c r="F1940" s="2">
        <f>SUM(contact[[#This Row],[?]:[x]])</f>
        <v>0</v>
      </c>
      <c r="G19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40" s="3" t="s">
        <v>2127</v>
      </c>
      <c r="K1940" s="1" t="s">
        <v>125</v>
      </c>
      <c r="L1940" s="1" t="s">
        <v>2</v>
      </c>
      <c r="M1940" s="1" t="s">
        <v>2</v>
      </c>
      <c r="O1940" s="2"/>
      <c r="P1940" s="2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</row>
    <row r="1941" spans="1:32" s="1" customFormat="1" ht="20.25" customHeight="1" x14ac:dyDescent="0.25">
      <c r="A1941" s="2"/>
      <c r="B1941" s="2"/>
      <c r="C1941" s="2"/>
      <c r="D1941" s="2">
        <f>COUNTIF(contact[[#This Row],[Bagossy]:[Szo
03:00 - 10:00]],"=~?")</f>
        <v>0</v>
      </c>
      <c r="E1941" s="2">
        <f>COUNTIF(contact[[#This Row],[Bagossy]:[Szo
03:00 - 10:00]],"=x")</f>
        <v>0</v>
      </c>
      <c r="F1941" s="2">
        <f>SUM(contact[[#This Row],[?]:[x]])</f>
        <v>0</v>
      </c>
      <c r="G19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41" s="3" t="s">
        <v>3008</v>
      </c>
      <c r="K1941" s="1" t="s">
        <v>601</v>
      </c>
      <c r="L1941" s="1" t="s">
        <v>2</v>
      </c>
      <c r="M1941" s="1" t="s">
        <v>2</v>
      </c>
      <c r="O1941" s="2"/>
      <c r="P1941" s="2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</row>
    <row r="1942" spans="1:32" s="1" customFormat="1" ht="20.25" customHeight="1" x14ac:dyDescent="0.25">
      <c r="A1942" s="2"/>
      <c r="B1942" s="2"/>
      <c r="C1942" s="2"/>
      <c r="D1942" s="2">
        <f>COUNTIF(contact[[#This Row],[Bagossy]:[Szo
03:00 - 10:00]],"=~?")</f>
        <v>0</v>
      </c>
      <c r="E1942" s="2">
        <f>COUNTIF(contact[[#This Row],[Bagossy]:[Szo
03:00 - 10:00]],"=x")</f>
        <v>0</v>
      </c>
      <c r="F1942" s="2">
        <f>SUM(contact[[#This Row],[?]:[x]])</f>
        <v>0</v>
      </c>
      <c r="G19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42" s="2"/>
      <c r="I1942" s="2"/>
      <c r="J1942" s="3" t="s">
        <v>3673</v>
      </c>
      <c r="K1942" s="1" t="s">
        <v>1696</v>
      </c>
      <c r="L1942" s="1" t="s">
        <v>2</v>
      </c>
      <c r="M1942" s="1" t="s">
        <v>2</v>
      </c>
      <c r="O1942" s="2"/>
      <c r="P1942" s="2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</row>
    <row r="1943" spans="1:32" s="1" customFormat="1" ht="20.25" customHeight="1" x14ac:dyDescent="0.25">
      <c r="A1943" s="2"/>
      <c r="B1943" s="2"/>
      <c r="C1943" s="2" t="s">
        <v>1285</v>
      </c>
      <c r="D1943" s="2">
        <f>COUNTIF(contact[[#This Row],[Bagossy]:[Szo
03:00 - 10:00]],"=~?")</f>
        <v>0</v>
      </c>
      <c r="E1943" s="2">
        <f>COUNTIF(contact[[#This Row],[Bagossy]:[Szo
03:00 - 10:00]],"=x")</f>
        <v>0</v>
      </c>
      <c r="F1943" s="2">
        <f>SUM(contact[[#This Row],[?]:[x]])</f>
        <v>0</v>
      </c>
      <c r="G19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43" s="2"/>
      <c r="I1943" s="2"/>
      <c r="J1943" s="3" t="s">
        <v>3677</v>
      </c>
      <c r="K1943" s="1" t="s">
        <v>22</v>
      </c>
      <c r="L1943" s="1" t="s">
        <v>2</v>
      </c>
      <c r="M1943" s="1" t="s">
        <v>2</v>
      </c>
      <c r="O1943" s="2"/>
      <c r="P1943" s="2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</row>
    <row r="1944" spans="1:32" s="1" customFormat="1" ht="20.25" customHeight="1" x14ac:dyDescent="0.25">
      <c r="A1944" s="2"/>
      <c r="B1944" s="2"/>
      <c r="C1944" s="2"/>
      <c r="D1944" s="2">
        <f>COUNTIF(contact[[#This Row],[Bagossy]:[Szo
03:00 - 10:00]],"=~?")</f>
        <v>0</v>
      </c>
      <c r="E1944" s="2">
        <f>COUNTIF(contact[[#This Row],[Bagossy]:[Szo
03:00 - 10:00]],"=x")</f>
        <v>0</v>
      </c>
      <c r="F1944" s="2">
        <f>SUM(contact[[#This Row],[?]:[x]])</f>
        <v>0</v>
      </c>
      <c r="G19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44" s="3" t="s">
        <v>1935</v>
      </c>
      <c r="K1944" s="1" t="s">
        <v>21</v>
      </c>
      <c r="L1944" s="1" t="s">
        <v>2</v>
      </c>
      <c r="M1944" s="1" t="s">
        <v>2</v>
      </c>
      <c r="O1944" s="2"/>
      <c r="P1944" s="2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</row>
    <row r="1945" spans="1:32" s="1" customFormat="1" ht="20.25" customHeight="1" x14ac:dyDescent="0.25">
      <c r="A1945" s="2" t="s">
        <v>1285</v>
      </c>
      <c r="B1945" s="2" t="s">
        <v>1285</v>
      </c>
      <c r="C1945" s="2" t="s">
        <v>1285</v>
      </c>
      <c r="D1945" s="2">
        <f>COUNTIF(contact[[#This Row],[Bagossy]:[Szo
03:00 - 10:00]],"=~?")</f>
        <v>0</v>
      </c>
      <c r="E1945" s="2">
        <f>COUNTIF(contact[[#This Row],[Bagossy]:[Szo
03:00 - 10:00]],"=x")</f>
        <v>0</v>
      </c>
      <c r="F1945" s="2">
        <f>SUM(contact[[#This Row],[?]:[x]])</f>
        <v>0</v>
      </c>
      <c r="G19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45" s="2"/>
      <c r="I1945" s="2"/>
      <c r="J1945" s="3" t="s">
        <v>3678</v>
      </c>
      <c r="K1945" s="1" t="s">
        <v>1697</v>
      </c>
      <c r="L1945" s="1" t="s">
        <v>2</v>
      </c>
      <c r="M1945" s="1" t="s">
        <v>2</v>
      </c>
      <c r="N1945" s="2" t="s">
        <v>4612</v>
      </c>
      <c r="O1945" s="2"/>
      <c r="P1945" s="2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</row>
    <row r="1946" spans="1:32" s="1" customFormat="1" ht="20.25" customHeight="1" x14ac:dyDescent="0.25">
      <c r="A1946" s="2"/>
      <c r="B1946" s="2"/>
      <c r="C1946" s="2"/>
      <c r="D1946" s="2">
        <f>COUNTIF(contact[[#This Row],[Bagossy]:[Szo
03:00 - 10:00]],"=~?")</f>
        <v>0</v>
      </c>
      <c r="E1946" s="2">
        <f>COUNTIF(contact[[#This Row],[Bagossy]:[Szo
03:00 - 10:00]],"=x")</f>
        <v>0</v>
      </c>
      <c r="F1946" s="2">
        <f>SUM(contact[[#This Row],[?]:[x]])</f>
        <v>0</v>
      </c>
      <c r="G19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46" s="3" t="s">
        <v>2239</v>
      </c>
      <c r="K1946" s="1" t="s">
        <v>1374</v>
      </c>
      <c r="L1946" s="1" t="s">
        <v>2</v>
      </c>
      <c r="M1946" s="1" t="s">
        <v>2</v>
      </c>
      <c r="O1946" s="2"/>
      <c r="P1946" s="2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</row>
    <row r="1947" spans="1:32" s="1" customFormat="1" ht="20.25" customHeight="1" x14ac:dyDescent="0.25">
      <c r="A1947" s="2"/>
      <c r="B1947" s="2"/>
      <c r="C1947" s="2"/>
      <c r="D1947" s="2">
        <f>COUNTIF(contact[[#This Row],[Bagossy]:[Szo
03:00 - 10:00]],"=~?")</f>
        <v>0</v>
      </c>
      <c r="E1947" s="2">
        <f>COUNTIF(contact[[#This Row],[Bagossy]:[Szo
03:00 - 10:00]],"=x")</f>
        <v>0</v>
      </c>
      <c r="F1947" s="2">
        <f>SUM(contact[[#This Row],[?]:[x]])</f>
        <v>0</v>
      </c>
      <c r="G19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47" s="3" t="s">
        <v>2270</v>
      </c>
      <c r="K1947" s="1" t="s">
        <v>218</v>
      </c>
      <c r="L1947" s="1" t="s">
        <v>2</v>
      </c>
      <c r="M1947" s="1" t="s">
        <v>2</v>
      </c>
      <c r="O1947" s="2"/>
      <c r="P1947" s="2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</row>
    <row r="1948" spans="1:32" s="1" customFormat="1" ht="20.25" customHeight="1" x14ac:dyDescent="0.25">
      <c r="A1948" s="2"/>
      <c r="B1948" s="2"/>
      <c r="C1948" s="2"/>
      <c r="D1948" s="2">
        <f>COUNTIF(contact[[#This Row],[Bagossy]:[Szo
03:00 - 10:00]],"=~?")</f>
        <v>0</v>
      </c>
      <c r="E1948" s="2">
        <f>COUNTIF(contact[[#This Row],[Bagossy]:[Szo
03:00 - 10:00]],"=x")</f>
        <v>0</v>
      </c>
      <c r="F1948" s="2">
        <f>SUM(contact[[#This Row],[?]:[x]])</f>
        <v>0</v>
      </c>
      <c r="G19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48" s="3" t="s">
        <v>2298</v>
      </c>
      <c r="K1948" s="1" t="s">
        <v>232</v>
      </c>
      <c r="L1948" s="1" t="s">
        <v>2</v>
      </c>
      <c r="M1948" s="1" t="s">
        <v>2</v>
      </c>
      <c r="O1948" s="2"/>
      <c r="P1948" s="2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</row>
    <row r="1949" spans="1:32" s="1" customFormat="1" ht="20.25" customHeight="1" x14ac:dyDescent="0.25">
      <c r="A1949" s="2"/>
      <c r="B1949" s="2"/>
      <c r="C1949" s="2"/>
      <c r="D1949" s="2">
        <f>COUNTIF(contact[[#This Row],[Bagossy]:[Szo
03:00 - 10:00]],"=~?")</f>
        <v>0</v>
      </c>
      <c r="E1949" s="2">
        <f>COUNTIF(contact[[#This Row],[Bagossy]:[Szo
03:00 - 10:00]],"=x")</f>
        <v>0</v>
      </c>
      <c r="F1949" s="2">
        <f>SUM(contact[[#This Row],[?]:[x]])</f>
        <v>0</v>
      </c>
      <c r="G19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49" s="2"/>
      <c r="I1949" s="2"/>
      <c r="J1949" s="3" t="s">
        <v>3681</v>
      </c>
      <c r="K1949" s="1" t="s">
        <v>236</v>
      </c>
      <c r="L1949" s="1" t="s">
        <v>2</v>
      </c>
      <c r="M1949" s="1" t="s">
        <v>2</v>
      </c>
      <c r="O1949" s="2"/>
      <c r="P1949" s="2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</row>
    <row r="1950" spans="1:32" s="1" customFormat="1" ht="20.25" customHeight="1" x14ac:dyDescent="0.25">
      <c r="A1950" s="2"/>
      <c r="B1950" s="2"/>
      <c r="C1950" s="2"/>
      <c r="D1950" s="2">
        <f>COUNTIF(contact[[#This Row],[Bagossy]:[Szo
03:00 - 10:00]],"=~?")</f>
        <v>0</v>
      </c>
      <c r="E1950" s="2">
        <f>COUNTIF(contact[[#This Row],[Bagossy]:[Szo
03:00 - 10:00]],"=x")</f>
        <v>0</v>
      </c>
      <c r="F1950" s="2">
        <f>SUM(contact[[#This Row],[?]:[x]])</f>
        <v>0</v>
      </c>
      <c r="G19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0" s="3" t="s">
        <v>2368</v>
      </c>
      <c r="K1950" s="1" t="s">
        <v>269</v>
      </c>
      <c r="L1950" s="1" t="s">
        <v>2</v>
      </c>
      <c r="M1950" s="1" t="s">
        <v>2</v>
      </c>
      <c r="O1950" s="2"/>
      <c r="P1950" s="2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</row>
    <row r="1951" spans="1:32" s="1" customFormat="1" ht="20.25" customHeight="1" x14ac:dyDescent="0.25">
      <c r="A1951" s="2"/>
      <c r="B1951" s="2"/>
      <c r="C1951" s="2"/>
      <c r="D1951" s="2">
        <f>COUNTIF(contact[[#This Row],[Bagossy]:[Szo
03:00 - 10:00]],"=~?")</f>
        <v>0</v>
      </c>
      <c r="E1951" s="2">
        <f>COUNTIF(contact[[#This Row],[Bagossy]:[Szo
03:00 - 10:00]],"=x")</f>
        <v>0</v>
      </c>
      <c r="F1951" s="2">
        <f>SUM(contact[[#This Row],[?]:[x]])</f>
        <v>0</v>
      </c>
      <c r="G19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1" s="3" t="s">
        <v>2388</v>
      </c>
      <c r="K1951" s="1" t="s">
        <v>1346</v>
      </c>
      <c r="L1951" s="1" t="s">
        <v>2</v>
      </c>
      <c r="M1951" s="1" t="s">
        <v>2</v>
      </c>
      <c r="O1951" s="2"/>
      <c r="P1951" s="2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</row>
    <row r="1952" spans="1:32" s="1" customFormat="1" ht="20.25" customHeight="1" x14ac:dyDescent="0.25">
      <c r="A1952" s="2"/>
      <c r="B1952" s="2"/>
      <c r="C1952" s="2"/>
      <c r="D1952" s="2">
        <f>COUNTIF(contact[[#This Row],[Bagossy]:[Szo
03:00 - 10:00]],"=~?")</f>
        <v>0</v>
      </c>
      <c r="E1952" s="2">
        <f>COUNTIF(contact[[#This Row],[Bagossy]:[Szo
03:00 - 10:00]],"=x")</f>
        <v>0</v>
      </c>
      <c r="F1952" s="2">
        <f>SUM(contact[[#This Row],[?]:[x]])</f>
        <v>0</v>
      </c>
      <c r="G19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2" s="3" t="s">
        <v>2452</v>
      </c>
      <c r="K1952" s="1" t="s">
        <v>1412</v>
      </c>
      <c r="L1952" s="1" t="s">
        <v>2</v>
      </c>
      <c r="M1952" s="1" t="s">
        <v>2</v>
      </c>
      <c r="O1952" s="2"/>
      <c r="P1952" s="2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</row>
    <row r="1953" spans="1:32" s="1" customFormat="1" ht="20.25" customHeight="1" x14ac:dyDescent="0.25">
      <c r="A1953" s="2"/>
      <c r="B1953" s="2"/>
      <c r="C1953" s="2"/>
      <c r="D1953" s="2">
        <f>COUNTIF(contact[[#This Row],[Bagossy]:[Szo
03:00 - 10:00]],"=~?")</f>
        <v>0</v>
      </c>
      <c r="E1953" s="2">
        <f>COUNTIF(contact[[#This Row],[Bagossy]:[Szo
03:00 - 10:00]],"=x")</f>
        <v>0</v>
      </c>
      <c r="F1953" s="2">
        <f>SUM(contact[[#This Row],[?]:[x]])</f>
        <v>0</v>
      </c>
      <c r="G19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3" s="3" t="s">
        <v>2540</v>
      </c>
      <c r="K1953" s="1" t="s">
        <v>364</v>
      </c>
      <c r="L1953" s="1" t="s">
        <v>2</v>
      </c>
      <c r="M1953" s="1" t="s">
        <v>2</v>
      </c>
      <c r="O1953" s="2"/>
      <c r="P1953" s="2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</row>
    <row r="1954" spans="1:32" s="1" customFormat="1" ht="20.25" customHeight="1" x14ac:dyDescent="0.25">
      <c r="A1954" s="2"/>
      <c r="B1954" s="2"/>
      <c r="C1954" s="2"/>
      <c r="D1954" s="2">
        <f>COUNTIF(contact[[#This Row],[Bagossy]:[Szo
03:00 - 10:00]],"=~?")</f>
        <v>0</v>
      </c>
      <c r="E1954" s="2">
        <f>COUNTIF(contact[[#This Row],[Bagossy]:[Szo
03:00 - 10:00]],"=x")</f>
        <v>0</v>
      </c>
      <c r="F1954" s="2">
        <f>SUM(contact[[#This Row],[?]:[x]])</f>
        <v>0</v>
      </c>
      <c r="G19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4" s="3" t="s">
        <v>3698</v>
      </c>
      <c r="K1954" s="1" t="s">
        <v>902</v>
      </c>
      <c r="L1954" s="1" t="s">
        <v>2</v>
      </c>
      <c r="M1954" s="1" t="s">
        <v>2</v>
      </c>
      <c r="O1954" s="2"/>
      <c r="P1954" s="2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</row>
    <row r="1955" spans="1:32" s="1" customFormat="1" ht="20.25" customHeight="1" x14ac:dyDescent="0.25">
      <c r="A1955" s="2"/>
      <c r="B1955" s="2"/>
      <c r="C1955" s="2"/>
      <c r="D1955" s="2">
        <f>COUNTIF(contact[[#This Row],[Bagossy]:[Szo
03:00 - 10:00]],"=~?")</f>
        <v>0</v>
      </c>
      <c r="E1955" s="2">
        <f>COUNTIF(contact[[#This Row],[Bagossy]:[Szo
03:00 - 10:00]],"=x")</f>
        <v>0</v>
      </c>
      <c r="F1955" s="2">
        <f>SUM(contact[[#This Row],[?]:[x]])</f>
        <v>0</v>
      </c>
      <c r="G19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5" s="3" t="s">
        <v>2772</v>
      </c>
      <c r="K1955" s="1" t="s">
        <v>1484</v>
      </c>
      <c r="L1955" s="1" t="s">
        <v>2</v>
      </c>
      <c r="M1955" s="1" t="s">
        <v>2</v>
      </c>
      <c r="O1955" s="2"/>
      <c r="P1955" s="2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</row>
    <row r="1956" spans="1:32" s="1" customFormat="1" ht="20.25" customHeight="1" x14ac:dyDescent="0.25">
      <c r="A1956" s="2"/>
      <c r="B1956" s="2"/>
      <c r="C1956" s="2"/>
      <c r="D1956" s="2">
        <f>COUNTIF(contact[[#This Row],[Bagossy]:[Szo
03:00 - 10:00]],"=~?")</f>
        <v>0</v>
      </c>
      <c r="E1956" s="2">
        <f>COUNTIF(contact[[#This Row],[Bagossy]:[Szo
03:00 - 10:00]],"=x")</f>
        <v>0</v>
      </c>
      <c r="F1956" s="2">
        <f>SUM(contact[[#This Row],[?]:[x]])</f>
        <v>0</v>
      </c>
      <c r="G19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6" s="3" t="s">
        <v>2863</v>
      </c>
      <c r="K1956" s="1" t="s">
        <v>533</v>
      </c>
      <c r="L1956" s="1" t="s">
        <v>2</v>
      </c>
      <c r="M1956" s="1" t="s">
        <v>2</v>
      </c>
      <c r="O1956" s="2"/>
      <c r="P1956" s="2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</row>
    <row r="1957" spans="1:32" s="1" customFormat="1" ht="20.25" customHeight="1" x14ac:dyDescent="0.25">
      <c r="A1957" s="2"/>
      <c r="B1957" s="2"/>
      <c r="C1957" s="2"/>
      <c r="D1957" s="2">
        <f>COUNTIF(contact[[#This Row],[Bagossy]:[Szo
03:00 - 10:00]],"=~?")</f>
        <v>0</v>
      </c>
      <c r="E1957" s="2">
        <f>COUNTIF(contact[[#This Row],[Bagossy]:[Szo
03:00 - 10:00]],"=x")</f>
        <v>0</v>
      </c>
      <c r="F1957" s="2">
        <f>SUM(contact[[#This Row],[?]:[x]])</f>
        <v>0</v>
      </c>
      <c r="G19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57" s="2"/>
      <c r="I1957" s="2"/>
      <c r="J1957" s="3" t="s">
        <v>3688</v>
      </c>
      <c r="K1957" s="1" t="s">
        <v>553</v>
      </c>
      <c r="L1957" s="1" t="s">
        <v>2</v>
      </c>
      <c r="M1957" s="1" t="s">
        <v>2</v>
      </c>
      <c r="O1957" s="2"/>
      <c r="P1957" s="2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</row>
    <row r="1958" spans="1:32" s="1" customFormat="1" ht="20.25" customHeight="1" x14ac:dyDescent="0.25">
      <c r="A1958" s="2"/>
      <c r="B1958" s="2"/>
      <c r="C1958" s="2"/>
      <c r="D1958" s="2">
        <f>COUNTIF(contact[[#This Row],[Bagossy]:[Szo
03:00 - 10:00]],"=~?")</f>
        <v>0</v>
      </c>
      <c r="E1958" s="2">
        <f>COUNTIF(contact[[#This Row],[Bagossy]:[Szo
03:00 - 10:00]],"=x")</f>
        <v>0</v>
      </c>
      <c r="F1958" s="2">
        <f>SUM(contact[[#This Row],[?]:[x]])</f>
        <v>0</v>
      </c>
      <c r="G19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8" s="3" t="s">
        <v>3014</v>
      </c>
      <c r="K1958" s="1" t="s">
        <v>1538</v>
      </c>
      <c r="L1958" s="1" t="s">
        <v>2</v>
      </c>
      <c r="M1958" s="1" t="s">
        <v>2</v>
      </c>
      <c r="O1958" s="2"/>
      <c r="P1958" s="2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</row>
    <row r="1959" spans="1:32" s="1" customFormat="1" ht="20.25" customHeight="1" x14ac:dyDescent="0.25">
      <c r="A1959" s="2"/>
      <c r="B1959" s="2"/>
      <c r="C1959" s="2"/>
      <c r="D1959" s="2">
        <f>COUNTIF(contact[[#This Row],[Bagossy]:[Szo
03:00 - 10:00]],"=~?")</f>
        <v>0</v>
      </c>
      <c r="E1959" s="2">
        <f>COUNTIF(contact[[#This Row],[Bagossy]:[Szo
03:00 - 10:00]],"=x")</f>
        <v>0</v>
      </c>
      <c r="F1959" s="2">
        <f>SUM(contact[[#This Row],[?]:[x]])</f>
        <v>0</v>
      </c>
      <c r="G19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59" s="3" t="s">
        <v>3042</v>
      </c>
      <c r="K1959" s="1" t="s">
        <v>1551</v>
      </c>
      <c r="L1959" s="1" t="s">
        <v>2</v>
      </c>
      <c r="M1959" s="1" t="s">
        <v>2</v>
      </c>
      <c r="O1959" s="2"/>
      <c r="P1959" s="2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</row>
    <row r="1960" spans="1:32" s="1" customFormat="1" ht="20.25" customHeight="1" x14ac:dyDescent="0.25">
      <c r="A1960" s="2"/>
      <c r="B1960" s="2"/>
      <c r="C1960" s="2"/>
      <c r="D1960" s="2">
        <f>COUNTIF(contact[[#This Row],[Bagossy]:[Szo
03:00 - 10:00]],"=~?")</f>
        <v>0</v>
      </c>
      <c r="E1960" s="2">
        <f>COUNTIF(contact[[#This Row],[Bagossy]:[Szo
03:00 - 10:00]],"=x")</f>
        <v>0</v>
      </c>
      <c r="F1960" s="2">
        <f>SUM(contact[[#This Row],[?]:[x]])</f>
        <v>0</v>
      </c>
      <c r="G19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60" s="2"/>
      <c r="I1960" s="2"/>
      <c r="J1960" s="3" t="s">
        <v>3689</v>
      </c>
      <c r="K1960" s="1" t="s">
        <v>371</v>
      </c>
      <c r="L1960" s="1" t="s">
        <v>2</v>
      </c>
      <c r="M1960" s="1" t="s">
        <v>2</v>
      </c>
      <c r="O1960" s="2"/>
      <c r="P1960" s="2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</row>
    <row r="1961" spans="1:32" s="1" customFormat="1" ht="20.25" customHeight="1" x14ac:dyDescent="0.25">
      <c r="A1961" s="2"/>
      <c r="B1961" s="2"/>
      <c r="C1961" s="2"/>
      <c r="D1961" s="2">
        <f>COUNTIF(contact[[#This Row],[Bagossy]:[Szo
03:00 - 10:00]],"=~?")</f>
        <v>0</v>
      </c>
      <c r="E1961" s="2">
        <f>COUNTIF(contact[[#This Row],[Bagossy]:[Szo
03:00 - 10:00]],"=x")</f>
        <v>0</v>
      </c>
      <c r="F1961" s="2">
        <f>SUM(contact[[#This Row],[?]:[x]])</f>
        <v>0</v>
      </c>
      <c r="G19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1" s="3" t="s">
        <v>3062</v>
      </c>
      <c r="K1961" s="1" t="s">
        <v>2</v>
      </c>
      <c r="L1961" s="1" t="s">
        <v>2</v>
      </c>
      <c r="M1961" s="1" t="s">
        <v>2</v>
      </c>
      <c r="O1961" s="2"/>
      <c r="P1961" s="2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</row>
    <row r="1962" spans="1:32" s="1" customFormat="1" ht="20.25" customHeight="1" x14ac:dyDescent="0.25">
      <c r="A1962" s="2"/>
      <c r="B1962" s="2"/>
      <c r="C1962" s="2"/>
      <c r="D1962" s="2">
        <f>COUNTIF(contact[[#This Row],[Bagossy]:[Szo
03:00 - 10:00]],"=~?")</f>
        <v>0</v>
      </c>
      <c r="E1962" s="2">
        <f>COUNTIF(contact[[#This Row],[Bagossy]:[Szo
03:00 - 10:00]],"=x")</f>
        <v>0</v>
      </c>
      <c r="F1962" s="2">
        <f>SUM(contact[[#This Row],[?]:[x]])</f>
        <v>0</v>
      </c>
      <c r="G19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2" s="3" t="s">
        <v>3101</v>
      </c>
      <c r="K1962" s="1" t="s">
        <v>644</v>
      </c>
      <c r="L1962" s="1" t="s">
        <v>2</v>
      </c>
      <c r="M1962" s="1" t="s">
        <v>2</v>
      </c>
      <c r="O1962" s="2"/>
      <c r="P1962" s="2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</row>
    <row r="1963" spans="1:32" s="1" customFormat="1" ht="20.25" customHeight="1" x14ac:dyDescent="0.25">
      <c r="A1963" s="2"/>
      <c r="B1963" s="2"/>
      <c r="C1963" s="2"/>
      <c r="D1963" s="2">
        <f>COUNTIF(contact[[#This Row],[Bagossy]:[Szo
03:00 - 10:00]],"=~?")</f>
        <v>0</v>
      </c>
      <c r="E1963" s="2">
        <f>COUNTIF(contact[[#This Row],[Bagossy]:[Szo
03:00 - 10:00]],"=x")</f>
        <v>0</v>
      </c>
      <c r="F1963" s="2">
        <f>SUM(contact[[#This Row],[?]:[x]])</f>
        <v>0</v>
      </c>
      <c r="G19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63" s="2"/>
      <c r="I1963" s="2"/>
      <c r="J1963" s="3" t="s">
        <v>3690</v>
      </c>
      <c r="K1963" s="1" t="s">
        <v>1699</v>
      </c>
      <c r="L1963" s="1" t="s">
        <v>2</v>
      </c>
      <c r="M1963" s="1" t="s">
        <v>2</v>
      </c>
      <c r="O1963" s="2"/>
      <c r="P1963" s="2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</row>
    <row r="1964" spans="1:32" s="1" customFormat="1" ht="20.25" customHeight="1" x14ac:dyDescent="0.25">
      <c r="A1964" s="2"/>
      <c r="B1964" s="2"/>
      <c r="C1964" s="2"/>
      <c r="D1964" s="2">
        <f>COUNTIF(contact[[#This Row],[Bagossy]:[Szo
03:00 - 10:00]],"=~?")</f>
        <v>0</v>
      </c>
      <c r="E1964" s="2">
        <f>COUNTIF(contact[[#This Row],[Bagossy]:[Szo
03:00 - 10:00]],"=x")</f>
        <v>0</v>
      </c>
      <c r="F1964" s="2">
        <f>SUM(contact[[#This Row],[?]:[x]])</f>
        <v>0</v>
      </c>
      <c r="G19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4" s="3" t="s">
        <v>3191</v>
      </c>
      <c r="K1964" s="1" t="s">
        <v>684</v>
      </c>
      <c r="L1964" s="1" t="s">
        <v>2</v>
      </c>
      <c r="M1964" s="1" t="s">
        <v>2</v>
      </c>
      <c r="O1964" s="2"/>
      <c r="P1964" s="2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</row>
    <row r="1965" spans="1:32" s="1" customFormat="1" ht="20.25" customHeight="1" x14ac:dyDescent="0.25">
      <c r="A1965" s="2"/>
      <c r="B1965" s="2"/>
      <c r="C1965" s="2"/>
      <c r="D1965" s="2">
        <f>COUNTIF(contact[[#This Row],[Bagossy]:[Szo
03:00 - 10:00]],"=~?")</f>
        <v>0</v>
      </c>
      <c r="E1965" s="2">
        <f>COUNTIF(contact[[#This Row],[Bagossy]:[Szo
03:00 - 10:00]],"=x")</f>
        <v>0</v>
      </c>
      <c r="F1965" s="2">
        <f>SUM(contact[[#This Row],[?]:[x]])</f>
        <v>0</v>
      </c>
      <c r="G19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5" s="3" t="s">
        <v>3229</v>
      </c>
      <c r="K1965" s="1" t="s">
        <v>2</v>
      </c>
      <c r="L1965" s="1" t="s">
        <v>2</v>
      </c>
      <c r="M1965" s="1" t="s">
        <v>2</v>
      </c>
      <c r="O1965" s="2"/>
      <c r="P1965" s="2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</row>
    <row r="1966" spans="1:32" s="1" customFormat="1" ht="20.25" customHeight="1" x14ac:dyDescent="0.25">
      <c r="A1966" s="2"/>
      <c r="B1966" s="2"/>
      <c r="C1966" s="2"/>
      <c r="D1966" s="2">
        <f>COUNTIF(contact[[#This Row],[Bagossy]:[Szo
03:00 - 10:00]],"=~?")</f>
        <v>0</v>
      </c>
      <c r="E1966" s="2">
        <f>COUNTIF(contact[[#This Row],[Bagossy]:[Szo
03:00 - 10:00]],"=x")</f>
        <v>0</v>
      </c>
      <c r="F1966" s="2">
        <f>SUM(contact[[#This Row],[?]:[x]])</f>
        <v>0</v>
      </c>
      <c r="G19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6" s="3" t="s">
        <v>3291</v>
      </c>
      <c r="K1966" s="1" t="s">
        <v>1613</v>
      </c>
      <c r="L1966" s="1" t="s">
        <v>2</v>
      </c>
      <c r="M1966" s="1" t="s">
        <v>2</v>
      </c>
      <c r="O1966" s="2"/>
      <c r="P1966" s="2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</row>
    <row r="1967" spans="1:32" s="1" customFormat="1" ht="20.25" customHeight="1" x14ac:dyDescent="0.25">
      <c r="A1967" s="2"/>
      <c r="B1967" s="2"/>
      <c r="C1967" s="2"/>
      <c r="D1967" s="2">
        <f>COUNTIF(contact[[#This Row],[Bagossy]:[Szo
03:00 - 10:00]],"=~?")</f>
        <v>0</v>
      </c>
      <c r="E1967" s="2">
        <f>COUNTIF(contact[[#This Row],[Bagossy]:[Szo
03:00 - 10:00]],"=x")</f>
        <v>0</v>
      </c>
      <c r="F1967" s="2">
        <f>SUM(contact[[#This Row],[?]:[x]])</f>
        <v>0</v>
      </c>
      <c r="G19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7" s="3" t="s">
        <v>3385</v>
      </c>
      <c r="K1967" s="1" t="s">
        <v>778</v>
      </c>
      <c r="L1967" s="1" t="s">
        <v>2</v>
      </c>
      <c r="M1967" s="1" t="s">
        <v>2</v>
      </c>
      <c r="O1967" s="2"/>
      <c r="P1967" s="2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</row>
    <row r="1968" spans="1:32" s="1" customFormat="1" ht="20.25" customHeight="1" x14ac:dyDescent="0.25">
      <c r="A1968" s="2"/>
      <c r="B1968" s="2"/>
      <c r="C1968" s="2"/>
      <c r="D1968" s="2">
        <f>COUNTIF(contact[[#This Row],[Bagossy]:[Szo
03:00 - 10:00]],"=~?")</f>
        <v>0</v>
      </c>
      <c r="E1968" s="2">
        <f>COUNTIF(contact[[#This Row],[Bagossy]:[Szo
03:00 - 10:00]],"=x")</f>
        <v>0</v>
      </c>
      <c r="F1968" s="2">
        <f>SUM(contact[[#This Row],[?]:[x]])</f>
        <v>0</v>
      </c>
      <c r="G19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68" s="3" t="s">
        <v>3422</v>
      </c>
      <c r="K1968" s="1" t="s">
        <v>2</v>
      </c>
      <c r="L1968" s="1" t="s">
        <v>2</v>
      </c>
      <c r="M1968" s="1" t="s">
        <v>2</v>
      </c>
      <c r="O1968" s="2"/>
      <c r="P1968" s="2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</row>
    <row r="1969" spans="1:32" s="1" customFormat="1" ht="20.25" customHeight="1" x14ac:dyDescent="0.25">
      <c r="A1969" s="2"/>
      <c r="B1969" s="2"/>
      <c r="C1969" s="2"/>
      <c r="D1969" s="2">
        <f>COUNTIF(contact[[#This Row],[Bagossy]:[Szo
03:00 - 10:00]],"=~?")</f>
        <v>0</v>
      </c>
      <c r="E1969" s="2">
        <f>COUNTIF(contact[[#This Row],[Bagossy]:[Szo
03:00 - 10:00]],"=x")</f>
        <v>0</v>
      </c>
      <c r="F1969" s="2">
        <f>SUM(contact[[#This Row],[?]:[x]])</f>
        <v>0</v>
      </c>
      <c r="G19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69" s="2"/>
      <c r="I1969" s="2"/>
      <c r="J1969" s="3" t="s">
        <v>3691</v>
      </c>
      <c r="K1969" s="1" t="s">
        <v>1700</v>
      </c>
      <c r="L1969" s="1" t="s">
        <v>2</v>
      </c>
      <c r="M1969" s="1" t="s">
        <v>2</v>
      </c>
      <c r="O1969" s="2"/>
      <c r="P1969" s="2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</row>
    <row r="1970" spans="1:32" s="1" customFormat="1" ht="20.25" customHeight="1" x14ac:dyDescent="0.25">
      <c r="A1970" s="2"/>
      <c r="B1970" s="2"/>
      <c r="C1970" s="2"/>
      <c r="D1970" s="2">
        <f>COUNTIF(contact[[#This Row],[Bagossy]:[Szo
03:00 - 10:00]],"=~?")</f>
        <v>0</v>
      </c>
      <c r="E1970" s="2">
        <f>COUNTIF(contact[[#This Row],[Bagossy]:[Szo
03:00 - 10:00]],"=x")</f>
        <v>0</v>
      </c>
      <c r="F1970" s="2">
        <f>SUM(contact[[#This Row],[?]:[x]])</f>
        <v>0</v>
      </c>
      <c r="G19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70" s="3" t="s">
        <v>3632</v>
      </c>
      <c r="K1970" s="1" t="s">
        <v>62</v>
      </c>
      <c r="L1970" s="1" t="s">
        <v>2</v>
      </c>
      <c r="M1970" s="1" t="s">
        <v>2</v>
      </c>
      <c r="O1970" s="2"/>
      <c r="P1970" s="2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</row>
    <row r="1971" spans="1:32" s="1" customFormat="1" ht="20.25" customHeight="1" x14ac:dyDescent="0.25">
      <c r="A1971" s="2"/>
      <c r="B1971" s="2"/>
      <c r="C1971" s="2" t="s">
        <v>1285</v>
      </c>
      <c r="D1971" s="2">
        <f>COUNTIF(contact[[#This Row],[Bagossy]:[Szo
03:00 - 10:00]],"=~?")</f>
        <v>0</v>
      </c>
      <c r="E1971" s="2">
        <f>COUNTIF(contact[[#This Row],[Bagossy]:[Szo
03:00 - 10:00]],"=x")</f>
        <v>0</v>
      </c>
      <c r="F1971" s="2">
        <f>SUM(contact[[#This Row],[?]:[x]])</f>
        <v>0</v>
      </c>
      <c r="G19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71" s="2"/>
      <c r="I1971" s="2"/>
      <c r="J1971" s="3" t="s">
        <v>3697</v>
      </c>
      <c r="K1971" s="1" t="s">
        <v>894</v>
      </c>
      <c r="L1971" s="1" t="s">
        <v>2</v>
      </c>
      <c r="M1971" s="1" t="s">
        <v>2</v>
      </c>
      <c r="O1971" s="2"/>
      <c r="P1971" s="2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</row>
    <row r="1972" spans="1:32" s="1" customFormat="1" ht="20.25" customHeight="1" x14ac:dyDescent="0.25">
      <c r="A1972" s="2"/>
      <c r="B1972" s="2"/>
      <c r="C1972" s="2"/>
      <c r="D1972" s="2">
        <f>COUNTIF(contact[[#This Row],[Bagossy]:[Szo
03:00 - 10:00]],"=~?")</f>
        <v>0</v>
      </c>
      <c r="E1972" s="2">
        <f>COUNTIF(contact[[#This Row],[Bagossy]:[Szo
03:00 - 10:00]],"=x")</f>
        <v>0</v>
      </c>
      <c r="F1972" s="2">
        <f>SUM(contact[[#This Row],[?]:[x]])</f>
        <v>0</v>
      </c>
      <c r="G19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72" s="3" t="s">
        <v>3778</v>
      </c>
      <c r="K1972" s="1" t="s">
        <v>942</v>
      </c>
      <c r="L1972" s="1" t="s">
        <v>2</v>
      </c>
      <c r="M1972" s="1" t="s">
        <v>2</v>
      </c>
      <c r="O1972" s="2"/>
      <c r="P1972" s="2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</row>
    <row r="1973" spans="1:32" s="1" customFormat="1" ht="20.25" customHeight="1" x14ac:dyDescent="0.25">
      <c r="A1973" s="2"/>
      <c r="B1973" s="2"/>
      <c r="C1973" s="2"/>
      <c r="D1973" s="2">
        <f>COUNTIF(contact[[#This Row],[Bagossy]:[Szo
03:00 - 10:00]],"=~?")</f>
        <v>0</v>
      </c>
      <c r="E1973" s="2">
        <f>COUNTIF(contact[[#This Row],[Bagossy]:[Szo
03:00 - 10:00]],"=x")</f>
        <v>0</v>
      </c>
      <c r="F1973" s="2">
        <f>SUM(contact[[#This Row],[?]:[x]])</f>
        <v>0</v>
      </c>
      <c r="G19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73" s="2"/>
      <c r="I1973" s="2"/>
      <c r="J1973" s="3" t="s">
        <v>3710</v>
      </c>
      <c r="K1973" s="1" t="s">
        <v>92</v>
      </c>
      <c r="L1973" s="1" t="s">
        <v>2</v>
      </c>
      <c r="M1973" s="1" t="s">
        <v>2</v>
      </c>
      <c r="O1973" s="2"/>
      <c r="P1973" s="2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</row>
    <row r="1974" spans="1:32" s="1" customFormat="1" ht="20.25" customHeight="1" x14ac:dyDescent="0.25">
      <c r="A1974" s="2"/>
      <c r="B1974" s="2"/>
      <c r="C1974" s="2"/>
      <c r="D1974" s="2">
        <f>COUNTIF(contact[[#This Row],[Bagossy]:[Szo
03:00 - 10:00]],"=~?")</f>
        <v>0</v>
      </c>
      <c r="E1974" s="2">
        <f>COUNTIF(contact[[#This Row],[Bagossy]:[Szo
03:00 - 10:00]],"=x")</f>
        <v>0</v>
      </c>
      <c r="F1974" s="2">
        <f>SUM(contact[[#This Row],[?]:[x]])</f>
        <v>0</v>
      </c>
      <c r="G19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74" s="3" t="s">
        <v>3957</v>
      </c>
      <c r="K1974" s="1" t="s">
        <v>1449</v>
      </c>
      <c r="L1974" s="1" t="s">
        <v>2</v>
      </c>
      <c r="M1974" s="1" t="s">
        <v>2</v>
      </c>
      <c r="O1974" s="2"/>
      <c r="P1974" s="2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</row>
    <row r="1975" spans="1:32" s="1" customFormat="1" ht="20.25" customHeight="1" x14ac:dyDescent="0.25">
      <c r="A1975" s="2"/>
      <c r="B1975" s="2"/>
      <c r="C1975" s="2"/>
      <c r="D1975" s="2">
        <f>COUNTIF(contact[[#This Row],[Bagossy]:[Szo
03:00 - 10:00]],"=~?")</f>
        <v>0</v>
      </c>
      <c r="E1975" s="2">
        <f>COUNTIF(contact[[#This Row],[Bagossy]:[Szo
03:00 - 10:00]],"=x")</f>
        <v>0</v>
      </c>
      <c r="F1975" s="2">
        <f>SUM(contact[[#This Row],[?]:[x]])</f>
        <v>0</v>
      </c>
      <c r="G19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75" s="3" t="s">
        <v>3966</v>
      </c>
      <c r="K1975" s="1" t="s">
        <v>1748</v>
      </c>
      <c r="L1975" s="1" t="s">
        <v>2</v>
      </c>
      <c r="M1975" s="1" t="s">
        <v>2</v>
      </c>
      <c r="O1975" s="2"/>
      <c r="P1975" s="2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</row>
    <row r="1976" spans="1:32" s="1" customFormat="1" ht="20.25" customHeight="1" x14ac:dyDescent="0.25">
      <c r="A1976" s="2"/>
      <c r="B1976" s="2"/>
      <c r="C1976" s="2"/>
      <c r="D1976" s="2">
        <f>COUNTIF(contact[[#This Row],[Bagossy]:[Szo
03:00 - 10:00]],"=~?")</f>
        <v>0</v>
      </c>
      <c r="E1976" s="2">
        <f>COUNTIF(contact[[#This Row],[Bagossy]:[Szo
03:00 - 10:00]],"=x")</f>
        <v>0</v>
      </c>
      <c r="F1976" s="2">
        <f>SUM(contact[[#This Row],[?]:[x]])</f>
        <v>0</v>
      </c>
      <c r="G19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76" s="2"/>
      <c r="I1976" s="2"/>
      <c r="J1976" s="3" t="s">
        <v>3717</v>
      </c>
      <c r="K1976" s="1" t="s">
        <v>1705</v>
      </c>
      <c r="L1976" s="1" t="s">
        <v>2</v>
      </c>
      <c r="M1976" s="1" t="s">
        <v>2</v>
      </c>
      <c r="O1976" s="2"/>
      <c r="P1976" s="2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</row>
    <row r="1977" spans="1:32" s="1" customFormat="1" ht="20.25" customHeight="1" x14ac:dyDescent="0.25">
      <c r="A1977" s="2"/>
      <c r="B1977" s="2"/>
      <c r="C1977" s="2"/>
      <c r="D1977" s="2">
        <f>COUNTIF(contact[[#This Row],[Bagossy]:[Szo
03:00 - 10:00]],"=~?")</f>
        <v>0</v>
      </c>
      <c r="E1977" s="2">
        <f>COUNTIF(contact[[#This Row],[Bagossy]:[Szo
03:00 - 10:00]],"=x")</f>
        <v>0</v>
      </c>
      <c r="F1977" s="2">
        <f>SUM(contact[[#This Row],[?]:[x]])</f>
        <v>0</v>
      </c>
      <c r="G19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77" s="2"/>
      <c r="I1977" s="2"/>
      <c r="J1977" s="3" t="s">
        <v>3739</v>
      </c>
      <c r="K1977" s="1" t="s">
        <v>1707</v>
      </c>
      <c r="L1977" s="1" t="s">
        <v>2</v>
      </c>
      <c r="M1977" s="1" t="s">
        <v>2</v>
      </c>
      <c r="O1977" s="2"/>
      <c r="P1977" s="2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</row>
    <row r="1978" spans="1:32" s="1" customFormat="1" ht="20.25" customHeight="1" x14ac:dyDescent="0.25">
      <c r="A1978" s="2"/>
      <c r="B1978" s="2"/>
      <c r="C1978" s="2"/>
      <c r="D1978" s="2">
        <f>COUNTIF(contact[[#This Row],[Bagossy]:[Szo
03:00 - 10:00]],"=~?")</f>
        <v>0</v>
      </c>
      <c r="E1978" s="2">
        <f>COUNTIF(contact[[#This Row],[Bagossy]:[Szo
03:00 - 10:00]],"=x")</f>
        <v>0</v>
      </c>
      <c r="F1978" s="2">
        <f>SUM(contact[[#This Row],[?]:[x]])</f>
        <v>0</v>
      </c>
      <c r="G19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78" s="3" t="s">
        <v>4054</v>
      </c>
      <c r="K1978" s="1" t="s">
        <v>2</v>
      </c>
      <c r="L1978" s="1" t="s">
        <v>2</v>
      </c>
      <c r="M1978" s="1" t="s">
        <v>2</v>
      </c>
      <c r="O1978" s="2"/>
      <c r="P1978" s="2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</row>
    <row r="1979" spans="1:32" s="1" customFormat="1" ht="20.25" customHeight="1" x14ac:dyDescent="0.25">
      <c r="A1979" s="2"/>
      <c r="B1979" s="2"/>
      <c r="C1979" s="2"/>
      <c r="D1979" s="2">
        <f>COUNTIF(contact[[#This Row],[Bagossy]:[Szo
03:00 - 10:00]],"=~?")</f>
        <v>0</v>
      </c>
      <c r="E1979" s="2">
        <f>COUNTIF(contact[[#This Row],[Bagossy]:[Szo
03:00 - 10:00]],"=x")</f>
        <v>0</v>
      </c>
      <c r="F1979" s="2">
        <f>SUM(contact[[#This Row],[?]:[x]])</f>
        <v>0</v>
      </c>
      <c r="G19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79" s="2"/>
      <c r="I1979" s="2"/>
      <c r="J1979" s="3" t="s">
        <v>3751</v>
      </c>
      <c r="K1979" s="1" t="s">
        <v>1091</v>
      </c>
      <c r="L1979" s="1" t="s">
        <v>2</v>
      </c>
      <c r="M1979" s="1" t="s">
        <v>2</v>
      </c>
      <c r="O1979" s="2"/>
      <c r="P1979" s="2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</row>
    <row r="1980" spans="1:32" s="1" customFormat="1" ht="20.25" customHeight="1" x14ac:dyDescent="0.25">
      <c r="A1980" s="2"/>
      <c r="B1980" s="2"/>
      <c r="C1980" s="2" t="s">
        <v>1285</v>
      </c>
      <c r="D1980" s="2">
        <f>COUNTIF(contact[[#This Row],[Bagossy]:[Szo
03:00 - 10:00]],"=~?")</f>
        <v>0</v>
      </c>
      <c r="E1980" s="2">
        <f>COUNTIF(contact[[#This Row],[Bagossy]:[Szo
03:00 - 10:00]],"=x")</f>
        <v>0</v>
      </c>
      <c r="F1980" s="2">
        <f>SUM(contact[[#This Row],[?]:[x]])</f>
        <v>0</v>
      </c>
      <c r="G19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80" s="2"/>
      <c r="I1980" s="2"/>
      <c r="J1980" s="3" t="s">
        <v>3776</v>
      </c>
      <c r="K1980" s="1" t="s">
        <v>1151</v>
      </c>
      <c r="L1980" s="1" t="s">
        <v>2</v>
      </c>
      <c r="M1980" s="1" t="s">
        <v>2</v>
      </c>
      <c r="O1980" s="2"/>
      <c r="P1980" s="2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</row>
    <row r="1981" spans="1:32" s="1" customFormat="1" ht="20.25" customHeight="1" x14ac:dyDescent="0.25">
      <c r="A1981" s="2"/>
      <c r="B1981" s="2"/>
      <c r="C1981" s="2"/>
      <c r="D1981" s="2">
        <f>COUNTIF(contact[[#This Row],[Bagossy]:[Szo
03:00 - 10:00]],"=~?")</f>
        <v>0</v>
      </c>
      <c r="E1981" s="2">
        <f>COUNTIF(contact[[#This Row],[Bagossy]:[Szo
03:00 - 10:00]],"=x")</f>
        <v>0</v>
      </c>
      <c r="F1981" s="2">
        <f>SUM(contact[[#This Row],[?]:[x]])</f>
        <v>0</v>
      </c>
      <c r="G19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81" s="2"/>
      <c r="I1981" s="2"/>
      <c r="J1981" s="3" t="s">
        <v>3776</v>
      </c>
      <c r="K1981" s="1" t="s">
        <v>1152</v>
      </c>
      <c r="L1981" s="1" t="s">
        <v>2</v>
      </c>
      <c r="M1981" s="1" t="s">
        <v>2</v>
      </c>
      <c r="O1981" s="2"/>
      <c r="P1981" s="2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</row>
    <row r="1982" spans="1:32" s="1" customFormat="1" ht="20.25" customHeight="1" x14ac:dyDescent="0.25">
      <c r="A1982" s="2"/>
      <c r="B1982" s="2"/>
      <c r="C1982" s="2"/>
      <c r="D1982" s="2">
        <f>COUNTIF(contact[[#This Row],[Bagossy]:[Szo
03:00 - 10:00]],"=~?")</f>
        <v>0</v>
      </c>
      <c r="E1982" s="2">
        <f>COUNTIF(contact[[#This Row],[Bagossy]:[Szo
03:00 - 10:00]],"=x")</f>
        <v>0</v>
      </c>
      <c r="F1982" s="2">
        <f>SUM(contact[[#This Row],[?]:[x]])</f>
        <v>0</v>
      </c>
      <c r="G19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82" s="2"/>
      <c r="I1982" s="2"/>
      <c r="J1982" s="3" t="s">
        <v>3777</v>
      </c>
      <c r="K1982" s="1" t="s">
        <v>1214</v>
      </c>
      <c r="L1982" s="1" t="s">
        <v>2</v>
      </c>
      <c r="M1982" s="1" t="s">
        <v>2</v>
      </c>
      <c r="O1982" s="2"/>
      <c r="P1982" s="2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</row>
    <row r="1983" spans="1:32" s="1" customFormat="1" ht="20.25" customHeight="1" x14ac:dyDescent="0.25">
      <c r="A1983" s="2"/>
      <c r="B1983" s="2"/>
      <c r="C1983" s="2"/>
      <c r="D1983" s="2">
        <f>COUNTIF(contact[[#This Row],[Bagossy]:[Szo
03:00 - 10:00]],"=~?")</f>
        <v>0</v>
      </c>
      <c r="E1983" s="2">
        <f>COUNTIF(contact[[#This Row],[Bagossy]:[Szo
03:00 - 10:00]],"=x")</f>
        <v>0</v>
      </c>
      <c r="F1983" s="2">
        <f>SUM(contact[[#This Row],[?]:[x]])</f>
        <v>0</v>
      </c>
      <c r="G19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83" s="3" t="s">
        <v>4419</v>
      </c>
      <c r="K1983" s="1" t="s">
        <v>2</v>
      </c>
      <c r="L1983" s="1" t="s">
        <v>2</v>
      </c>
      <c r="M1983" s="1" t="s">
        <v>2</v>
      </c>
      <c r="O1983" s="2"/>
      <c r="P1983" s="2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</row>
    <row r="1984" spans="1:32" s="1" customFormat="1" ht="20.25" customHeight="1" x14ac:dyDescent="0.25">
      <c r="A1984" s="2"/>
      <c r="B1984" s="2"/>
      <c r="C1984" s="2" t="s">
        <v>1285</v>
      </c>
      <c r="D1984" s="2">
        <f>COUNTIF(contact[[#This Row],[Bagossy]:[Szo
03:00 - 10:00]],"=~?")</f>
        <v>0</v>
      </c>
      <c r="E1984" s="2">
        <f>COUNTIF(contact[[#This Row],[Bagossy]:[Szo
03:00 - 10:00]],"=x")</f>
        <v>0</v>
      </c>
      <c r="F1984" s="2">
        <f>SUM(contact[[#This Row],[?]:[x]])</f>
        <v>0</v>
      </c>
      <c r="G19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84" s="2"/>
      <c r="I1984" s="2"/>
      <c r="J1984" s="3" t="s">
        <v>3784</v>
      </c>
      <c r="K1984" s="1" t="s">
        <v>1249</v>
      </c>
      <c r="L1984" s="1" t="s">
        <v>2</v>
      </c>
      <c r="M1984" s="1" t="s">
        <v>2</v>
      </c>
      <c r="O1984" s="2"/>
      <c r="P1984" s="2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</row>
    <row r="1985" spans="1:32" s="1" customFormat="1" ht="20.25" customHeight="1" x14ac:dyDescent="0.25">
      <c r="A1985" s="2"/>
      <c r="B1985" s="2"/>
      <c r="C1985" s="2"/>
      <c r="D1985" s="2">
        <f>COUNTIF(contact[[#This Row],[Bagossy]:[Szo
03:00 - 10:00]],"=~?")</f>
        <v>0</v>
      </c>
      <c r="E1985" s="2">
        <f>COUNTIF(contact[[#This Row],[Bagossy]:[Szo
03:00 - 10:00]],"=x")</f>
        <v>0</v>
      </c>
      <c r="F1985" s="2">
        <f>SUM(contact[[#This Row],[?]:[x]])</f>
        <v>0</v>
      </c>
      <c r="G19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85" s="3" t="s">
        <v>4584</v>
      </c>
      <c r="K1985" s="1" t="s">
        <v>1277</v>
      </c>
      <c r="L1985" s="1" t="s">
        <v>2</v>
      </c>
      <c r="M1985" s="1" t="s">
        <v>2</v>
      </c>
      <c r="O1985" s="2"/>
      <c r="P1985" s="2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</row>
    <row r="1986" spans="1:32" s="1" customFormat="1" ht="20.25" customHeight="1" x14ac:dyDescent="0.25">
      <c r="A1986" s="2"/>
      <c r="B1986" s="2"/>
      <c r="C1986" s="2"/>
      <c r="D1986" s="2">
        <f>COUNTIF(contact[[#This Row],[Bagossy]:[Szo
03:00 - 10:00]],"=~?")</f>
        <v>0</v>
      </c>
      <c r="E1986" s="2">
        <f>COUNTIF(contact[[#This Row],[Bagossy]:[Szo
03:00 - 10:00]],"=x")</f>
        <v>0</v>
      </c>
      <c r="F1986" s="2">
        <f>SUM(contact[[#This Row],[?]:[x]])</f>
        <v>0</v>
      </c>
      <c r="G19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86" s="3" t="s">
        <v>4584</v>
      </c>
      <c r="K1986" s="1" t="s">
        <v>1278</v>
      </c>
      <c r="L1986" s="1" t="s">
        <v>2</v>
      </c>
      <c r="M1986" s="1" t="s">
        <v>2</v>
      </c>
      <c r="O1986" s="2"/>
      <c r="P1986" s="2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</row>
    <row r="1987" spans="1:32" s="1" customFormat="1" ht="20.25" customHeight="1" x14ac:dyDescent="0.25">
      <c r="A1987" s="2"/>
      <c r="B1987" s="2"/>
      <c r="C1987" s="2"/>
      <c r="D1987" s="2">
        <f>COUNTIF(contact[[#This Row],[Bagossy]:[Szo
03:00 - 10:00]],"=~?")</f>
        <v>0</v>
      </c>
      <c r="E1987" s="2">
        <f>COUNTIF(contact[[#This Row],[Bagossy]:[Szo
03:00 - 10:00]],"=x")</f>
        <v>0</v>
      </c>
      <c r="F1987" s="2">
        <f>SUM(contact[[#This Row],[?]:[x]])</f>
        <v>0</v>
      </c>
      <c r="G19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87" s="3" t="s">
        <v>2355</v>
      </c>
      <c r="K1987" s="1" t="s">
        <v>1398</v>
      </c>
      <c r="L1987" s="1" t="s">
        <v>2</v>
      </c>
      <c r="M1987" s="1" t="s">
        <v>2</v>
      </c>
      <c r="O1987" s="2"/>
      <c r="P1987" s="2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</row>
    <row r="1988" spans="1:32" s="1" customFormat="1" ht="20.25" customHeight="1" x14ac:dyDescent="0.25">
      <c r="A1988" s="2"/>
      <c r="B1988" s="2"/>
      <c r="C1988" s="2"/>
      <c r="D1988" s="2">
        <f>COUNTIF(contact[[#This Row],[Bagossy]:[Szo
03:00 - 10:00]],"=~?")</f>
        <v>0</v>
      </c>
      <c r="E1988" s="2">
        <f>COUNTIF(contact[[#This Row],[Bagossy]:[Szo
03:00 - 10:00]],"=x")</f>
        <v>0</v>
      </c>
      <c r="F1988" s="2">
        <f>SUM(contact[[#This Row],[?]:[x]])</f>
        <v>0</v>
      </c>
      <c r="G19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88" s="3" t="s">
        <v>4474</v>
      </c>
      <c r="K1988" s="1" t="s">
        <v>1250</v>
      </c>
      <c r="L1988" s="1" t="s">
        <v>2</v>
      </c>
      <c r="M1988" s="1" t="s">
        <v>2</v>
      </c>
      <c r="O1988" s="2"/>
      <c r="P1988" s="2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</row>
    <row r="1989" spans="1:32" s="1" customFormat="1" ht="20.25" customHeight="1" x14ac:dyDescent="0.25">
      <c r="A1989" s="2"/>
      <c r="B1989" s="2"/>
      <c r="C1989" s="2"/>
      <c r="D1989" s="2">
        <f>COUNTIF(contact[[#This Row],[Bagossy]:[Szo
03:00 - 10:00]],"=~?")</f>
        <v>0</v>
      </c>
      <c r="E1989" s="2">
        <f>COUNTIF(contact[[#This Row],[Bagossy]:[Szo
03:00 - 10:00]],"=x")</f>
        <v>0</v>
      </c>
      <c r="F1989" s="2">
        <f>SUM(contact[[#This Row],[?]:[x]])</f>
        <v>0</v>
      </c>
      <c r="G19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89" s="3" t="s">
        <v>2589</v>
      </c>
      <c r="K1989" s="1" t="s">
        <v>1293</v>
      </c>
      <c r="L1989" s="1" t="s">
        <v>2</v>
      </c>
      <c r="M1989" s="1" t="s">
        <v>2</v>
      </c>
      <c r="O1989" s="2"/>
      <c r="P1989" s="2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</row>
    <row r="1990" spans="1:32" s="1" customFormat="1" ht="20.25" customHeight="1" x14ac:dyDescent="0.25">
      <c r="A1990" s="2"/>
      <c r="B1990" s="2"/>
      <c r="C1990" s="2"/>
      <c r="D1990" s="2">
        <f>COUNTIF(contact[[#This Row],[Bagossy]:[Szo
03:00 - 10:00]],"=~?")</f>
        <v>0</v>
      </c>
      <c r="E1990" s="2">
        <f>COUNTIF(contact[[#This Row],[Bagossy]:[Szo
03:00 - 10:00]],"=x")</f>
        <v>0</v>
      </c>
      <c r="F1990" s="2">
        <f>SUM(contact[[#This Row],[?]:[x]])</f>
        <v>0</v>
      </c>
      <c r="G19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0" s="3" t="s">
        <v>2759</v>
      </c>
      <c r="K1990" s="1" t="s">
        <v>478</v>
      </c>
      <c r="L1990" s="1" t="s">
        <v>2</v>
      </c>
      <c r="M1990" s="1" t="s">
        <v>2</v>
      </c>
      <c r="O1990" s="2"/>
      <c r="P1990" s="2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</row>
    <row r="1991" spans="1:32" s="1" customFormat="1" ht="20.25" customHeight="1" x14ac:dyDescent="0.25">
      <c r="A1991" s="2"/>
      <c r="B1991" s="2"/>
      <c r="C1991" s="2"/>
      <c r="D1991" s="2">
        <f>COUNTIF(contact[[#This Row],[Bagossy]:[Szo
03:00 - 10:00]],"=~?")</f>
        <v>0</v>
      </c>
      <c r="E1991" s="2">
        <f>COUNTIF(contact[[#This Row],[Bagossy]:[Szo
03:00 - 10:00]],"=x")</f>
        <v>0</v>
      </c>
      <c r="F1991" s="2">
        <f>SUM(contact[[#This Row],[?]:[x]])</f>
        <v>0</v>
      </c>
      <c r="G19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1" s="3" t="s">
        <v>3727</v>
      </c>
      <c r="K1991" s="1" t="s">
        <v>914</v>
      </c>
      <c r="L1991" s="1" t="s">
        <v>2</v>
      </c>
      <c r="M1991" s="1" t="s">
        <v>2</v>
      </c>
      <c r="O1991" s="2"/>
      <c r="P1991" s="2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</row>
    <row r="1992" spans="1:32" s="1" customFormat="1" ht="20.25" customHeight="1" x14ac:dyDescent="0.25">
      <c r="A1992" s="2"/>
      <c r="B1992" s="2"/>
      <c r="C1992" s="2"/>
      <c r="D1992" s="2">
        <f>COUNTIF(contact[[#This Row],[Bagossy]:[Szo
03:00 - 10:00]],"=~?")</f>
        <v>0</v>
      </c>
      <c r="E1992" s="2">
        <f>COUNTIF(contact[[#This Row],[Bagossy]:[Szo
03:00 - 10:00]],"=x")</f>
        <v>0</v>
      </c>
      <c r="F1992" s="2">
        <f>SUM(contact[[#This Row],[?]:[x]])</f>
        <v>0</v>
      </c>
      <c r="G19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2" s="3" t="s">
        <v>3029</v>
      </c>
      <c r="K1992" s="1" t="s">
        <v>607</v>
      </c>
      <c r="L1992" s="1" t="s">
        <v>2</v>
      </c>
      <c r="M1992" s="1" t="s">
        <v>2</v>
      </c>
      <c r="O1992" s="2"/>
      <c r="P1992" s="2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</row>
    <row r="1993" spans="1:32" s="1" customFormat="1" ht="20.25" customHeight="1" x14ac:dyDescent="0.25">
      <c r="A1993" s="2"/>
      <c r="B1993" s="2"/>
      <c r="C1993" s="2"/>
      <c r="D1993" s="2">
        <f>COUNTIF(contact[[#This Row],[Bagossy]:[Szo
03:00 - 10:00]],"=~?")</f>
        <v>0</v>
      </c>
      <c r="E1993" s="2">
        <f>COUNTIF(contact[[#This Row],[Bagossy]:[Szo
03:00 - 10:00]],"=x")</f>
        <v>0</v>
      </c>
      <c r="F1993" s="2">
        <f>SUM(contact[[#This Row],[?]:[x]])</f>
        <v>0</v>
      </c>
      <c r="G19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3" s="3" t="s">
        <v>2541</v>
      </c>
      <c r="K1993" s="1" t="s">
        <v>10</v>
      </c>
      <c r="L1993" s="1" t="s">
        <v>2</v>
      </c>
      <c r="M1993" s="1" t="s">
        <v>2</v>
      </c>
      <c r="O1993" s="2"/>
      <c r="P1993" s="2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</row>
    <row r="1994" spans="1:32" s="1" customFormat="1" ht="20.25" customHeight="1" x14ac:dyDescent="0.25">
      <c r="A1994" s="2"/>
      <c r="B1994" s="2"/>
      <c r="C1994" s="2"/>
      <c r="D1994" s="2">
        <f>COUNTIF(contact[[#This Row],[Bagossy]:[Szo
03:00 - 10:00]],"=~?")</f>
        <v>0</v>
      </c>
      <c r="E1994" s="2">
        <f>COUNTIF(contact[[#This Row],[Bagossy]:[Szo
03:00 - 10:00]],"=x")</f>
        <v>0</v>
      </c>
      <c r="F1994" s="2">
        <f>SUM(contact[[#This Row],[?]:[x]])</f>
        <v>0</v>
      </c>
      <c r="G19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4" s="3" t="s">
        <v>2240</v>
      </c>
      <c r="K1994" s="1" t="s">
        <v>199</v>
      </c>
      <c r="L1994" s="1" t="s">
        <v>2</v>
      </c>
      <c r="M1994" s="1" t="s">
        <v>2</v>
      </c>
      <c r="O1994" s="2"/>
      <c r="P1994" s="2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</row>
    <row r="1995" spans="1:32" s="1" customFormat="1" ht="20.25" customHeight="1" x14ac:dyDescent="0.25">
      <c r="A1995" s="2"/>
      <c r="B1995" s="2"/>
      <c r="C1995" s="2"/>
      <c r="D1995" s="2">
        <f>COUNTIF(contact[[#This Row],[Bagossy]:[Szo
03:00 - 10:00]],"=~?")</f>
        <v>0</v>
      </c>
      <c r="E1995" s="2">
        <f>COUNTIF(contact[[#This Row],[Bagossy]:[Szo
03:00 - 10:00]],"=x")</f>
        <v>0</v>
      </c>
      <c r="F1995" s="2">
        <f>SUM(contact[[#This Row],[?]:[x]])</f>
        <v>0</v>
      </c>
      <c r="G19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5" s="3" t="s">
        <v>2773</v>
      </c>
      <c r="K1995" s="1" t="s">
        <v>1327</v>
      </c>
      <c r="L1995" s="1" t="s">
        <v>2</v>
      </c>
      <c r="M1995" s="1" t="s">
        <v>2</v>
      </c>
      <c r="O1995" s="2"/>
      <c r="P1995" s="2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</row>
    <row r="1996" spans="1:32" s="1" customFormat="1" ht="20.25" customHeight="1" x14ac:dyDescent="0.25">
      <c r="A1996" s="2"/>
      <c r="B1996" s="2"/>
      <c r="C1996" s="2"/>
      <c r="D1996" s="2">
        <f>COUNTIF(contact[[#This Row],[Bagossy]:[Szo
03:00 - 10:00]],"=~?")</f>
        <v>0</v>
      </c>
      <c r="E1996" s="2">
        <f>COUNTIF(contact[[#This Row],[Bagossy]:[Szo
03:00 - 10:00]],"=x")</f>
        <v>0</v>
      </c>
      <c r="F1996" s="2">
        <f>SUM(contact[[#This Row],[?]:[x]])</f>
        <v>0</v>
      </c>
      <c r="G19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6" s="3" t="s">
        <v>3260</v>
      </c>
      <c r="K1996" s="1" t="s">
        <v>721</v>
      </c>
      <c r="L1996" s="1" t="s">
        <v>2</v>
      </c>
      <c r="M1996" s="1" t="s">
        <v>2</v>
      </c>
      <c r="O1996" s="2"/>
      <c r="P1996" s="2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</row>
    <row r="1997" spans="1:32" s="1" customFormat="1" ht="20.25" customHeight="1" x14ac:dyDescent="0.25">
      <c r="A1997" s="2"/>
      <c r="B1997" s="2"/>
      <c r="C1997" s="2" t="s">
        <v>1285</v>
      </c>
      <c r="D1997" s="2">
        <f>COUNTIF(contact[[#This Row],[Bagossy]:[Szo
03:00 - 10:00]],"=~?")</f>
        <v>0</v>
      </c>
      <c r="E1997" s="2">
        <f>COUNTIF(contact[[#This Row],[Bagossy]:[Szo
03:00 - 10:00]],"=x")</f>
        <v>0</v>
      </c>
      <c r="F1997" s="2">
        <f>SUM(contact[[#This Row],[?]:[x]])</f>
        <v>0</v>
      </c>
      <c r="G19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97" s="2"/>
      <c r="I1997" s="2"/>
      <c r="J1997" s="3" t="s">
        <v>3786</v>
      </c>
      <c r="K1997" s="1" t="s">
        <v>1712</v>
      </c>
      <c r="L1997" s="1" t="s">
        <v>2</v>
      </c>
      <c r="M1997" s="1" t="s">
        <v>2</v>
      </c>
      <c r="O1997" s="2"/>
      <c r="P1997" s="2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</row>
    <row r="1998" spans="1:32" s="1" customFormat="1" ht="20.25" customHeight="1" x14ac:dyDescent="0.25">
      <c r="A1998" s="2"/>
      <c r="B1998" s="2"/>
      <c r="C1998" s="2"/>
      <c r="D1998" s="2">
        <f>COUNTIF(contact[[#This Row],[Bagossy]:[Szo
03:00 - 10:00]],"=~?")</f>
        <v>0</v>
      </c>
      <c r="E1998" s="2">
        <f>COUNTIF(contact[[#This Row],[Bagossy]:[Szo
03:00 - 10:00]],"=x")</f>
        <v>0</v>
      </c>
      <c r="F1998" s="2">
        <f>SUM(contact[[#This Row],[?]:[x]])</f>
        <v>0</v>
      </c>
      <c r="G19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1998" s="2"/>
      <c r="I1998" s="2"/>
      <c r="J1998" s="3" t="s">
        <v>3789</v>
      </c>
      <c r="K1998" s="1" t="s">
        <v>172</v>
      </c>
      <c r="L1998" s="1" t="s">
        <v>2</v>
      </c>
      <c r="M1998" s="1" t="s">
        <v>2</v>
      </c>
      <c r="O1998" s="2"/>
      <c r="P1998" s="2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</row>
    <row r="1999" spans="1:32" s="1" customFormat="1" ht="20.25" customHeight="1" x14ac:dyDescent="0.25">
      <c r="A1999" s="2"/>
      <c r="B1999" s="2"/>
      <c r="C1999" s="2"/>
      <c r="D1999" s="2">
        <f>COUNTIF(contact[[#This Row],[Bagossy]:[Szo
03:00 - 10:00]],"=~?")</f>
        <v>0</v>
      </c>
      <c r="E1999" s="2">
        <f>COUNTIF(contact[[#This Row],[Bagossy]:[Szo
03:00 - 10:00]],"=x")</f>
        <v>0</v>
      </c>
      <c r="F1999" s="2">
        <f>SUM(contact[[#This Row],[?]:[x]])</f>
        <v>0</v>
      </c>
      <c r="G19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1999" s="3" t="s">
        <v>3330</v>
      </c>
      <c r="K1999" s="1" t="s">
        <v>2</v>
      </c>
      <c r="L1999" s="1" t="s">
        <v>2</v>
      </c>
      <c r="M1999" s="1" t="s">
        <v>2</v>
      </c>
      <c r="O1999" s="2"/>
      <c r="P1999" s="2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</row>
    <row r="2000" spans="1:32" s="1" customFormat="1" ht="20.25" customHeight="1" x14ac:dyDescent="0.25">
      <c r="A2000" s="2"/>
      <c r="B2000" s="2"/>
      <c r="C2000" s="2"/>
      <c r="D2000" s="2">
        <f>COUNTIF(contact[[#This Row],[Bagossy]:[Szo
03:00 - 10:00]],"=~?")</f>
        <v>0</v>
      </c>
      <c r="E2000" s="2">
        <f>COUNTIF(contact[[#This Row],[Bagossy]:[Szo
03:00 - 10:00]],"=x")</f>
        <v>0</v>
      </c>
      <c r="F2000" s="2">
        <f>SUM(contact[[#This Row],[?]:[x]])</f>
        <v>0</v>
      </c>
      <c r="G20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0" s="3" t="s">
        <v>4041</v>
      </c>
      <c r="K2000" s="1" t="s">
        <v>1076</v>
      </c>
      <c r="L2000" s="1" t="s">
        <v>2</v>
      </c>
      <c r="M2000" s="1" t="s">
        <v>2</v>
      </c>
      <c r="O2000" s="2"/>
      <c r="P2000" s="2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</row>
    <row r="2001" spans="1:32" s="1" customFormat="1" ht="20.25" customHeight="1" x14ac:dyDescent="0.25">
      <c r="A2001" s="2"/>
      <c r="B2001" s="2"/>
      <c r="C2001" s="2"/>
      <c r="D2001" s="2">
        <f>COUNTIF(contact[[#This Row],[Bagossy]:[Szo
03:00 - 10:00]],"=~?")</f>
        <v>0</v>
      </c>
      <c r="E2001" s="2">
        <f>COUNTIF(contact[[#This Row],[Bagossy]:[Szo
03:00 - 10:00]],"=x")</f>
        <v>0</v>
      </c>
      <c r="F2001" s="2">
        <f>SUM(contact[[#This Row],[?]:[x]])</f>
        <v>0</v>
      </c>
      <c r="G20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1" s="3" t="s">
        <v>4075</v>
      </c>
      <c r="K2001" s="1" t="s">
        <v>2</v>
      </c>
      <c r="L2001" s="1" t="s">
        <v>2</v>
      </c>
      <c r="M2001" s="1" t="s">
        <v>2</v>
      </c>
      <c r="O2001" s="2"/>
      <c r="P2001" s="2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</row>
    <row r="2002" spans="1:32" s="1" customFormat="1" ht="20.25" customHeight="1" x14ac:dyDescent="0.25">
      <c r="A2002" s="2"/>
      <c r="B2002" s="2"/>
      <c r="C2002" s="2"/>
      <c r="D2002" s="2">
        <f>COUNTIF(contact[[#This Row],[Bagossy]:[Szo
03:00 - 10:00]],"=~?")</f>
        <v>0</v>
      </c>
      <c r="E2002" s="2">
        <f>COUNTIF(contact[[#This Row],[Bagossy]:[Szo
03:00 - 10:00]],"=x")</f>
        <v>0</v>
      </c>
      <c r="F2002" s="2">
        <f>SUM(contact[[#This Row],[?]:[x]])</f>
        <v>0</v>
      </c>
      <c r="G20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2" s="3" t="s">
        <v>2356</v>
      </c>
      <c r="K2002" s="1" t="s">
        <v>2</v>
      </c>
      <c r="L2002" s="1" t="s">
        <v>2</v>
      </c>
      <c r="M2002" s="1" t="s">
        <v>2</v>
      </c>
      <c r="O2002" s="2"/>
      <c r="P2002" s="2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</row>
    <row r="2003" spans="1:32" s="1" customFormat="1" ht="20.25" customHeight="1" x14ac:dyDescent="0.25">
      <c r="A2003" s="2"/>
      <c r="B2003" s="2"/>
      <c r="C2003" s="2"/>
      <c r="D2003" s="2">
        <f>COUNTIF(contact[[#This Row],[Bagossy]:[Szo
03:00 - 10:00]],"=~?")</f>
        <v>0</v>
      </c>
      <c r="E2003" s="2">
        <f>COUNTIF(contact[[#This Row],[Bagossy]:[Szo
03:00 - 10:00]],"=x")</f>
        <v>0</v>
      </c>
      <c r="F2003" s="2">
        <f>SUM(contact[[#This Row],[?]:[x]])</f>
        <v>0</v>
      </c>
      <c r="G20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3" s="3" t="s">
        <v>2453</v>
      </c>
      <c r="K2003" s="1" t="s">
        <v>1413</v>
      </c>
      <c r="L2003" s="1" t="s">
        <v>2</v>
      </c>
      <c r="M2003" s="1" t="s">
        <v>2</v>
      </c>
      <c r="O2003" s="2"/>
      <c r="P2003" s="2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</row>
    <row r="2004" spans="1:32" s="1" customFormat="1" ht="20.25" customHeight="1" x14ac:dyDescent="0.25">
      <c r="A2004" s="2"/>
      <c r="B2004" s="2"/>
      <c r="C2004" s="2"/>
      <c r="D2004" s="2">
        <f>COUNTIF(contact[[#This Row],[Bagossy]:[Szo
03:00 - 10:00]],"=~?")</f>
        <v>0</v>
      </c>
      <c r="E2004" s="2">
        <f>COUNTIF(contact[[#This Row],[Bagossy]:[Szo
03:00 - 10:00]],"=x")</f>
        <v>0</v>
      </c>
      <c r="F2004" s="2">
        <f>SUM(contact[[#This Row],[?]:[x]])</f>
        <v>0</v>
      </c>
      <c r="G20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4" s="3" t="s">
        <v>2542</v>
      </c>
      <c r="K2004" s="1" t="s">
        <v>1441</v>
      </c>
      <c r="L2004" s="1" t="s">
        <v>2</v>
      </c>
      <c r="M2004" s="1" t="s">
        <v>2</v>
      </c>
      <c r="O2004" s="2"/>
      <c r="P2004" s="2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</row>
    <row r="2005" spans="1:32" s="1" customFormat="1" ht="20.25" customHeight="1" x14ac:dyDescent="0.25">
      <c r="A2005" s="2"/>
      <c r="B2005" s="2"/>
      <c r="C2005" s="2"/>
      <c r="D2005" s="2">
        <f>COUNTIF(contact[[#This Row],[Bagossy]:[Szo
03:00 - 10:00]],"=~?")</f>
        <v>0</v>
      </c>
      <c r="E2005" s="2">
        <f>COUNTIF(contact[[#This Row],[Bagossy]:[Szo
03:00 - 10:00]],"=x")</f>
        <v>0</v>
      </c>
      <c r="F2005" s="2">
        <f>SUM(contact[[#This Row],[?]:[x]])</f>
        <v>0</v>
      </c>
      <c r="G20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5" s="3" t="s">
        <v>2895</v>
      </c>
      <c r="K2005" s="1" t="s">
        <v>545</v>
      </c>
      <c r="L2005" s="1" t="s">
        <v>2</v>
      </c>
      <c r="M2005" s="1" t="s">
        <v>2</v>
      </c>
      <c r="O2005" s="2"/>
      <c r="P2005" s="2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</row>
    <row r="2006" spans="1:32" s="1" customFormat="1" ht="20.25" customHeight="1" x14ac:dyDescent="0.25">
      <c r="A2006" s="2"/>
      <c r="B2006" s="2"/>
      <c r="C2006" s="2"/>
      <c r="D2006" s="2">
        <f>COUNTIF(contact[[#This Row],[Bagossy]:[Szo
03:00 - 10:00]],"=~?")</f>
        <v>0</v>
      </c>
      <c r="E2006" s="2">
        <f>COUNTIF(contact[[#This Row],[Bagossy]:[Szo
03:00 - 10:00]],"=x")</f>
        <v>0</v>
      </c>
      <c r="F2006" s="2">
        <f>SUM(contact[[#This Row],[?]:[x]])</f>
        <v>0</v>
      </c>
      <c r="G20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6" s="3" t="s">
        <v>2957</v>
      </c>
      <c r="K2006" s="1" t="s">
        <v>78</v>
      </c>
      <c r="L2006" s="1" t="s">
        <v>2</v>
      </c>
      <c r="M2006" s="1" t="s">
        <v>2</v>
      </c>
      <c r="O2006" s="2"/>
      <c r="P2006" s="2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</row>
    <row r="2007" spans="1:32" s="1" customFormat="1" ht="20.25" customHeight="1" x14ac:dyDescent="0.25">
      <c r="A2007" s="2"/>
      <c r="B2007" s="2"/>
      <c r="C2007" s="2"/>
      <c r="D2007" s="2">
        <f>COUNTIF(contact[[#This Row],[Bagossy]:[Szo
03:00 - 10:00]],"=~?")</f>
        <v>0</v>
      </c>
      <c r="E2007" s="2">
        <f>COUNTIF(contact[[#This Row],[Bagossy]:[Szo
03:00 - 10:00]],"=x")</f>
        <v>0</v>
      </c>
      <c r="F2007" s="2">
        <f>SUM(contact[[#This Row],[?]:[x]])</f>
        <v>0</v>
      </c>
      <c r="G20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07" s="2"/>
      <c r="I2007" s="2"/>
      <c r="J2007" s="3" t="s">
        <v>3790</v>
      </c>
      <c r="K2007" s="1" t="s">
        <v>1713</v>
      </c>
      <c r="L2007" s="1" t="s">
        <v>2</v>
      </c>
      <c r="M2007" s="1" t="s">
        <v>2</v>
      </c>
      <c r="O2007" s="2"/>
      <c r="P2007" s="2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</row>
    <row r="2008" spans="1:32" s="1" customFormat="1" ht="20.25" customHeight="1" x14ac:dyDescent="0.25">
      <c r="A2008" s="2"/>
      <c r="B2008" s="2"/>
      <c r="C2008" s="2"/>
      <c r="D2008" s="2">
        <f>COUNTIF(contact[[#This Row],[Bagossy]:[Szo
03:00 - 10:00]],"=~?")</f>
        <v>0</v>
      </c>
      <c r="E2008" s="2">
        <f>COUNTIF(contact[[#This Row],[Bagossy]:[Szo
03:00 - 10:00]],"=x")</f>
        <v>0</v>
      </c>
      <c r="F2008" s="2">
        <f>SUM(contact[[#This Row],[?]:[x]])</f>
        <v>0</v>
      </c>
      <c r="G20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8" s="3" t="s">
        <v>3311</v>
      </c>
      <c r="K2008" s="1" t="s">
        <v>2</v>
      </c>
      <c r="L2008" s="1" t="s">
        <v>2</v>
      </c>
      <c r="M2008" s="1" t="s">
        <v>2</v>
      </c>
      <c r="O2008" s="2"/>
      <c r="P2008" s="2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</row>
    <row r="2009" spans="1:32" s="1" customFormat="1" ht="20.25" customHeight="1" x14ac:dyDescent="0.25">
      <c r="A2009" s="2"/>
      <c r="B2009" s="2"/>
      <c r="C2009" s="2"/>
      <c r="D2009" s="2">
        <f>COUNTIF(contact[[#This Row],[Bagossy]:[Szo
03:00 - 10:00]],"=~?")</f>
        <v>0</v>
      </c>
      <c r="E2009" s="2">
        <f>COUNTIF(contact[[#This Row],[Bagossy]:[Szo
03:00 - 10:00]],"=x")</f>
        <v>0</v>
      </c>
      <c r="F2009" s="2">
        <f>SUM(contact[[#This Row],[?]:[x]])</f>
        <v>0</v>
      </c>
      <c r="G20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09" s="3" t="s">
        <v>3541</v>
      </c>
      <c r="K2009" s="1" t="s">
        <v>836</v>
      </c>
      <c r="L2009" s="1" t="s">
        <v>2</v>
      </c>
      <c r="M2009" s="1" t="s">
        <v>2</v>
      </c>
      <c r="O2009" s="2"/>
      <c r="P2009" s="2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</row>
    <row r="2010" spans="1:32" s="1" customFormat="1" ht="20.25" customHeight="1" x14ac:dyDescent="0.25">
      <c r="A2010" s="2"/>
      <c r="B2010" s="2"/>
      <c r="C2010" s="2"/>
      <c r="D2010" s="2">
        <f>COUNTIF(contact[[#This Row],[Bagossy]:[Szo
03:00 - 10:00]],"=~?")</f>
        <v>0</v>
      </c>
      <c r="E2010" s="2">
        <f>COUNTIF(contact[[#This Row],[Bagossy]:[Szo
03:00 - 10:00]],"=x")</f>
        <v>0</v>
      </c>
      <c r="F2010" s="2">
        <f>SUM(contact[[#This Row],[?]:[x]])</f>
        <v>0</v>
      </c>
      <c r="G20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0" s="3" t="s">
        <v>4495</v>
      </c>
      <c r="K2010" s="1" t="s">
        <v>1313</v>
      </c>
      <c r="L2010" s="1" t="s">
        <v>2</v>
      </c>
      <c r="M2010" s="1" t="s">
        <v>2</v>
      </c>
      <c r="O2010" s="2"/>
      <c r="P2010" s="2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</row>
    <row r="2011" spans="1:32" s="1" customFormat="1" ht="20.25" customHeight="1" x14ac:dyDescent="0.25">
      <c r="A2011" s="2"/>
      <c r="B2011" s="2"/>
      <c r="C2011" s="2"/>
      <c r="D2011" s="2">
        <f>COUNTIF(contact[[#This Row],[Bagossy]:[Szo
03:00 - 10:00]],"=~?")</f>
        <v>0</v>
      </c>
      <c r="E2011" s="2">
        <f>COUNTIF(contact[[#This Row],[Bagossy]:[Szo
03:00 - 10:00]],"=x")</f>
        <v>0</v>
      </c>
      <c r="F2011" s="2">
        <f>SUM(contact[[#This Row],[?]:[x]])</f>
        <v>0</v>
      </c>
      <c r="G20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1" s="3" t="s">
        <v>917</v>
      </c>
      <c r="K2011" s="1" t="s">
        <v>2</v>
      </c>
      <c r="L2011" s="1" t="s">
        <v>2</v>
      </c>
      <c r="M2011" s="1" t="s">
        <v>2</v>
      </c>
      <c r="O2011" s="2"/>
      <c r="P2011" s="2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</row>
    <row r="2012" spans="1:32" s="1" customFormat="1" ht="20.25" customHeight="1" x14ac:dyDescent="0.25">
      <c r="A2012" s="2"/>
      <c r="B2012" s="2"/>
      <c r="C2012" s="2"/>
      <c r="D2012" s="2">
        <f>COUNTIF(contact[[#This Row],[Bagossy]:[Szo
03:00 - 10:00]],"=~?")</f>
        <v>0</v>
      </c>
      <c r="E2012" s="2">
        <f>COUNTIF(contact[[#This Row],[Bagossy]:[Szo
03:00 - 10:00]],"=x")</f>
        <v>0</v>
      </c>
      <c r="F2012" s="2">
        <f>SUM(contact[[#This Row],[?]:[x]])</f>
        <v>0</v>
      </c>
      <c r="G20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2" s="3" t="s">
        <v>918</v>
      </c>
      <c r="K2012" s="1" t="s">
        <v>2</v>
      </c>
      <c r="L2012" s="1" t="s">
        <v>2</v>
      </c>
      <c r="M2012" s="1" t="s">
        <v>2</v>
      </c>
      <c r="O2012" s="2"/>
      <c r="P2012" s="2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</row>
    <row r="2013" spans="1:32" s="1" customFormat="1" ht="20.25" customHeight="1" x14ac:dyDescent="0.25">
      <c r="A2013" s="2"/>
      <c r="B2013" s="2"/>
      <c r="C2013" s="2"/>
      <c r="D2013" s="2">
        <f>COUNTIF(contact[[#This Row],[Bagossy]:[Szo
03:00 - 10:00]],"=~?")</f>
        <v>0</v>
      </c>
      <c r="E2013" s="2">
        <f>COUNTIF(contact[[#This Row],[Bagossy]:[Szo
03:00 - 10:00]],"=x")</f>
        <v>0</v>
      </c>
      <c r="F2013" s="2">
        <f>SUM(contact[[#This Row],[?]:[x]])</f>
        <v>0</v>
      </c>
      <c r="G20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3" s="3" t="s">
        <v>2632</v>
      </c>
      <c r="K2013" s="1" t="s">
        <v>2</v>
      </c>
      <c r="L2013" s="1" t="s">
        <v>2</v>
      </c>
      <c r="M2013" s="1" t="s">
        <v>2</v>
      </c>
      <c r="O2013" s="2"/>
      <c r="P2013" s="2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</row>
    <row r="2014" spans="1:32" s="1" customFormat="1" ht="20.25" customHeight="1" x14ac:dyDescent="0.25">
      <c r="A2014" s="2"/>
      <c r="B2014" s="2"/>
      <c r="C2014" s="2"/>
      <c r="D2014" s="2">
        <f>COUNTIF(contact[[#This Row],[Bagossy]:[Szo
03:00 - 10:00]],"=~?")</f>
        <v>0</v>
      </c>
      <c r="E2014" s="2">
        <f>COUNTIF(contact[[#This Row],[Bagossy]:[Szo
03:00 - 10:00]],"=x")</f>
        <v>0</v>
      </c>
      <c r="F2014" s="2">
        <f>SUM(contact[[#This Row],[?]:[x]])</f>
        <v>0</v>
      </c>
      <c r="G20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4" s="3" t="s">
        <v>919</v>
      </c>
      <c r="K2014" s="1" t="s">
        <v>2</v>
      </c>
      <c r="L2014" s="1" t="s">
        <v>2</v>
      </c>
      <c r="M2014" s="1" t="s">
        <v>2</v>
      </c>
      <c r="O2014" s="2"/>
      <c r="P2014" s="2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</row>
    <row r="2015" spans="1:32" s="1" customFormat="1" ht="20.25" customHeight="1" x14ac:dyDescent="0.25">
      <c r="A2015" s="2"/>
      <c r="B2015" s="2"/>
      <c r="C2015" s="2"/>
      <c r="D2015" s="2">
        <f>COUNTIF(contact[[#This Row],[Bagossy]:[Szo
03:00 - 10:00]],"=~?")</f>
        <v>0</v>
      </c>
      <c r="E2015" s="2">
        <f>COUNTIF(contact[[#This Row],[Bagossy]:[Szo
03:00 - 10:00]],"=x")</f>
        <v>0</v>
      </c>
      <c r="F2015" s="2">
        <f>SUM(contact[[#This Row],[?]:[x]])</f>
        <v>0</v>
      </c>
      <c r="G20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5" s="3" t="s">
        <v>1991</v>
      </c>
      <c r="K2015" s="1" t="s">
        <v>2</v>
      </c>
      <c r="L2015" s="1" t="s">
        <v>2</v>
      </c>
      <c r="M2015" s="1" t="s">
        <v>2</v>
      </c>
      <c r="O2015" s="2"/>
      <c r="P2015" s="2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</row>
    <row r="2016" spans="1:32" s="1" customFormat="1" ht="20.25" customHeight="1" x14ac:dyDescent="0.25">
      <c r="A2016" s="2"/>
      <c r="B2016" s="2"/>
      <c r="C2016" s="2"/>
      <c r="D2016" s="2">
        <f>COUNTIF(contact[[#This Row],[Bagossy]:[Szo
03:00 - 10:00]],"=~?")</f>
        <v>0</v>
      </c>
      <c r="E2016" s="2">
        <f>COUNTIF(contact[[#This Row],[Bagossy]:[Szo
03:00 - 10:00]],"=x")</f>
        <v>0</v>
      </c>
      <c r="F2016" s="2">
        <f>SUM(contact[[#This Row],[?]:[x]])</f>
        <v>0</v>
      </c>
      <c r="G20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6" s="3" t="s">
        <v>3542</v>
      </c>
      <c r="K2016" s="1" t="s">
        <v>1293</v>
      </c>
      <c r="L2016" s="1" t="s">
        <v>2</v>
      </c>
      <c r="M2016" s="1" t="s">
        <v>2</v>
      </c>
      <c r="O2016" s="2"/>
      <c r="P2016" s="2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</row>
    <row r="2017" spans="1:32" s="1" customFormat="1" ht="20.25" customHeight="1" x14ac:dyDescent="0.25">
      <c r="A2017" s="2"/>
      <c r="B2017" s="2"/>
      <c r="C2017" s="2"/>
      <c r="D2017" s="2">
        <f>COUNTIF(contact[[#This Row],[Bagossy]:[Szo
03:00 - 10:00]],"=~?")</f>
        <v>0</v>
      </c>
      <c r="E2017" s="2">
        <f>COUNTIF(contact[[#This Row],[Bagossy]:[Szo
03:00 - 10:00]],"=x")</f>
        <v>0</v>
      </c>
      <c r="F2017" s="2">
        <f>SUM(contact[[#This Row],[?]:[x]])</f>
        <v>0</v>
      </c>
      <c r="G20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7" s="3" t="s">
        <v>3477</v>
      </c>
      <c r="K2017" s="1" t="s">
        <v>470</v>
      </c>
      <c r="L2017" s="1" t="s">
        <v>2</v>
      </c>
      <c r="M2017" s="1" t="s">
        <v>2</v>
      </c>
      <c r="O2017" s="2"/>
      <c r="P2017" s="2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</row>
    <row r="2018" spans="1:32" s="1" customFormat="1" ht="20.25" customHeight="1" x14ac:dyDescent="0.25">
      <c r="A2018" s="2"/>
      <c r="B2018" s="2"/>
      <c r="C2018" s="2"/>
      <c r="D2018" s="2">
        <f>COUNTIF(contact[[#This Row],[Bagossy]:[Szo
03:00 - 10:00]],"=~?")</f>
        <v>0</v>
      </c>
      <c r="E2018" s="2">
        <f>COUNTIF(contact[[#This Row],[Bagossy]:[Szo
03:00 - 10:00]],"=x")</f>
        <v>0</v>
      </c>
      <c r="F2018" s="2">
        <f>SUM(contact[[#This Row],[?]:[x]])</f>
        <v>0</v>
      </c>
      <c r="G20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8" s="3" t="s">
        <v>4305</v>
      </c>
      <c r="K2018" s="1" t="s">
        <v>2</v>
      </c>
      <c r="L2018" s="1" t="s">
        <v>2</v>
      </c>
      <c r="M2018" s="1" t="s">
        <v>2</v>
      </c>
      <c r="O2018" s="2"/>
      <c r="P2018" s="2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</row>
    <row r="2019" spans="1:32" s="1" customFormat="1" ht="20.25" customHeight="1" x14ac:dyDescent="0.25">
      <c r="A2019" s="2"/>
      <c r="B2019" s="2"/>
      <c r="C2019" s="2"/>
      <c r="D2019" s="2">
        <f>COUNTIF(contact[[#This Row],[Bagossy]:[Szo
03:00 - 10:00]],"=~?")</f>
        <v>0</v>
      </c>
      <c r="E2019" s="2">
        <f>COUNTIF(contact[[#This Row],[Bagossy]:[Szo
03:00 - 10:00]],"=x")</f>
        <v>0</v>
      </c>
      <c r="F2019" s="2">
        <f>SUM(contact[[#This Row],[?]:[x]])</f>
        <v>0</v>
      </c>
      <c r="G20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19" s="3" t="s">
        <v>920</v>
      </c>
      <c r="K2019" s="1" t="s">
        <v>2</v>
      </c>
      <c r="L2019" s="1" t="s">
        <v>2</v>
      </c>
      <c r="M2019" s="1" t="s">
        <v>2</v>
      </c>
      <c r="O2019" s="2"/>
      <c r="P2019" s="2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</row>
    <row r="2020" spans="1:32" s="1" customFormat="1" ht="20.25" customHeight="1" x14ac:dyDescent="0.25">
      <c r="A2020" s="2"/>
      <c r="B2020" s="2"/>
      <c r="C2020" s="2"/>
      <c r="D2020" s="2">
        <f>COUNTIF(contact[[#This Row],[Bagossy]:[Szo
03:00 - 10:00]],"=~?")</f>
        <v>0</v>
      </c>
      <c r="E2020" s="2">
        <f>COUNTIF(contact[[#This Row],[Bagossy]:[Szo
03:00 - 10:00]],"=x")</f>
        <v>0</v>
      </c>
      <c r="F2020" s="2">
        <f>SUM(contact[[#This Row],[?]:[x]])</f>
        <v>0</v>
      </c>
      <c r="G20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0" s="3" t="s">
        <v>3241</v>
      </c>
      <c r="K2020" s="1" t="s">
        <v>707</v>
      </c>
      <c r="L2020" s="1" t="s">
        <v>2</v>
      </c>
      <c r="M2020" s="1" t="s">
        <v>2</v>
      </c>
      <c r="O2020" s="2"/>
      <c r="P2020" s="2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</row>
    <row r="2021" spans="1:32" s="1" customFormat="1" ht="20.25" customHeight="1" x14ac:dyDescent="0.25">
      <c r="A2021" s="2"/>
      <c r="B2021" s="2"/>
      <c r="C2021" s="2"/>
      <c r="D2021" s="2">
        <f>COUNTIF(contact[[#This Row],[Bagossy]:[Szo
03:00 - 10:00]],"=~?")</f>
        <v>0</v>
      </c>
      <c r="E2021" s="2">
        <f>COUNTIF(contact[[#This Row],[Bagossy]:[Szo
03:00 - 10:00]],"=x")</f>
        <v>0</v>
      </c>
      <c r="F2021" s="2">
        <f>SUM(contact[[#This Row],[?]:[x]])</f>
        <v>0</v>
      </c>
      <c r="G20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1" s="3" t="s">
        <v>2364</v>
      </c>
      <c r="K2021" s="1" t="s">
        <v>263</v>
      </c>
      <c r="L2021" s="1" t="s">
        <v>2</v>
      </c>
      <c r="M2021" s="1" t="s">
        <v>2</v>
      </c>
      <c r="O2021" s="2"/>
      <c r="P2021" s="2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</row>
    <row r="2022" spans="1:32" s="1" customFormat="1" ht="20.25" customHeight="1" x14ac:dyDescent="0.25">
      <c r="A2022" s="2"/>
      <c r="B2022" s="2"/>
      <c r="C2022" s="2"/>
      <c r="D2022" s="2">
        <f>COUNTIF(contact[[#This Row],[Bagossy]:[Szo
03:00 - 10:00]],"=~?")</f>
        <v>0</v>
      </c>
      <c r="E2022" s="2">
        <f>COUNTIF(contact[[#This Row],[Bagossy]:[Szo
03:00 - 10:00]],"=x")</f>
        <v>0</v>
      </c>
      <c r="F2022" s="2">
        <f>SUM(contact[[#This Row],[?]:[x]])</f>
        <v>0</v>
      </c>
      <c r="G20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2" s="3" t="s">
        <v>931</v>
      </c>
      <c r="K2022" s="1" t="s">
        <v>2</v>
      </c>
      <c r="L2022" s="1" t="s">
        <v>2</v>
      </c>
      <c r="M2022" s="1" t="s">
        <v>2</v>
      </c>
      <c r="O2022" s="2"/>
      <c r="P2022" s="2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</row>
    <row r="2023" spans="1:32" s="1" customFormat="1" ht="20.25" customHeight="1" x14ac:dyDescent="0.25">
      <c r="A2023" s="2"/>
      <c r="B2023" s="2"/>
      <c r="C2023" s="2"/>
      <c r="D2023" s="2">
        <f>COUNTIF(contact[[#This Row],[Bagossy]:[Szo
03:00 - 10:00]],"=~?")</f>
        <v>0</v>
      </c>
      <c r="E2023" s="2">
        <f>COUNTIF(contact[[#This Row],[Bagossy]:[Szo
03:00 - 10:00]],"=x")</f>
        <v>0</v>
      </c>
      <c r="F2023" s="2">
        <f>SUM(contact[[#This Row],[?]:[x]])</f>
        <v>0</v>
      </c>
      <c r="G20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3" s="3" t="s">
        <v>3839</v>
      </c>
      <c r="K2023" s="1" t="s">
        <v>973</v>
      </c>
      <c r="L2023" s="1" t="s">
        <v>2</v>
      </c>
      <c r="M2023" s="1" t="s">
        <v>2</v>
      </c>
      <c r="O2023" s="2"/>
      <c r="P2023" s="2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</row>
    <row r="2024" spans="1:32" s="1" customFormat="1" ht="20.25" customHeight="1" x14ac:dyDescent="0.25">
      <c r="A2024" s="2"/>
      <c r="B2024" s="2"/>
      <c r="C2024" s="2"/>
      <c r="D2024" s="2">
        <f>COUNTIF(contact[[#This Row],[Bagossy]:[Szo
03:00 - 10:00]],"=~?")</f>
        <v>0</v>
      </c>
      <c r="E2024" s="2">
        <f>COUNTIF(contact[[#This Row],[Bagossy]:[Szo
03:00 - 10:00]],"=x")</f>
        <v>0</v>
      </c>
      <c r="F2024" s="2">
        <f>SUM(contact[[#This Row],[?]:[x]])</f>
        <v>0</v>
      </c>
      <c r="G20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4" s="3" t="s">
        <v>936</v>
      </c>
      <c r="K2024" s="1" t="s">
        <v>2</v>
      </c>
      <c r="L2024" s="1" t="s">
        <v>2</v>
      </c>
      <c r="M2024" s="1" t="s">
        <v>2</v>
      </c>
      <c r="O2024" s="2"/>
      <c r="P2024" s="2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</row>
    <row r="2025" spans="1:32" s="1" customFormat="1" ht="20.25" customHeight="1" x14ac:dyDescent="0.25">
      <c r="A2025" s="2"/>
      <c r="B2025" s="2"/>
      <c r="C2025" s="2"/>
      <c r="D2025" s="2">
        <f>COUNTIF(contact[[#This Row],[Bagossy]:[Szo
03:00 - 10:00]],"=~?")</f>
        <v>0</v>
      </c>
      <c r="E2025" s="2">
        <f>COUNTIF(contact[[#This Row],[Bagossy]:[Szo
03:00 - 10:00]],"=x")</f>
        <v>0</v>
      </c>
      <c r="F2025" s="2">
        <f>SUM(contact[[#This Row],[?]:[x]])</f>
        <v>0</v>
      </c>
      <c r="G20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5" s="3" t="s">
        <v>3670</v>
      </c>
      <c r="K2025" s="1" t="s">
        <v>2</v>
      </c>
      <c r="L2025" s="1" t="s">
        <v>2</v>
      </c>
      <c r="M2025" s="1" t="s">
        <v>2</v>
      </c>
      <c r="O2025" s="2"/>
      <c r="P2025" s="2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</row>
    <row r="2026" spans="1:32" s="1" customFormat="1" ht="20.25" customHeight="1" x14ac:dyDescent="0.25">
      <c r="A2026" s="2"/>
      <c r="B2026" s="2"/>
      <c r="C2026" s="2"/>
      <c r="D2026" s="2">
        <f>COUNTIF(contact[[#This Row],[Bagossy]:[Szo
03:00 - 10:00]],"=~?")</f>
        <v>0</v>
      </c>
      <c r="E2026" s="2">
        <f>COUNTIF(contact[[#This Row],[Bagossy]:[Szo
03:00 - 10:00]],"=x")</f>
        <v>0</v>
      </c>
      <c r="F2026" s="2">
        <f>SUM(contact[[#This Row],[?]:[x]])</f>
        <v>0</v>
      </c>
      <c r="G20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6" s="3" t="s">
        <v>4123</v>
      </c>
      <c r="K2026" s="1" t="s">
        <v>1108</v>
      </c>
      <c r="L2026" s="1" t="s">
        <v>2</v>
      </c>
      <c r="M2026" s="1" t="s">
        <v>2</v>
      </c>
      <c r="O2026" s="2"/>
      <c r="P2026" s="2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</row>
    <row r="2027" spans="1:32" s="1" customFormat="1" ht="20.25" customHeight="1" x14ac:dyDescent="0.25">
      <c r="A2027" s="2"/>
      <c r="B2027" s="2"/>
      <c r="C2027" s="2"/>
      <c r="D2027" s="2">
        <f>COUNTIF(contact[[#This Row],[Bagossy]:[Szo
03:00 - 10:00]],"=~?")</f>
        <v>0</v>
      </c>
      <c r="E2027" s="2">
        <f>COUNTIF(contact[[#This Row],[Bagossy]:[Szo
03:00 - 10:00]],"=x")</f>
        <v>0</v>
      </c>
      <c r="F2027" s="2">
        <f>SUM(contact[[#This Row],[?]:[x]])</f>
        <v>0</v>
      </c>
      <c r="G20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7" s="3" t="s">
        <v>2458</v>
      </c>
      <c r="K2027" s="1" t="s">
        <v>319</v>
      </c>
      <c r="L2027" s="1" t="s">
        <v>2</v>
      </c>
      <c r="M2027" s="1" t="s">
        <v>2</v>
      </c>
      <c r="O2027" s="2"/>
      <c r="P2027" s="2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</row>
    <row r="2028" spans="1:32" s="1" customFormat="1" ht="20.25" customHeight="1" x14ac:dyDescent="0.25">
      <c r="A2028" s="2"/>
      <c r="B2028" s="2"/>
      <c r="C2028" s="2"/>
      <c r="D2028" s="2">
        <f>COUNTIF(contact[[#This Row],[Bagossy]:[Szo
03:00 - 10:00]],"=~?")</f>
        <v>0</v>
      </c>
      <c r="E2028" s="2">
        <f>COUNTIF(contact[[#This Row],[Bagossy]:[Szo
03:00 - 10:00]],"=x")</f>
        <v>0</v>
      </c>
      <c r="F2028" s="2">
        <f>SUM(contact[[#This Row],[?]:[x]])</f>
        <v>0</v>
      </c>
      <c r="G20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28" s="3" t="s">
        <v>2637</v>
      </c>
      <c r="K2028" s="1" t="s">
        <v>391</v>
      </c>
      <c r="L2028" s="1" t="s">
        <v>2</v>
      </c>
      <c r="M2028" s="1" t="s">
        <v>2</v>
      </c>
      <c r="O2028" s="2"/>
      <c r="P2028" s="2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</row>
    <row r="2029" spans="1:32" s="1" customFormat="1" ht="20.25" customHeight="1" x14ac:dyDescent="0.25">
      <c r="A2029" s="2"/>
      <c r="B2029" s="2"/>
      <c r="C2029" s="2"/>
      <c r="D2029" s="2">
        <f>COUNTIF(contact[[#This Row],[Bagossy]:[Szo
03:00 - 10:00]],"=~?")</f>
        <v>0</v>
      </c>
      <c r="E2029" s="2">
        <f>COUNTIF(contact[[#This Row],[Bagossy]:[Szo
03:00 - 10:00]],"=x")</f>
        <v>0</v>
      </c>
      <c r="F2029" s="2">
        <f>SUM(contact[[#This Row],[?]:[x]])</f>
        <v>0</v>
      </c>
      <c r="G20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29" s="2"/>
      <c r="I2029" s="2"/>
      <c r="J2029" s="3" t="s">
        <v>3792</v>
      </c>
      <c r="K2029" s="1" t="s">
        <v>92</v>
      </c>
      <c r="L2029" s="1" t="s">
        <v>2</v>
      </c>
      <c r="M2029" s="1" t="s">
        <v>2</v>
      </c>
      <c r="O2029" s="2"/>
      <c r="P2029" s="2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</row>
    <row r="2030" spans="1:32" s="1" customFormat="1" ht="20.25" customHeight="1" x14ac:dyDescent="0.25">
      <c r="A2030" s="2"/>
      <c r="B2030" s="2"/>
      <c r="C2030" s="2"/>
      <c r="D2030" s="2">
        <f>COUNTIF(contact[[#This Row],[Bagossy]:[Szo
03:00 - 10:00]],"=~?")</f>
        <v>0</v>
      </c>
      <c r="E2030" s="2">
        <f>COUNTIF(contact[[#This Row],[Bagossy]:[Szo
03:00 - 10:00]],"=x")</f>
        <v>0</v>
      </c>
      <c r="F2030" s="2">
        <f>SUM(contact[[#This Row],[?]:[x]])</f>
        <v>0</v>
      </c>
      <c r="G20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0" s="3" t="s">
        <v>3848</v>
      </c>
      <c r="K2030" s="1" t="s">
        <v>1727</v>
      </c>
      <c r="L2030" s="1" t="s">
        <v>2</v>
      </c>
      <c r="M2030" s="1" t="s">
        <v>2</v>
      </c>
      <c r="O2030" s="2"/>
      <c r="P2030" s="2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</row>
    <row r="2031" spans="1:32" s="1" customFormat="1" ht="20.25" customHeight="1" x14ac:dyDescent="0.25">
      <c r="A2031" s="2"/>
      <c r="B2031" s="2"/>
      <c r="C2031" s="2"/>
      <c r="D2031" s="2">
        <f>COUNTIF(contact[[#This Row],[Bagossy]:[Szo
03:00 - 10:00]],"=~?")</f>
        <v>0</v>
      </c>
      <c r="E2031" s="2">
        <f>COUNTIF(contact[[#This Row],[Bagossy]:[Szo
03:00 - 10:00]],"=x")</f>
        <v>0</v>
      </c>
      <c r="F2031" s="2">
        <f>SUM(contact[[#This Row],[?]:[x]])</f>
        <v>0</v>
      </c>
      <c r="G20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1" s="3" t="s">
        <v>3779</v>
      </c>
      <c r="K2031" s="1" t="s">
        <v>943</v>
      </c>
      <c r="L2031" s="1" t="s">
        <v>2</v>
      </c>
      <c r="M2031" s="1" t="s">
        <v>2</v>
      </c>
      <c r="O2031" s="2"/>
      <c r="P2031" s="2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</row>
    <row r="2032" spans="1:32" s="1" customFormat="1" ht="20.25" customHeight="1" x14ac:dyDescent="0.25">
      <c r="A2032" s="2"/>
      <c r="B2032" s="2"/>
      <c r="C2032" s="2"/>
      <c r="D2032" s="2">
        <f>COUNTIF(contact[[#This Row],[Bagossy]:[Szo
03:00 - 10:00]],"=~?")</f>
        <v>0</v>
      </c>
      <c r="E2032" s="2">
        <f>COUNTIF(contact[[#This Row],[Bagossy]:[Szo
03:00 - 10:00]],"=x")</f>
        <v>0</v>
      </c>
      <c r="F2032" s="2">
        <f>SUM(contact[[#This Row],[?]:[x]])</f>
        <v>0</v>
      </c>
      <c r="G20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32" s="2"/>
      <c r="I2032" s="2"/>
      <c r="J2032" s="3" t="s">
        <v>951</v>
      </c>
      <c r="K2032" s="1" t="s">
        <v>678</v>
      </c>
      <c r="L2032" s="1" t="s">
        <v>2</v>
      </c>
      <c r="M2032" s="1" t="s">
        <v>2</v>
      </c>
      <c r="O2032" s="2"/>
      <c r="P2032" s="2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</row>
    <row r="2033" spans="1:32" s="1" customFormat="1" ht="20.25" customHeight="1" x14ac:dyDescent="0.25">
      <c r="A2033" s="2"/>
      <c r="B2033" s="2"/>
      <c r="C2033" s="2"/>
      <c r="D2033" s="2">
        <f>COUNTIF(contact[[#This Row],[Bagossy]:[Szo
03:00 - 10:00]],"=~?")</f>
        <v>0</v>
      </c>
      <c r="E2033" s="2">
        <f>COUNTIF(contact[[#This Row],[Bagossy]:[Szo
03:00 - 10:00]],"=x")</f>
        <v>0</v>
      </c>
      <c r="F2033" s="2">
        <f>SUM(contact[[#This Row],[?]:[x]])</f>
        <v>0</v>
      </c>
      <c r="G20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3" s="3" t="s">
        <v>4286</v>
      </c>
      <c r="K2033" s="1" t="s">
        <v>39</v>
      </c>
      <c r="L2033" s="1" t="s">
        <v>2</v>
      </c>
      <c r="M2033" s="1" t="s">
        <v>2</v>
      </c>
      <c r="O2033" s="2"/>
      <c r="P2033" s="2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</row>
    <row r="2034" spans="1:32" s="1" customFormat="1" ht="20.25" customHeight="1" x14ac:dyDescent="0.25">
      <c r="A2034" s="2"/>
      <c r="B2034" s="2"/>
      <c r="C2034" s="2"/>
      <c r="D2034" s="2">
        <f>COUNTIF(contact[[#This Row],[Bagossy]:[Szo
03:00 - 10:00]],"=~?")</f>
        <v>0</v>
      </c>
      <c r="E2034" s="2">
        <f>COUNTIF(contact[[#This Row],[Bagossy]:[Szo
03:00 - 10:00]],"=x")</f>
        <v>0</v>
      </c>
      <c r="F2034" s="2">
        <f>SUM(contact[[#This Row],[?]:[x]])</f>
        <v>0</v>
      </c>
      <c r="G20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4" s="3" t="s">
        <v>2078</v>
      </c>
      <c r="K2034" s="1" t="s">
        <v>104</v>
      </c>
      <c r="L2034" s="1" t="s">
        <v>2</v>
      </c>
      <c r="M2034" s="1" t="s">
        <v>2</v>
      </c>
      <c r="O2034" s="2"/>
      <c r="P2034" s="2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</row>
    <row r="2035" spans="1:32" s="1" customFormat="1" ht="20.25" customHeight="1" x14ac:dyDescent="0.25">
      <c r="A2035" s="2"/>
      <c r="B2035" s="2"/>
      <c r="C2035" s="2"/>
      <c r="D2035" s="2">
        <f>COUNTIF(contact[[#This Row],[Bagossy]:[Szo
03:00 - 10:00]],"=~?")</f>
        <v>0</v>
      </c>
      <c r="E2035" s="2">
        <f>COUNTIF(contact[[#This Row],[Bagossy]:[Szo
03:00 - 10:00]],"=x")</f>
        <v>0</v>
      </c>
      <c r="F2035" s="2">
        <f>SUM(contact[[#This Row],[?]:[x]])</f>
        <v>0</v>
      </c>
      <c r="G20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5" s="3" t="s">
        <v>3693</v>
      </c>
      <c r="K2035" s="1" t="s">
        <v>1293</v>
      </c>
      <c r="L2035" s="1" t="s">
        <v>2</v>
      </c>
      <c r="M2035" s="1" t="s">
        <v>2</v>
      </c>
      <c r="O2035" s="2"/>
      <c r="P2035" s="2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</row>
    <row r="2036" spans="1:32" s="1" customFormat="1" ht="20.25" customHeight="1" x14ac:dyDescent="0.25">
      <c r="A2036" s="2"/>
      <c r="B2036" s="2"/>
      <c r="C2036" s="2"/>
      <c r="D2036" s="2">
        <f>COUNTIF(contact[[#This Row],[Bagossy]:[Szo
03:00 - 10:00]],"=~?")</f>
        <v>0</v>
      </c>
      <c r="E2036" s="2">
        <f>COUNTIF(contact[[#This Row],[Bagossy]:[Szo
03:00 - 10:00]],"=x")</f>
        <v>0</v>
      </c>
      <c r="F2036" s="2">
        <f>SUM(contact[[#This Row],[?]:[x]])</f>
        <v>0</v>
      </c>
      <c r="G20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6" s="3" t="s">
        <v>2708</v>
      </c>
      <c r="K2036" s="1" t="s">
        <v>454</v>
      </c>
      <c r="L2036" s="1" t="s">
        <v>2</v>
      </c>
      <c r="M2036" s="1" t="s">
        <v>2</v>
      </c>
      <c r="O2036" s="2"/>
      <c r="P2036" s="2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</row>
    <row r="2037" spans="1:32" s="1" customFormat="1" ht="20.25" customHeight="1" x14ac:dyDescent="0.25">
      <c r="A2037" s="2"/>
      <c r="B2037" s="2"/>
      <c r="C2037" s="2"/>
      <c r="D2037" s="2">
        <f>COUNTIF(contact[[#This Row],[Bagossy]:[Szo
03:00 - 10:00]],"=~?")</f>
        <v>0</v>
      </c>
      <c r="E2037" s="2">
        <f>COUNTIF(contact[[#This Row],[Bagossy]:[Szo
03:00 - 10:00]],"=x")</f>
        <v>0</v>
      </c>
      <c r="F2037" s="2">
        <f>SUM(contact[[#This Row],[?]:[x]])</f>
        <v>0</v>
      </c>
      <c r="G20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7" s="3" t="s">
        <v>3009</v>
      </c>
      <c r="K2037" s="1" t="s">
        <v>1535</v>
      </c>
      <c r="L2037" s="1" t="s">
        <v>108</v>
      </c>
      <c r="M2037" s="1" t="s">
        <v>111</v>
      </c>
      <c r="O2037" s="2"/>
      <c r="P2037" s="2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</row>
    <row r="2038" spans="1:32" s="1" customFormat="1" ht="20.25" customHeight="1" x14ac:dyDescent="0.25">
      <c r="A2038" s="2"/>
      <c r="B2038" s="2"/>
      <c r="C2038" s="2"/>
      <c r="D2038" s="2">
        <f>COUNTIF(contact[[#This Row],[Bagossy]:[Szo
03:00 - 10:00]],"=~?")</f>
        <v>0</v>
      </c>
      <c r="E2038" s="2">
        <f>COUNTIF(contact[[#This Row],[Bagossy]:[Szo
03:00 - 10:00]],"=x")</f>
        <v>0</v>
      </c>
      <c r="F2038" s="2">
        <f>SUM(contact[[#This Row],[?]:[x]])</f>
        <v>0</v>
      </c>
      <c r="G20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38" s="2"/>
      <c r="I2038" s="2"/>
      <c r="J2038" s="3" t="s">
        <v>3795</v>
      </c>
      <c r="K2038" s="1" t="s">
        <v>1714</v>
      </c>
      <c r="L2038" s="1" t="s">
        <v>2</v>
      </c>
      <c r="M2038" s="1" t="s">
        <v>2</v>
      </c>
      <c r="O2038" s="2"/>
      <c r="P2038" s="2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</row>
    <row r="2039" spans="1:32" s="1" customFormat="1" ht="20.25" customHeight="1" x14ac:dyDescent="0.25">
      <c r="A2039" s="2"/>
      <c r="B2039" s="2"/>
      <c r="C2039" s="2"/>
      <c r="D2039" s="2">
        <f>COUNTIF(contact[[#This Row],[Bagossy]:[Szo
03:00 - 10:00]],"=~?")</f>
        <v>0</v>
      </c>
      <c r="E2039" s="2">
        <f>COUNTIF(contact[[#This Row],[Bagossy]:[Szo
03:00 - 10:00]],"=x")</f>
        <v>0</v>
      </c>
      <c r="F2039" s="2">
        <f>SUM(contact[[#This Row],[?]:[x]])</f>
        <v>0</v>
      </c>
      <c r="G20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39" s="3" t="s">
        <v>3718</v>
      </c>
      <c r="K2039" s="1" t="s">
        <v>2</v>
      </c>
      <c r="L2039" s="1" t="s">
        <v>2</v>
      </c>
      <c r="M2039" s="1" t="s">
        <v>2</v>
      </c>
      <c r="O2039" s="2"/>
      <c r="P2039" s="2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</row>
    <row r="2040" spans="1:32" s="1" customFormat="1" ht="20.25" customHeight="1" x14ac:dyDescent="0.25">
      <c r="A2040" s="2"/>
      <c r="B2040" s="2"/>
      <c r="C2040" s="2"/>
      <c r="D2040" s="2">
        <f>COUNTIF(contact[[#This Row],[Bagossy]:[Szo
03:00 - 10:00]],"=~?")</f>
        <v>0</v>
      </c>
      <c r="E2040" s="2">
        <f>COUNTIF(contact[[#This Row],[Bagossy]:[Szo
03:00 - 10:00]],"=x")</f>
        <v>0</v>
      </c>
      <c r="F2040" s="2">
        <f>SUM(contact[[#This Row],[?]:[x]])</f>
        <v>0</v>
      </c>
      <c r="G20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0" s="3" t="s">
        <v>4554</v>
      </c>
      <c r="K2040" s="1" t="s">
        <v>2</v>
      </c>
      <c r="L2040" s="1" t="s">
        <v>2</v>
      </c>
      <c r="M2040" s="1" t="s">
        <v>2</v>
      </c>
      <c r="O2040" s="2"/>
      <c r="P2040" s="2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</row>
    <row r="2041" spans="1:32" s="1" customFormat="1" ht="20.25" customHeight="1" x14ac:dyDescent="0.25">
      <c r="A2041" s="2"/>
      <c r="B2041" s="2"/>
      <c r="C2041" s="2"/>
      <c r="D2041" s="2">
        <f>COUNTIF(contact[[#This Row],[Bagossy]:[Szo
03:00 - 10:00]],"=~?")</f>
        <v>0</v>
      </c>
      <c r="E2041" s="2">
        <f>COUNTIF(contact[[#This Row],[Bagossy]:[Szo
03:00 - 10:00]],"=x")</f>
        <v>0</v>
      </c>
      <c r="F2041" s="2">
        <f>SUM(contact[[#This Row],[?]:[x]])</f>
        <v>0</v>
      </c>
      <c r="G20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1" s="3" t="s">
        <v>4404</v>
      </c>
      <c r="K2041" s="1" t="s">
        <v>2</v>
      </c>
      <c r="L2041" s="1" t="s">
        <v>2</v>
      </c>
      <c r="M2041" s="1" t="s">
        <v>2</v>
      </c>
      <c r="O2041" s="2"/>
      <c r="P2041" s="2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</row>
    <row r="2042" spans="1:32" s="1" customFormat="1" ht="20.25" customHeight="1" x14ac:dyDescent="0.25">
      <c r="A2042" s="2"/>
      <c r="B2042" s="2"/>
      <c r="C2042" s="2"/>
      <c r="D2042" s="2">
        <f>COUNTIF(contact[[#This Row],[Bagossy]:[Szo
03:00 - 10:00]],"=~?")</f>
        <v>0</v>
      </c>
      <c r="E2042" s="2">
        <f>COUNTIF(contact[[#This Row],[Bagossy]:[Szo
03:00 - 10:00]],"=x")</f>
        <v>0</v>
      </c>
      <c r="F2042" s="2">
        <f>SUM(contact[[#This Row],[?]:[x]])</f>
        <v>0</v>
      </c>
      <c r="G20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2" s="3" t="s">
        <v>3610</v>
      </c>
      <c r="K2042" s="1" t="s">
        <v>868</v>
      </c>
      <c r="L2042" s="1" t="s">
        <v>2</v>
      </c>
      <c r="M2042" s="1" t="s">
        <v>2</v>
      </c>
      <c r="O2042" s="2"/>
      <c r="P2042" s="2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</row>
    <row r="2043" spans="1:32" s="1" customFormat="1" ht="20.25" customHeight="1" x14ac:dyDescent="0.25">
      <c r="A2043" s="2"/>
      <c r="B2043" s="2"/>
      <c r="C2043" s="2"/>
      <c r="D2043" s="2">
        <f>COUNTIF(contact[[#This Row],[Bagossy]:[Szo
03:00 - 10:00]],"=~?")</f>
        <v>0</v>
      </c>
      <c r="E2043" s="2">
        <f>COUNTIF(contact[[#This Row],[Bagossy]:[Szo
03:00 - 10:00]],"=x")</f>
        <v>0</v>
      </c>
      <c r="F2043" s="2">
        <f>SUM(contact[[#This Row],[?]:[x]])</f>
        <v>0</v>
      </c>
      <c r="G20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3" s="3" t="s">
        <v>2866</v>
      </c>
      <c r="K2043" s="1" t="s">
        <v>2</v>
      </c>
      <c r="L2043" s="1" t="s">
        <v>2</v>
      </c>
      <c r="M2043" s="1" t="s">
        <v>2</v>
      </c>
      <c r="O2043" s="2"/>
      <c r="P2043" s="2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</row>
    <row r="2044" spans="1:32" s="1" customFormat="1" ht="20.25" customHeight="1" x14ac:dyDescent="0.25">
      <c r="A2044" s="2"/>
      <c r="B2044" s="2"/>
      <c r="C2044" s="2"/>
      <c r="D2044" s="2">
        <f>COUNTIF(contact[[#This Row],[Bagossy]:[Szo
03:00 - 10:00]],"=~?")</f>
        <v>0</v>
      </c>
      <c r="E2044" s="2">
        <f>COUNTIF(contact[[#This Row],[Bagossy]:[Szo
03:00 - 10:00]],"=x")</f>
        <v>0</v>
      </c>
      <c r="F2044" s="2">
        <f>SUM(contact[[#This Row],[?]:[x]])</f>
        <v>0</v>
      </c>
      <c r="G20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4" s="3" t="s">
        <v>3738</v>
      </c>
      <c r="K2044" s="1" t="s">
        <v>2</v>
      </c>
      <c r="L2044" s="1" t="s">
        <v>2</v>
      </c>
      <c r="M2044" s="1" t="s">
        <v>2</v>
      </c>
      <c r="O2044" s="2"/>
      <c r="P2044" s="2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</row>
    <row r="2045" spans="1:32" s="1" customFormat="1" ht="20.25" customHeight="1" x14ac:dyDescent="0.25">
      <c r="A2045" s="2"/>
      <c r="B2045" s="2"/>
      <c r="C2045" s="2"/>
      <c r="D2045" s="2">
        <f>COUNTIF(contact[[#This Row],[Bagossy]:[Szo
03:00 - 10:00]],"=~?")</f>
        <v>0</v>
      </c>
      <c r="E2045" s="2">
        <f>COUNTIF(contact[[#This Row],[Bagossy]:[Szo
03:00 - 10:00]],"=x")</f>
        <v>0</v>
      </c>
      <c r="F2045" s="2">
        <f>SUM(contact[[#This Row],[?]:[x]])</f>
        <v>0</v>
      </c>
      <c r="G20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5" s="3" t="s">
        <v>4428</v>
      </c>
      <c r="K2045" s="1" t="s">
        <v>1855</v>
      </c>
      <c r="L2045" s="1" t="s">
        <v>2</v>
      </c>
      <c r="M2045" s="1" t="s">
        <v>2</v>
      </c>
      <c r="O2045" s="2"/>
      <c r="P2045" s="2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</row>
    <row r="2046" spans="1:32" s="1" customFormat="1" ht="20.25" customHeight="1" x14ac:dyDescent="0.25">
      <c r="A2046" s="2"/>
      <c r="B2046" s="2" t="s">
        <v>1285</v>
      </c>
      <c r="C2046" s="2" t="s">
        <v>1285</v>
      </c>
      <c r="D2046" s="2">
        <f>COUNTIF(contact[[#This Row],[Bagossy]:[Szo
03:00 - 10:00]],"=~?")</f>
        <v>0</v>
      </c>
      <c r="E2046" s="2">
        <f>COUNTIF(contact[[#This Row],[Bagossy]:[Szo
03:00 - 10:00]],"=x")</f>
        <v>0</v>
      </c>
      <c r="F2046" s="2">
        <f>SUM(contact[[#This Row],[?]:[x]])</f>
        <v>0</v>
      </c>
      <c r="G20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46" s="2"/>
      <c r="I2046" s="2"/>
      <c r="J2046" s="3" t="s">
        <v>3817</v>
      </c>
      <c r="K2046" s="1" t="s">
        <v>6</v>
      </c>
      <c r="L2046" s="1" t="s">
        <v>2</v>
      </c>
      <c r="M2046" s="1" t="s">
        <v>2</v>
      </c>
      <c r="O2046" s="2"/>
      <c r="P2046" s="2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</row>
    <row r="2047" spans="1:32" s="1" customFormat="1" ht="20.25" customHeight="1" x14ac:dyDescent="0.25">
      <c r="A2047" s="2"/>
      <c r="B2047" s="2"/>
      <c r="C2047" s="2"/>
      <c r="D2047" s="2">
        <f>COUNTIF(contact[[#This Row],[Bagossy]:[Szo
03:00 - 10:00]],"=~?")</f>
        <v>0</v>
      </c>
      <c r="E2047" s="2">
        <f>COUNTIF(contact[[#This Row],[Bagossy]:[Szo
03:00 - 10:00]],"=x")</f>
        <v>0</v>
      </c>
      <c r="F2047" s="2">
        <f>SUM(contact[[#This Row],[?]:[x]])</f>
        <v>0</v>
      </c>
      <c r="G20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7" s="3" t="s">
        <v>1992</v>
      </c>
      <c r="K2047" s="1" t="s">
        <v>57</v>
      </c>
      <c r="L2047" s="1" t="s">
        <v>2</v>
      </c>
      <c r="M2047" s="1" t="s">
        <v>2</v>
      </c>
      <c r="O2047" s="2"/>
      <c r="P2047" s="2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</row>
    <row r="2048" spans="1:32" s="1" customFormat="1" ht="20.25" customHeight="1" x14ac:dyDescent="0.25">
      <c r="A2048" s="2"/>
      <c r="B2048" s="2"/>
      <c r="C2048" s="2"/>
      <c r="D2048" s="2">
        <f>COUNTIF(contact[[#This Row],[Bagossy]:[Szo
03:00 - 10:00]],"=~?")</f>
        <v>0</v>
      </c>
      <c r="E2048" s="2">
        <f>COUNTIF(contact[[#This Row],[Bagossy]:[Szo
03:00 - 10:00]],"=x")</f>
        <v>0</v>
      </c>
      <c r="F2048" s="2">
        <f>SUM(contact[[#This Row],[?]:[x]])</f>
        <v>0</v>
      </c>
      <c r="G20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8" s="3" t="s">
        <v>2271</v>
      </c>
      <c r="K2048" s="1" t="s">
        <v>1378</v>
      </c>
      <c r="L2048" s="1" t="s">
        <v>2</v>
      </c>
      <c r="M2048" s="1" t="s">
        <v>2</v>
      </c>
      <c r="O2048" s="2"/>
      <c r="P2048" s="2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</row>
    <row r="2049" spans="1:32" s="1" customFormat="1" ht="20.25" customHeight="1" x14ac:dyDescent="0.25">
      <c r="A2049" s="2"/>
      <c r="B2049" s="2"/>
      <c r="C2049" s="2"/>
      <c r="D2049" s="2">
        <f>COUNTIF(contact[[#This Row],[Bagossy]:[Szo
03:00 - 10:00]],"=~?")</f>
        <v>0</v>
      </c>
      <c r="E2049" s="2">
        <f>COUNTIF(contact[[#This Row],[Bagossy]:[Szo
03:00 - 10:00]],"=x")</f>
        <v>0</v>
      </c>
      <c r="F2049" s="2">
        <f>SUM(contact[[#This Row],[?]:[x]])</f>
        <v>0</v>
      </c>
      <c r="G20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49" s="3" t="s">
        <v>2775</v>
      </c>
      <c r="K2049" s="1" t="s">
        <v>485</v>
      </c>
      <c r="L2049" s="1" t="s">
        <v>2</v>
      </c>
      <c r="M2049" s="1" t="s">
        <v>2</v>
      </c>
      <c r="O2049" s="2"/>
      <c r="P2049" s="2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</row>
    <row r="2050" spans="1:32" s="1" customFormat="1" ht="20.25" customHeight="1" x14ac:dyDescent="0.25">
      <c r="A2050" s="2"/>
      <c r="B2050" s="2"/>
      <c r="C2050" s="2"/>
      <c r="D2050" s="2">
        <f>COUNTIF(contact[[#This Row],[Bagossy]:[Szo
03:00 - 10:00]],"=~?")</f>
        <v>0</v>
      </c>
      <c r="E2050" s="2">
        <f>COUNTIF(contact[[#This Row],[Bagossy]:[Szo
03:00 - 10:00]],"=x")</f>
        <v>0</v>
      </c>
      <c r="F2050" s="2">
        <f>SUM(contact[[#This Row],[?]:[x]])</f>
        <v>0</v>
      </c>
      <c r="G20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0" s="3" t="s">
        <v>2867</v>
      </c>
      <c r="K2050" s="1" t="s">
        <v>197</v>
      </c>
      <c r="L2050" s="1" t="s">
        <v>2</v>
      </c>
      <c r="M2050" s="1" t="s">
        <v>2</v>
      </c>
      <c r="O2050" s="2"/>
      <c r="P2050" s="2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</row>
    <row r="2051" spans="1:32" s="1" customFormat="1" ht="20.25" customHeight="1" x14ac:dyDescent="0.25">
      <c r="A2051" s="2"/>
      <c r="B2051" s="2"/>
      <c r="C2051" s="2"/>
      <c r="D2051" s="2">
        <f>COUNTIF(contact[[#This Row],[Bagossy]:[Szo
03:00 - 10:00]],"=~?")</f>
        <v>0</v>
      </c>
      <c r="E2051" s="2">
        <f>COUNTIF(contact[[#This Row],[Bagossy]:[Szo
03:00 - 10:00]],"=x")</f>
        <v>0</v>
      </c>
      <c r="F2051" s="2">
        <f>SUM(contact[[#This Row],[?]:[x]])</f>
        <v>0</v>
      </c>
      <c r="G20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1" s="3" t="s">
        <v>3103</v>
      </c>
      <c r="K2051" s="1" t="s">
        <v>231</v>
      </c>
      <c r="L2051" s="1" t="s">
        <v>2</v>
      </c>
      <c r="M2051" s="1" t="s">
        <v>2</v>
      </c>
      <c r="O2051" s="2"/>
      <c r="P2051" s="2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</row>
    <row r="2052" spans="1:32" s="1" customFormat="1" ht="20.25" customHeight="1" x14ac:dyDescent="0.25">
      <c r="A2052" s="2"/>
      <c r="B2052" s="2"/>
      <c r="C2052" s="2"/>
      <c r="D2052" s="2">
        <f>COUNTIF(contact[[#This Row],[Bagossy]:[Szo
03:00 - 10:00]],"=~?")</f>
        <v>0</v>
      </c>
      <c r="E2052" s="2">
        <f>COUNTIF(contact[[#This Row],[Bagossy]:[Szo
03:00 - 10:00]],"=x")</f>
        <v>0</v>
      </c>
      <c r="F2052" s="2">
        <f>SUM(contact[[#This Row],[?]:[x]])</f>
        <v>0</v>
      </c>
      <c r="G20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2" s="3" t="s">
        <v>3321</v>
      </c>
      <c r="K2052" s="1" t="s">
        <v>1616</v>
      </c>
      <c r="L2052" s="1" t="s">
        <v>2</v>
      </c>
      <c r="M2052" s="1" t="s">
        <v>2</v>
      </c>
      <c r="O2052" s="2"/>
      <c r="P2052" s="2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</row>
    <row r="2053" spans="1:32" s="1" customFormat="1" ht="20.25" customHeight="1" x14ac:dyDescent="0.25">
      <c r="A2053" s="2"/>
      <c r="B2053" s="2"/>
      <c r="C2053" s="2"/>
      <c r="D2053" s="2">
        <f>COUNTIF(contact[[#This Row],[Bagossy]:[Szo
03:00 - 10:00]],"=~?")</f>
        <v>0</v>
      </c>
      <c r="E2053" s="2">
        <f>COUNTIF(contact[[#This Row],[Bagossy]:[Szo
03:00 - 10:00]],"=x")</f>
        <v>0</v>
      </c>
      <c r="F2053" s="2">
        <f>SUM(contact[[#This Row],[?]:[x]])</f>
        <v>0</v>
      </c>
      <c r="G20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3" s="3" t="s">
        <v>3750</v>
      </c>
      <c r="K2053" s="1" t="s">
        <v>2</v>
      </c>
      <c r="L2053" s="1" t="s">
        <v>2</v>
      </c>
      <c r="M2053" s="1" t="s">
        <v>2</v>
      </c>
      <c r="O2053" s="2"/>
      <c r="P2053" s="2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</row>
    <row r="2054" spans="1:32" s="1" customFormat="1" ht="20.25" customHeight="1" x14ac:dyDescent="0.25">
      <c r="A2054" s="2"/>
      <c r="B2054" s="2"/>
      <c r="C2054" s="2"/>
      <c r="D2054" s="2">
        <f>COUNTIF(contact[[#This Row],[Bagossy]:[Szo
03:00 - 10:00]],"=~?")</f>
        <v>0</v>
      </c>
      <c r="E2054" s="2">
        <f>COUNTIF(contact[[#This Row],[Bagossy]:[Szo
03:00 - 10:00]],"=x")</f>
        <v>0</v>
      </c>
      <c r="F2054" s="2">
        <f>SUM(contact[[#This Row],[?]:[x]])</f>
        <v>0</v>
      </c>
      <c r="G20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4" s="3" t="s">
        <v>3780</v>
      </c>
      <c r="K2054" s="1" t="s">
        <v>1327</v>
      </c>
      <c r="L2054" s="1" t="s">
        <v>2</v>
      </c>
      <c r="M2054" s="1" t="s">
        <v>2</v>
      </c>
      <c r="O2054" s="2"/>
      <c r="P2054" s="2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</row>
    <row r="2055" spans="1:32" s="1" customFormat="1" ht="20.25" customHeight="1" x14ac:dyDescent="0.25">
      <c r="A2055" s="2"/>
      <c r="B2055" s="2"/>
      <c r="C2055" s="2" t="s">
        <v>1285</v>
      </c>
      <c r="D2055" s="2">
        <f>COUNTIF(contact[[#This Row],[Bagossy]:[Szo
03:00 - 10:00]],"=~?")</f>
        <v>0</v>
      </c>
      <c r="E2055" s="2">
        <f>COUNTIF(contact[[#This Row],[Bagossy]:[Szo
03:00 - 10:00]],"=x")</f>
        <v>0</v>
      </c>
      <c r="F2055" s="2">
        <f>SUM(contact[[#This Row],[?]:[x]])</f>
        <v>0</v>
      </c>
      <c r="G20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55" s="2"/>
      <c r="I2055" s="2"/>
      <c r="J2055" s="3" t="s">
        <v>3818</v>
      </c>
      <c r="K2055" s="1" t="s">
        <v>663</v>
      </c>
      <c r="L2055" s="1" t="s">
        <v>2</v>
      </c>
      <c r="M2055" s="1" t="s">
        <v>2</v>
      </c>
      <c r="O2055" s="2"/>
      <c r="P2055" s="2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</row>
    <row r="2056" spans="1:32" s="1" customFormat="1" ht="20.25" customHeight="1" x14ac:dyDescent="0.25">
      <c r="A2056" s="2"/>
      <c r="B2056" s="2"/>
      <c r="C2056" s="2"/>
      <c r="D2056" s="2">
        <f>COUNTIF(contact[[#This Row],[Bagossy]:[Szo
03:00 - 10:00]],"=~?")</f>
        <v>0</v>
      </c>
      <c r="E2056" s="2">
        <f>COUNTIF(contact[[#This Row],[Bagossy]:[Szo
03:00 - 10:00]],"=x")</f>
        <v>0</v>
      </c>
      <c r="F2056" s="2">
        <f>SUM(contact[[#This Row],[?]:[x]])</f>
        <v>0</v>
      </c>
      <c r="G20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56" s="2"/>
      <c r="I2056" s="2"/>
      <c r="J2056" s="3" t="s">
        <v>3822</v>
      </c>
      <c r="K2056" s="1" t="s">
        <v>1723</v>
      </c>
      <c r="L2056" s="1" t="s">
        <v>2</v>
      </c>
      <c r="M2056" s="1" t="s">
        <v>2</v>
      </c>
      <c r="O2056" s="2"/>
      <c r="P2056" s="2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</row>
    <row r="2057" spans="1:32" s="1" customFormat="1" ht="20.25" customHeight="1" x14ac:dyDescent="0.25">
      <c r="A2057" s="2"/>
      <c r="B2057" s="2"/>
      <c r="C2057" s="2"/>
      <c r="D2057" s="2">
        <f>COUNTIF(contact[[#This Row],[Bagossy]:[Szo
03:00 - 10:00]],"=~?")</f>
        <v>0</v>
      </c>
      <c r="E2057" s="2">
        <f>COUNTIF(contact[[#This Row],[Bagossy]:[Szo
03:00 - 10:00]],"=x")</f>
        <v>0</v>
      </c>
      <c r="F2057" s="2">
        <f>SUM(contact[[#This Row],[?]:[x]])</f>
        <v>0</v>
      </c>
      <c r="G20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7" s="3" t="s">
        <v>3822</v>
      </c>
      <c r="K2057" s="1" t="s">
        <v>1871</v>
      </c>
      <c r="L2057" s="1" t="s">
        <v>2</v>
      </c>
      <c r="M2057" s="1" t="s">
        <v>2</v>
      </c>
      <c r="O2057" s="2"/>
      <c r="P2057" s="2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</row>
    <row r="2058" spans="1:32" s="1" customFormat="1" ht="20.25" customHeight="1" x14ac:dyDescent="0.25">
      <c r="A2058" s="2"/>
      <c r="B2058" s="2"/>
      <c r="C2058" s="2"/>
      <c r="D2058" s="2">
        <f>COUNTIF(contact[[#This Row],[Bagossy]:[Szo
03:00 - 10:00]],"=~?")</f>
        <v>0</v>
      </c>
      <c r="E2058" s="2">
        <f>COUNTIF(contact[[#This Row],[Bagossy]:[Szo
03:00 - 10:00]],"=x")</f>
        <v>0</v>
      </c>
      <c r="F2058" s="2">
        <f>SUM(contact[[#This Row],[?]:[x]])</f>
        <v>0</v>
      </c>
      <c r="G20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58" s="2"/>
      <c r="I2058" s="2"/>
      <c r="J2058" s="3" t="s">
        <v>3823</v>
      </c>
      <c r="K2058" s="1" t="s">
        <v>92</v>
      </c>
      <c r="L2058" s="1" t="s">
        <v>2</v>
      </c>
      <c r="M2058" s="1" t="s">
        <v>2</v>
      </c>
      <c r="O2058" s="2"/>
      <c r="P2058" s="2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</row>
    <row r="2059" spans="1:32" s="1" customFormat="1" ht="20.25" customHeight="1" x14ac:dyDescent="0.25">
      <c r="A2059" s="2"/>
      <c r="B2059" s="2"/>
      <c r="C2059" s="2"/>
      <c r="D2059" s="2">
        <f>COUNTIF(contact[[#This Row],[Bagossy]:[Szo
03:00 - 10:00]],"=~?")</f>
        <v>0</v>
      </c>
      <c r="E2059" s="2">
        <f>COUNTIF(contact[[#This Row],[Bagossy]:[Szo
03:00 - 10:00]],"=x")</f>
        <v>0</v>
      </c>
      <c r="F2059" s="2">
        <f>SUM(contact[[#This Row],[?]:[x]])</f>
        <v>0</v>
      </c>
      <c r="G20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59" s="3" t="s">
        <v>1975</v>
      </c>
      <c r="K2059" s="1" t="s">
        <v>2</v>
      </c>
      <c r="L2059" s="1" t="s">
        <v>2</v>
      </c>
      <c r="M2059" s="1" t="s">
        <v>2</v>
      </c>
      <c r="O2059" s="2"/>
      <c r="P2059" s="2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</row>
    <row r="2060" spans="1:32" s="1" customFormat="1" ht="20.25" customHeight="1" x14ac:dyDescent="0.25">
      <c r="A2060" s="2"/>
      <c r="B2060" s="2"/>
      <c r="C2060" s="2"/>
      <c r="D2060" s="2">
        <f>COUNTIF(contact[[#This Row],[Bagossy]:[Szo
03:00 - 10:00]],"=~?")</f>
        <v>0</v>
      </c>
      <c r="E2060" s="2">
        <f>COUNTIF(contact[[#This Row],[Bagossy]:[Szo
03:00 - 10:00]],"=x")</f>
        <v>0</v>
      </c>
      <c r="F2060" s="2">
        <f>SUM(contact[[#This Row],[?]:[x]])</f>
        <v>0</v>
      </c>
      <c r="G20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0" s="3" t="s">
        <v>2553</v>
      </c>
      <c r="K2060" s="1" t="s">
        <v>2</v>
      </c>
      <c r="L2060" s="1" t="s">
        <v>2</v>
      </c>
      <c r="M2060" s="1" t="s">
        <v>2</v>
      </c>
      <c r="O2060" s="2"/>
      <c r="P2060" s="2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</row>
    <row r="2061" spans="1:32" s="1" customFormat="1" ht="20.25" customHeight="1" x14ac:dyDescent="0.25">
      <c r="A2061" s="2"/>
      <c r="B2061" s="2"/>
      <c r="C2061" s="2"/>
      <c r="D2061" s="2">
        <f>COUNTIF(contact[[#This Row],[Bagossy]:[Szo
03:00 - 10:00]],"=~?")</f>
        <v>0</v>
      </c>
      <c r="E2061" s="2">
        <f>COUNTIF(contact[[#This Row],[Bagossy]:[Szo
03:00 - 10:00]],"=x")</f>
        <v>0</v>
      </c>
      <c r="F2061" s="2">
        <f>SUM(contact[[#This Row],[?]:[x]])</f>
        <v>0</v>
      </c>
      <c r="G20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1" s="3" t="s">
        <v>2426</v>
      </c>
      <c r="K2061" s="1" t="s">
        <v>302</v>
      </c>
      <c r="L2061" s="1" t="s">
        <v>2</v>
      </c>
      <c r="M2061" s="1" t="s">
        <v>2</v>
      </c>
      <c r="O2061" s="2"/>
      <c r="P2061" s="2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</row>
    <row r="2062" spans="1:32" s="1" customFormat="1" ht="20.25" customHeight="1" x14ac:dyDescent="0.25">
      <c r="A2062" s="2"/>
      <c r="B2062" s="2"/>
      <c r="C2062" s="2"/>
      <c r="D2062" s="2">
        <f>COUNTIF(contact[[#This Row],[Bagossy]:[Szo
03:00 - 10:00]],"=~?")</f>
        <v>0</v>
      </c>
      <c r="E2062" s="2">
        <f>COUNTIF(contact[[#This Row],[Bagossy]:[Szo
03:00 - 10:00]],"=x")</f>
        <v>0</v>
      </c>
      <c r="F2062" s="2">
        <f>SUM(contact[[#This Row],[?]:[x]])</f>
        <v>0</v>
      </c>
      <c r="G20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2" s="3" t="s">
        <v>4368</v>
      </c>
      <c r="K2062" s="1" t="s">
        <v>1138</v>
      </c>
      <c r="L2062" s="1" t="s">
        <v>2</v>
      </c>
      <c r="M2062" s="1" t="s">
        <v>2</v>
      </c>
      <c r="O2062" s="2"/>
      <c r="P2062" s="2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</row>
    <row r="2063" spans="1:32" s="1" customFormat="1" ht="20.25" customHeight="1" x14ac:dyDescent="0.25">
      <c r="A2063" s="2"/>
      <c r="B2063" s="2"/>
      <c r="C2063" s="2"/>
      <c r="D2063" s="2">
        <f>COUNTIF(contact[[#This Row],[Bagossy]:[Szo
03:00 - 10:00]],"=~?")</f>
        <v>0</v>
      </c>
      <c r="E2063" s="2">
        <f>COUNTIF(contact[[#This Row],[Bagossy]:[Szo
03:00 - 10:00]],"=x")</f>
        <v>0</v>
      </c>
      <c r="F2063" s="2">
        <f>SUM(contact[[#This Row],[?]:[x]])</f>
        <v>0</v>
      </c>
      <c r="G20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3" s="3" t="s">
        <v>2241</v>
      </c>
      <c r="K2063" s="1" t="s">
        <v>2</v>
      </c>
      <c r="L2063" s="1" t="s">
        <v>2</v>
      </c>
      <c r="M2063" s="1" t="s">
        <v>2</v>
      </c>
      <c r="O2063" s="2"/>
      <c r="P2063" s="2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</row>
    <row r="2064" spans="1:32" s="1" customFormat="1" ht="20.25" customHeight="1" x14ac:dyDescent="0.25">
      <c r="A2064" s="2"/>
      <c r="B2064" s="2"/>
      <c r="C2064" s="2"/>
      <c r="D2064" s="2">
        <f>COUNTIF(contact[[#This Row],[Bagossy]:[Szo
03:00 - 10:00]],"=~?")</f>
        <v>0</v>
      </c>
      <c r="E2064" s="2">
        <f>COUNTIF(contact[[#This Row],[Bagossy]:[Szo
03:00 - 10:00]],"=x")</f>
        <v>0</v>
      </c>
      <c r="F2064" s="2">
        <f>SUM(contact[[#This Row],[?]:[x]])</f>
        <v>0</v>
      </c>
      <c r="G20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4" s="3" t="s">
        <v>2623</v>
      </c>
      <c r="K2064" s="1" t="s">
        <v>39</v>
      </c>
      <c r="L2064" s="1" t="s">
        <v>2</v>
      </c>
      <c r="M2064" s="1" t="s">
        <v>2</v>
      </c>
      <c r="O2064" s="2"/>
      <c r="P2064" s="2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</row>
    <row r="2065" spans="1:32" s="1" customFormat="1" ht="20.25" customHeight="1" x14ac:dyDescent="0.25">
      <c r="A2065" s="2"/>
      <c r="B2065" s="2"/>
      <c r="C2065" s="2"/>
      <c r="D2065" s="2">
        <f>COUNTIF(contact[[#This Row],[Bagossy]:[Szo
03:00 - 10:00]],"=~?")</f>
        <v>0</v>
      </c>
      <c r="E2065" s="2">
        <f>COUNTIF(contact[[#This Row],[Bagossy]:[Szo
03:00 - 10:00]],"=x")</f>
        <v>0</v>
      </c>
      <c r="F2065" s="2">
        <f>SUM(contact[[#This Row],[?]:[x]])</f>
        <v>0</v>
      </c>
      <c r="G20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5" s="3" t="s">
        <v>2427</v>
      </c>
      <c r="K2065" s="1" t="s">
        <v>303</v>
      </c>
      <c r="L2065" s="1" t="s">
        <v>2</v>
      </c>
      <c r="M2065" s="1" t="s">
        <v>2</v>
      </c>
      <c r="O2065" s="2"/>
      <c r="P2065" s="2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</row>
    <row r="2066" spans="1:32" s="1" customFormat="1" ht="20.25" customHeight="1" x14ac:dyDescent="0.25">
      <c r="A2066" s="2"/>
      <c r="B2066" s="2"/>
      <c r="C2066" s="2"/>
      <c r="D2066" s="2">
        <f>COUNTIF(contact[[#This Row],[Bagossy]:[Szo
03:00 - 10:00]],"=~?")</f>
        <v>0</v>
      </c>
      <c r="E2066" s="2">
        <f>COUNTIF(contact[[#This Row],[Bagossy]:[Szo
03:00 - 10:00]],"=x")</f>
        <v>0</v>
      </c>
      <c r="F2066" s="2">
        <f>SUM(contact[[#This Row],[?]:[x]])</f>
        <v>0</v>
      </c>
      <c r="G20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6" s="3" t="s">
        <v>1937</v>
      </c>
      <c r="K2066" s="1" t="s">
        <v>23</v>
      </c>
      <c r="L2066" s="1" t="s">
        <v>2</v>
      </c>
      <c r="M2066" s="1" t="s">
        <v>2</v>
      </c>
      <c r="O2066" s="2"/>
      <c r="P2066" s="2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</row>
    <row r="2067" spans="1:32" s="1" customFormat="1" ht="20.25" customHeight="1" x14ac:dyDescent="0.25">
      <c r="A2067" s="2"/>
      <c r="B2067" s="2"/>
      <c r="C2067" s="2"/>
      <c r="D2067" s="2">
        <f>COUNTIF(contact[[#This Row],[Bagossy]:[Szo
03:00 - 10:00]],"=~?")</f>
        <v>0</v>
      </c>
      <c r="E2067" s="2">
        <f>COUNTIF(contact[[#This Row],[Bagossy]:[Szo
03:00 - 10:00]],"=x")</f>
        <v>0</v>
      </c>
      <c r="F2067" s="2">
        <f>SUM(contact[[#This Row],[?]:[x]])</f>
        <v>0</v>
      </c>
      <c r="G20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7" s="3" t="s">
        <v>2776</v>
      </c>
      <c r="K2067" s="1" t="s">
        <v>486</v>
      </c>
      <c r="L2067" s="1" t="s">
        <v>2</v>
      </c>
      <c r="M2067" s="1" t="s">
        <v>2</v>
      </c>
      <c r="O2067" s="2"/>
      <c r="P2067" s="2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</row>
    <row r="2068" spans="1:32" s="1" customFormat="1" ht="20.25" customHeight="1" x14ac:dyDescent="0.25">
      <c r="A2068" s="2"/>
      <c r="B2068" s="2"/>
      <c r="C2068" s="2"/>
      <c r="D2068" s="2">
        <f>COUNTIF(contact[[#This Row],[Bagossy]:[Szo
03:00 - 10:00]],"=~?")</f>
        <v>0</v>
      </c>
      <c r="E2068" s="2">
        <f>COUNTIF(contact[[#This Row],[Bagossy]:[Szo
03:00 - 10:00]],"=x")</f>
        <v>0</v>
      </c>
      <c r="F2068" s="2">
        <f>SUM(contact[[#This Row],[?]:[x]])</f>
        <v>0</v>
      </c>
      <c r="G20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68" s="3" t="s">
        <v>3312</v>
      </c>
      <c r="K2068" s="1" t="s">
        <v>2</v>
      </c>
      <c r="L2068" s="1" t="s">
        <v>2</v>
      </c>
      <c r="M2068" s="1" t="s">
        <v>2</v>
      </c>
      <c r="O2068" s="2"/>
      <c r="P2068" s="2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</row>
    <row r="2069" spans="1:32" s="1" customFormat="1" ht="20.25" customHeight="1" x14ac:dyDescent="0.25">
      <c r="A2069" s="2"/>
      <c r="B2069" s="2"/>
      <c r="C2069" s="2"/>
      <c r="D2069" s="2">
        <f>COUNTIF(contact[[#This Row],[Bagossy]:[Szo
03:00 - 10:00]],"=~?")</f>
        <v>0</v>
      </c>
      <c r="E2069" s="2">
        <f>COUNTIF(contact[[#This Row],[Bagossy]:[Szo
03:00 - 10:00]],"=x")</f>
        <v>0</v>
      </c>
      <c r="F2069" s="2">
        <f>SUM(contact[[#This Row],[?]:[x]])</f>
        <v>0</v>
      </c>
      <c r="G20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69" s="2"/>
      <c r="I2069" s="2"/>
      <c r="J2069" s="3" t="s">
        <v>3842</v>
      </c>
      <c r="K2069" s="1" t="s">
        <v>6</v>
      </c>
      <c r="L2069" s="1" t="s">
        <v>2</v>
      </c>
      <c r="M2069" s="1" t="s">
        <v>2</v>
      </c>
      <c r="O2069" s="2"/>
      <c r="P2069" s="2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</row>
    <row r="2070" spans="1:32" s="1" customFormat="1" ht="20.25" customHeight="1" x14ac:dyDescent="0.25">
      <c r="A2070" s="2"/>
      <c r="B2070" s="2"/>
      <c r="C2070" s="2"/>
      <c r="D2070" s="2">
        <f>COUNTIF(contact[[#This Row],[Bagossy]:[Szo
03:00 - 10:00]],"=~?")</f>
        <v>0</v>
      </c>
      <c r="E2070" s="2">
        <f>COUNTIF(contact[[#This Row],[Bagossy]:[Szo
03:00 - 10:00]],"=x")</f>
        <v>0</v>
      </c>
      <c r="F2070" s="2">
        <f>SUM(contact[[#This Row],[?]:[x]])</f>
        <v>0</v>
      </c>
      <c r="G20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70" s="2"/>
      <c r="I2070" s="2"/>
      <c r="J2070" s="3" t="s">
        <v>3845</v>
      </c>
      <c r="K2070" s="1" t="s">
        <v>1251</v>
      </c>
      <c r="L2070" s="1" t="s">
        <v>2</v>
      </c>
      <c r="M2070" s="1" t="s">
        <v>2</v>
      </c>
      <c r="O2070" s="2"/>
      <c r="P2070" s="2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</row>
    <row r="2071" spans="1:32" s="1" customFormat="1" ht="20.25" customHeight="1" x14ac:dyDescent="0.25">
      <c r="A2071" s="2"/>
      <c r="B2071" s="2"/>
      <c r="C2071" s="2"/>
      <c r="D2071" s="2">
        <f>COUNTIF(contact[[#This Row],[Bagossy]:[Szo
03:00 - 10:00]],"=~?")</f>
        <v>0</v>
      </c>
      <c r="E2071" s="2">
        <f>COUNTIF(contact[[#This Row],[Bagossy]:[Szo
03:00 - 10:00]],"=x")</f>
        <v>0</v>
      </c>
      <c r="F2071" s="2">
        <f>SUM(contact[[#This Row],[?]:[x]])</f>
        <v>0</v>
      </c>
      <c r="G20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1" s="3" t="s">
        <v>3230</v>
      </c>
      <c r="K2071" s="1" t="s">
        <v>615</v>
      </c>
      <c r="L2071" s="1" t="s">
        <v>2</v>
      </c>
      <c r="M2071" s="1" t="s">
        <v>2</v>
      </c>
      <c r="O2071" s="2"/>
      <c r="P2071" s="2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</row>
    <row r="2072" spans="1:32" s="1" customFormat="1" ht="20.25" customHeight="1" x14ac:dyDescent="0.25">
      <c r="A2072" s="2"/>
      <c r="B2072" s="2"/>
      <c r="C2072" s="2" t="s">
        <v>1285</v>
      </c>
      <c r="D2072" s="2">
        <f>COUNTIF(contact[[#This Row],[Bagossy]:[Szo
03:00 - 10:00]],"=~?")</f>
        <v>0</v>
      </c>
      <c r="E2072" s="2">
        <f>COUNTIF(contact[[#This Row],[Bagossy]:[Szo
03:00 - 10:00]],"=x")</f>
        <v>0</v>
      </c>
      <c r="F2072" s="2">
        <f>SUM(contact[[#This Row],[?]:[x]])</f>
        <v>0</v>
      </c>
      <c r="G20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72" s="2"/>
      <c r="I2072" s="2"/>
      <c r="J2072" s="3" t="s">
        <v>3847</v>
      </c>
      <c r="K2072" s="1" t="s">
        <v>91</v>
      </c>
      <c r="L2072" s="1" t="s">
        <v>2</v>
      </c>
      <c r="M2072" s="1" t="s">
        <v>2</v>
      </c>
      <c r="O2072" s="2"/>
      <c r="P2072" s="2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</row>
    <row r="2073" spans="1:32" s="1" customFormat="1" ht="20.25" customHeight="1" x14ac:dyDescent="0.25">
      <c r="A2073" s="2"/>
      <c r="B2073" s="2"/>
      <c r="C2073" s="2"/>
      <c r="D2073" s="2">
        <f>COUNTIF(contact[[#This Row],[Bagossy]:[Szo
03:00 - 10:00]],"=~?")</f>
        <v>0</v>
      </c>
      <c r="E2073" s="2">
        <f>COUNTIF(contact[[#This Row],[Bagossy]:[Szo
03:00 - 10:00]],"=x")</f>
        <v>0</v>
      </c>
      <c r="F2073" s="2">
        <f>SUM(contact[[#This Row],[?]:[x]])</f>
        <v>0</v>
      </c>
      <c r="G20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3" s="3" t="s">
        <v>956</v>
      </c>
      <c r="K2073" s="1" t="s">
        <v>2</v>
      </c>
      <c r="L2073" s="1" t="s">
        <v>2</v>
      </c>
      <c r="M2073" s="1" t="s">
        <v>2</v>
      </c>
      <c r="O2073" s="2"/>
      <c r="P2073" s="2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</row>
    <row r="2074" spans="1:32" s="1" customFormat="1" ht="20.25" customHeight="1" x14ac:dyDescent="0.25">
      <c r="A2074" s="2"/>
      <c r="B2074" s="2"/>
      <c r="C2074" s="2"/>
      <c r="D2074" s="2">
        <f>COUNTIF(contact[[#This Row],[Bagossy]:[Szo
03:00 - 10:00]],"=~?")</f>
        <v>0</v>
      </c>
      <c r="E2074" s="2">
        <f>COUNTIF(contact[[#This Row],[Bagossy]:[Szo
03:00 - 10:00]],"=x")</f>
        <v>0</v>
      </c>
      <c r="F2074" s="2">
        <f>SUM(contact[[#This Row],[?]:[x]])</f>
        <v>0</v>
      </c>
      <c r="G20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4" s="3" t="s">
        <v>3478</v>
      </c>
      <c r="K2074" s="1" t="s">
        <v>1655</v>
      </c>
      <c r="L2074" s="1" t="s">
        <v>2</v>
      </c>
      <c r="M2074" s="1" t="s">
        <v>2</v>
      </c>
      <c r="O2074" s="2"/>
      <c r="P2074" s="2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</row>
    <row r="2075" spans="1:32" s="1" customFormat="1" ht="20.25" customHeight="1" x14ac:dyDescent="0.25">
      <c r="A2075" s="2"/>
      <c r="B2075" s="2"/>
      <c r="C2075" s="2"/>
      <c r="D2075" s="2">
        <f>COUNTIF(contact[[#This Row],[Bagossy]:[Szo
03:00 - 10:00]],"=~?")</f>
        <v>0</v>
      </c>
      <c r="E2075" s="2">
        <f>COUNTIF(contact[[#This Row],[Bagossy]:[Szo
03:00 - 10:00]],"=x")</f>
        <v>0</v>
      </c>
      <c r="F2075" s="2">
        <f>SUM(contact[[#This Row],[?]:[x]])</f>
        <v>0</v>
      </c>
      <c r="G20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5" s="3" t="s">
        <v>2242</v>
      </c>
      <c r="K2075" s="1" t="s">
        <v>2</v>
      </c>
      <c r="L2075" s="1" t="s">
        <v>2</v>
      </c>
      <c r="M2075" s="1" t="s">
        <v>2</v>
      </c>
      <c r="O2075" s="2"/>
      <c r="P2075" s="2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</row>
    <row r="2076" spans="1:32" s="1" customFormat="1" ht="20.25" customHeight="1" x14ac:dyDescent="0.25">
      <c r="A2076" s="2"/>
      <c r="B2076" s="2"/>
      <c r="C2076" s="2"/>
      <c r="D2076" s="2">
        <f>COUNTIF(contact[[#This Row],[Bagossy]:[Szo
03:00 - 10:00]],"=~?")</f>
        <v>0</v>
      </c>
      <c r="E2076" s="2">
        <f>COUNTIF(contact[[#This Row],[Bagossy]:[Szo
03:00 - 10:00]],"=x")</f>
        <v>0</v>
      </c>
      <c r="F2076" s="2">
        <f>SUM(contact[[#This Row],[?]:[x]])</f>
        <v>0</v>
      </c>
      <c r="G20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6" s="3" t="s">
        <v>957</v>
      </c>
      <c r="K2076" s="1" t="s">
        <v>2</v>
      </c>
      <c r="L2076" s="1" t="s">
        <v>2</v>
      </c>
      <c r="M2076" s="1" t="s">
        <v>2</v>
      </c>
      <c r="O2076" s="2"/>
      <c r="P2076" s="2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</row>
    <row r="2077" spans="1:32" s="1" customFormat="1" ht="20.25" customHeight="1" x14ac:dyDescent="0.25">
      <c r="A2077" s="2"/>
      <c r="B2077" s="2"/>
      <c r="C2077" s="2"/>
      <c r="D2077" s="2">
        <f>COUNTIF(contact[[#This Row],[Bagossy]:[Szo
03:00 - 10:00]],"=~?")</f>
        <v>0</v>
      </c>
      <c r="E2077" s="2">
        <f>COUNTIF(contact[[#This Row],[Bagossy]:[Szo
03:00 - 10:00]],"=x")</f>
        <v>0</v>
      </c>
      <c r="F2077" s="2">
        <f>SUM(contact[[#This Row],[?]:[x]])</f>
        <v>0</v>
      </c>
      <c r="G20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7" s="3" t="s">
        <v>959</v>
      </c>
      <c r="K2077" s="1" t="s">
        <v>2</v>
      </c>
      <c r="L2077" s="1" t="s">
        <v>2</v>
      </c>
      <c r="M2077" s="1" t="s">
        <v>2</v>
      </c>
      <c r="O2077" s="2"/>
      <c r="P2077" s="2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</row>
    <row r="2078" spans="1:32" s="1" customFormat="1" ht="20.25" customHeight="1" x14ac:dyDescent="0.25">
      <c r="A2078" s="2"/>
      <c r="B2078" s="2"/>
      <c r="C2078" s="2"/>
      <c r="D2078" s="2">
        <f>COUNTIF(contact[[#This Row],[Bagossy]:[Szo
03:00 - 10:00]],"=~?")</f>
        <v>0</v>
      </c>
      <c r="E2078" s="2">
        <f>COUNTIF(contact[[#This Row],[Bagossy]:[Szo
03:00 - 10:00]],"=x")</f>
        <v>0</v>
      </c>
      <c r="F2078" s="2">
        <f>SUM(contact[[#This Row],[?]:[x]])</f>
        <v>0</v>
      </c>
      <c r="G20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8" s="3" t="s">
        <v>960</v>
      </c>
      <c r="K2078" s="1" t="s">
        <v>2</v>
      </c>
      <c r="L2078" s="1" t="s">
        <v>2</v>
      </c>
      <c r="M2078" s="1" t="s">
        <v>2</v>
      </c>
      <c r="O2078" s="2"/>
      <c r="P2078" s="2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</row>
    <row r="2079" spans="1:32" s="1" customFormat="1" ht="20.25" customHeight="1" x14ac:dyDescent="0.25">
      <c r="A2079" s="2"/>
      <c r="B2079" s="2"/>
      <c r="C2079" s="2"/>
      <c r="D2079" s="2">
        <f>COUNTIF(contact[[#This Row],[Bagossy]:[Szo
03:00 - 10:00]],"=~?")</f>
        <v>0</v>
      </c>
      <c r="E2079" s="2">
        <f>COUNTIF(contact[[#This Row],[Bagossy]:[Szo
03:00 - 10:00]],"=x")</f>
        <v>0</v>
      </c>
      <c r="F2079" s="2">
        <f>SUM(contact[[#This Row],[?]:[x]])</f>
        <v>0</v>
      </c>
      <c r="G20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79" s="3" t="s">
        <v>961</v>
      </c>
      <c r="K2079" s="1" t="s">
        <v>2</v>
      </c>
      <c r="L2079" s="1" t="s">
        <v>2</v>
      </c>
      <c r="M2079" s="1" t="s">
        <v>2</v>
      </c>
      <c r="O2079" s="2"/>
      <c r="P2079" s="2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</row>
    <row r="2080" spans="1:32" s="1" customFormat="1" ht="20.25" customHeight="1" x14ac:dyDescent="0.25">
      <c r="A2080" s="2"/>
      <c r="B2080" s="2"/>
      <c r="C2080" s="2"/>
      <c r="D2080" s="2">
        <f>COUNTIF(contact[[#This Row],[Bagossy]:[Szo
03:00 - 10:00]],"=~?")</f>
        <v>0</v>
      </c>
      <c r="E2080" s="2">
        <f>COUNTIF(contact[[#This Row],[Bagossy]:[Szo
03:00 - 10:00]],"=x")</f>
        <v>0</v>
      </c>
      <c r="F2080" s="2">
        <f>SUM(contact[[#This Row],[?]:[x]])</f>
        <v>0</v>
      </c>
      <c r="G20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0" s="3" t="s">
        <v>963</v>
      </c>
      <c r="K2080" s="1" t="s">
        <v>2</v>
      </c>
      <c r="L2080" s="1" t="s">
        <v>2</v>
      </c>
      <c r="M2080" s="1" t="s">
        <v>2</v>
      </c>
      <c r="O2080" s="2"/>
      <c r="P2080" s="2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</row>
    <row r="2081" spans="1:32" s="1" customFormat="1" ht="20.25" customHeight="1" x14ac:dyDescent="0.25">
      <c r="A2081" s="2"/>
      <c r="B2081" s="2"/>
      <c r="C2081" s="2"/>
      <c r="D2081" s="2">
        <f>COUNTIF(contact[[#This Row],[Bagossy]:[Szo
03:00 - 10:00]],"=~?")</f>
        <v>0</v>
      </c>
      <c r="E2081" s="2">
        <f>COUNTIF(contact[[#This Row],[Bagossy]:[Szo
03:00 - 10:00]],"=x")</f>
        <v>0</v>
      </c>
      <c r="F2081" s="2">
        <f>SUM(contact[[#This Row],[?]:[x]])</f>
        <v>0</v>
      </c>
      <c r="G20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1" s="3" t="s">
        <v>2590</v>
      </c>
      <c r="K2081" s="1" t="s">
        <v>2</v>
      </c>
      <c r="L2081" s="1" t="s">
        <v>354</v>
      </c>
      <c r="M2081" s="1" t="s">
        <v>395</v>
      </c>
      <c r="O2081" s="2"/>
      <c r="P2081" s="2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</row>
    <row r="2082" spans="1:32" s="1" customFormat="1" ht="20.25" customHeight="1" x14ac:dyDescent="0.25">
      <c r="A2082" s="2"/>
      <c r="B2082" s="2"/>
      <c r="C2082" s="2"/>
      <c r="D2082" s="2">
        <f>COUNTIF(contact[[#This Row],[Bagossy]:[Szo
03:00 - 10:00]],"=~?")</f>
        <v>0</v>
      </c>
      <c r="E2082" s="2">
        <f>COUNTIF(contact[[#This Row],[Bagossy]:[Szo
03:00 - 10:00]],"=x")</f>
        <v>0</v>
      </c>
      <c r="F2082" s="2">
        <f>SUM(contact[[#This Row],[?]:[x]])</f>
        <v>0</v>
      </c>
      <c r="G20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2" s="3" t="s">
        <v>2601</v>
      </c>
      <c r="K2082" s="1" t="s">
        <v>2</v>
      </c>
      <c r="L2082" s="1" t="s">
        <v>2</v>
      </c>
      <c r="M2082" s="1" t="s">
        <v>2</v>
      </c>
      <c r="O2082" s="2"/>
      <c r="P2082" s="2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</row>
    <row r="2083" spans="1:32" s="1" customFormat="1" ht="20.25" customHeight="1" x14ac:dyDescent="0.25">
      <c r="A2083" s="2"/>
      <c r="B2083" s="2"/>
      <c r="C2083" s="2"/>
      <c r="D2083" s="2">
        <f>COUNTIF(contact[[#This Row],[Bagossy]:[Szo
03:00 - 10:00]],"=~?")</f>
        <v>0</v>
      </c>
      <c r="E2083" s="2">
        <f>COUNTIF(contact[[#This Row],[Bagossy]:[Szo
03:00 - 10:00]],"=x")</f>
        <v>0</v>
      </c>
      <c r="F2083" s="2">
        <f>SUM(contact[[#This Row],[?]:[x]])</f>
        <v>0</v>
      </c>
      <c r="G20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3" s="3" t="s">
        <v>3938</v>
      </c>
      <c r="K2083" s="1" t="s">
        <v>2</v>
      </c>
      <c r="L2083" s="1" t="s">
        <v>354</v>
      </c>
      <c r="M2083" s="1" t="s">
        <v>1021</v>
      </c>
      <c r="O2083" s="2"/>
      <c r="P2083" s="2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</row>
    <row r="2084" spans="1:32" s="1" customFormat="1" ht="20.25" customHeight="1" x14ac:dyDescent="0.25">
      <c r="A2084" s="2"/>
      <c r="B2084" s="2"/>
      <c r="C2084" s="2"/>
      <c r="D2084" s="2">
        <f>COUNTIF(contact[[#This Row],[Bagossy]:[Szo
03:00 - 10:00]],"=~?")</f>
        <v>0</v>
      </c>
      <c r="E2084" s="2">
        <f>COUNTIF(contact[[#This Row],[Bagossy]:[Szo
03:00 - 10:00]],"=x")</f>
        <v>0</v>
      </c>
      <c r="F2084" s="2">
        <f>SUM(contact[[#This Row],[?]:[x]])</f>
        <v>0</v>
      </c>
      <c r="G20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4" s="3" t="s">
        <v>4384</v>
      </c>
      <c r="K2084" s="1" t="s">
        <v>2</v>
      </c>
      <c r="L2084" s="1" t="s">
        <v>2</v>
      </c>
      <c r="M2084" s="1" t="s">
        <v>2</v>
      </c>
      <c r="O2084" s="2"/>
      <c r="P2084" s="2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</row>
    <row r="2085" spans="1:32" s="1" customFormat="1" ht="20.25" customHeight="1" x14ac:dyDescent="0.25">
      <c r="A2085" s="2"/>
      <c r="B2085" s="2"/>
      <c r="C2085" s="2"/>
      <c r="D2085" s="2">
        <f>COUNTIF(contact[[#This Row],[Bagossy]:[Szo
03:00 - 10:00]],"=~?")</f>
        <v>0</v>
      </c>
      <c r="E2085" s="2">
        <f>COUNTIF(contact[[#This Row],[Bagossy]:[Szo
03:00 - 10:00]],"=x")</f>
        <v>0</v>
      </c>
      <c r="F2085" s="2">
        <f>SUM(contact[[#This Row],[?]:[x]])</f>
        <v>0</v>
      </c>
      <c r="G20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5" s="3" t="s">
        <v>2559</v>
      </c>
      <c r="K2085" s="1" t="s">
        <v>2</v>
      </c>
      <c r="L2085" s="1" t="s">
        <v>2</v>
      </c>
      <c r="M2085" s="1" t="s">
        <v>2</v>
      </c>
      <c r="O2085" s="2"/>
      <c r="P2085" s="2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</row>
    <row r="2086" spans="1:32" s="1" customFormat="1" ht="20.25" customHeight="1" x14ac:dyDescent="0.25">
      <c r="A2086" s="2"/>
      <c r="B2086" s="2"/>
      <c r="C2086" s="2"/>
      <c r="D2086" s="2">
        <f>COUNTIF(contact[[#This Row],[Bagossy]:[Szo
03:00 - 10:00]],"=~?")</f>
        <v>0</v>
      </c>
      <c r="E2086" s="2">
        <f>COUNTIF(contact[[#This Row],[Bagossy]:[Szo
03:00 - 10:00]],"=x")</f>
        <v>0</v>
      </c>
      <c r="F2086" s="2">
        <f>SUM(contact[[#This Row],[?]:[x]])</f>
        <v>0</v>
      </c>
      <c r="G20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86" s="2"/>
      <c r="I2086" s="2"/>
      <c r="J2086" s="3" t="s">
        <v>3851</v>
      </c>
      <c r="K2086" s="1" t="s">
        <v>679</v>
      </c>
      <c r="L2086" s="1" t="s">
        <v>2</v>
      </c>
      <c r="M2086" s="1" t="s">
        <v>2</v>
      </c>
      <c r="O2086" s="2"/>
      <c r="P2086" s="2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</row>
    <row r="2087" spans="1:32" s="1" customFormat="1" ht="20.25" customHeight="1" x14ac:dyDescent="0.25">
      <c r="A2087" s="2"/>
      <c r="B2087" s="2"/>
      <c r="C2087" s="2"/>
      <c r="D2087" s="2">
        <f>COUNTIF(contact[[#This Row],[Bagossy]:[Szo
03:00 - 10:00]],"=~?")</f>
        <v>0</v>
      </c>
      <c r="E2087" s="2">
        <f>COUNTIF(contact[[#This Row],[Bagossy]:[Szo
03:00 - 10:00]],"=x")</f>
        <v>0</v>
      </c>
      <c r="F2087" s="2">
        <f>SUM(contact[[#This Row],[?]:[x]])</f>
        <v>0</v>
      </c>
      <c r="G20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7" s="3" t="s">
        <v>4477</v>
      </c>
      <c r="K2087" s="1" t="s">
        <v>1252</v>
      </c>
      <c r="L2087" s="1" t="s">
        <v>2</v>
      </c>
      <c r="M2087" s="1" t="s">
        <v>2</v>
      </c>
      <c r="O2087" s="2"/>
      <c r="P2087" s="2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</row>
    <row r="2088" spans="1:32" s="1" customFormat="1" ht="20.25" customHeight="1" x14ac:dyDescent="0.25">
      <c r="A2088" s="2"/>
      <c r="B2088" s="2"/>
      <c r="C2088" s="2"/>
      <c r="D2088" s="2">
        <f>COUNTIF(contact[[#This Row],[Bagossy]:[Szo
03:00 - 10:00]],"=~?")</f>
        <v>0</v>
      </c>
      <c r="E2088" s="2">
        <f>COUNTIF(contact[[#This Row],[Bagossy]:[Szo
03:00 - 10:00]],"=x")</f>
        <v>0</v>
      </c>
      <c r="F2088" s="2">
        <f>SUM(contact[[#This Row],[?]:[x]])</f>
        <v>0</v>
      </c>
      <c r="G20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8" s="3" t="s">
        <v>2868</v>
      </c>
      <c r="K2088" s="1" t="s">
        <v>534</v>
      </c>
      <c r="L2088" s="1" t="s">
        <v>2</v>
      </c>
      <c r="M2088" s="1" t="s">
        <v>2</v>
      </c>
      <c r="O2088" s="2"/>
      <c r="P2088" s="2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</row>
    <row r="2089" spans="1:32" s="1" customFormat="1" ht="20.25" customHeight="1" x14ac:dyDescent="0.25">
      <c r="A2089" s="2"/>
      <c r="B2089" s="2"/>
      <c r="C2089" s="2"/>
      <c r="D2089" s="2">
        <f>COUNTIF(contact[[#This Row],[Bagossy]:[Szo
03:00 - 10:00]],"=~?")</f>
        <v>0</v>
      </c>
      <c r="E2089" s="2">
        <f>COUNTIF(contact[[#This Row],[Bagossy]:[Szo
03:00 - 10:00]],"=x")</f>
        <v>0</v>
      </c>
      <c r="F2089" s="2">
        <f>SUM(contact[[#This Row],[?]:[x]])</f>
        <v>0</v>
      </c>
      <c r="G20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89" s="3" t="s">
        <v>3781</v>
      </c>
      <c r="K2089" s="1" t="s">
        <v>2</v>
      </c>
      <c r="L2089" s="1" t="s">
        <v>2</v>
      </c>
      <c r="M2089" s="1" t="s">
        <v>2</v>
      </c>
      <c r="O2089" s="2"/>
      <c r="P2089" s="2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</row>
    <row r="2090" spans="1:32" s="1" customFormat="1" ht="20.25" customHeight="1" x14ac:dyDescent="0.25">
      <c r="A2090" s="2"/>
      <c r="B2090" s="2"/>
      <c r="C2090" s="2"/>
      <c r="D2090" s="2">
        <f>COUNTIF(contact[[#This Row],[Bagossy]:[Szo
03:00 - 10:00]],"=~?")</f>
        <v>0</v>
      </c>
      <c r="E2090" s="2">
        <f>COUNTIF(contact[[#This Row],[Bagossy]:[Szo
03:00 - 10:00]],"=x")</f>
        <v>0</v>
      </c>
      <c r="F2090" s="2">
        <f>SUM(contact[[#This Row],[?]:[x]])</f>
        <v>0</v>
      </c>
      <c r="G20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0" s="3" t="s">
        <v>4135</v>
      </c>
      <c r="K2090" s="1" t="s">
        <v>1327</v>
      </c>
      <c r="L2090" s="1" t="s">
        <v>2</v>
      </c>
      <c r="M2090" s="1" t="s">
        <v>2</v>
      </c>
      <c r="O2090" s="2"/>
      <c r="P2090" s="2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</row>
    <row r="2091" spans="1:32" s="1" customFormat="1" ht="20.25" customHeight="1" x14ac:dyDescent="0.25">
      <c r="A2091" s="2"/>
      <c r="B2091" s="2"/>
      <c r="C2091" s="2"/>
      <c r="D2091" s="2">
        <f>COUNTIF(contact[[#This Row],[Bagossy]:[Szo
03:00 - 10:00]],"=~?")</f>
        <v>0</v>
      </c>
      <c r="E2091" s="2">
        <f>COUNTIF(contact[[#This Row],[Bagossy]:[Szo
03:00 - 10:00]],"=x")</f>
        <v>0</v>
      </c>
      <c r="F2091" s="2">
        <f>SUM(contact[[#This Row],[?]:[x]])</f>
        <v>0</v>
      </c>
      <c r="G20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1" s="3" t="s">
        <v>3772</v>
      </c>
      <c r="K2091" s="1" t="s">
        <v>814</v>
      </c>
      <c r="L2091" s="1" t="s">
        <v>2</v>
      </c>
      <c r="M2091" s="1" t="s">
        <v>2</v>
      </c>
      <c r="O2091" s="2"/>
      <c r="P2091" s="2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</row>
    <row r="2092" spans="1:32" s="1" customFormat="1" ht="20.25" customHeight="1" x14ac:dyDescent="0.25">
      <c r="A2092" s="2"/>
      <c r="B2092" s="2"/>
      <c r="C2092" s="2"/>
      <c r="D2092" s="2">
        <f>COUNTIF(contact[[#This Row],[Bagossy]:[Szo
03:00 - 10:00]],"=~?")</f>
        <v>0</v>
      </c>
      <c r="E2092" s="2">
        <f>COUNTIF(contact[[#This Row],[Bagossy]:[Szo
03:00 - 10:00]],"=x")</f>
        <v>0</v>
      </c>
      <c r="F2092" s="2">
        <f>SUM(contact[[#This Row],[?]:[x]])</f>
        <v>0</v>
      </c>
      <c r="G20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2" s="3" t="s">
        <v>4287</v>
      </c>
      <c r="K2092" s="1" t="s">
        <v>1831</v>
      </c>
      <c r="L2092" s="1" t="s">
        <v>2</v>
      </c>
      <c r="M2092" s="1" t="s">
        <v>2</v>
      </c>
      <c r="O2092" s="2"/>
      <c r="P2092" s="2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</row>
    <row r="2093" spans="1:32" s="1" customFormat="1" ht="20.25" customHeight="1" x14ac:dyDescent="0.25">
      <c r="A2093" s="2"/>
      <c r="B2093" s="2"/>
      <c r="C2093" s="2" t="s">
        <v>1285</v>
      </c>
      <c r="D2093" s="2">
        <f>COUNTIF(contact[[#This Row],[Bagossy]:[Szo
03:00 - 10:00]],"=~?")</f>
        <v>0</v>
      </c>
      <c r="E2093" s="2">
        <f>COUNTIF(contact[[#This Row],[Bagossy]:[Szo
03:00 - 10:00]],"=x")</f>
        <v>0</v>
      </c>
      <c r="F2093" s="2">
        <f>SUM(contact[[#This Row],[?]:[x]])</f>
        <v>0</v>
      </c>
      <c r="G20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93" s="2"/>
      <c r="I2093" s="2"/>
      <c r="J2093" s="3" t="s">
        <v>3852</v>
      </c>
      <c r="K2093" s="1" t="s">
        <v>6</v>
      </c>
      <c r="L2093" s="1" t="s">
        <v>2</v>
      </c>
      <c r="M2093" s="1" t="s">
        <v>2</v>
      </c>
      <c r="O2093" s="2"/>
      <c r="P2093" s="2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</row>
    <row r="2094" spans="1:32" s="1" customFormat="1" ht="20.25" customHeight="1" x14ac:dyDescent="0.25">
      <c r="A2094" s="2"/>
      <c r="B2094" s="2"/>
      <c r="C2094" s="2"/>
      <c r="D2094" s="2">
        <f>COUNTIF(contact[[#This Row],[Bagossy]:[Szo
03:00 - 10:00]],"=~?")</f>
        <v>0</v>
      </c>
      <c r="E2094" s="2">
        <f>COUNTIF(contact[[#This Row],[Bagossy]:[Szo
03:00 - 10:00]],"=x")</f>
        <v>0</v>
      </c>
      <c r="F2094" s="2">
        <f>SUM(contact[[#This Row],[?]:[x]])</f>
        <v>0</v>
      </c>
      <c r="G20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4" s="3" t="s">
        <v>3849</v>
      </c>
      <c r="K2094" s="1" t="s">
        <v>2</v>
      </c>
      <c r="L2094" s="1" t="s">
        <v>2</v>
      </c>
      <c r="M2094" s="1" t="s">
        <v>2</v>
      </c>
      <c r="O2094" s="2"/>
      <c r="P2094" s="2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</row>
    <row r="2095" spans="1:32" s="1" customFormat="1" ht="20.25" customHeight="1" x14ac:dyDescent="0.25">
      <c r="A2095" s="2"/>
      <c r="B2095" s="2"/>
      <c r="C2095" s="2" t="s">
        <v>1285</v>
      </c>
      <c r="D2095" s="2">
        <f>COUNTIF(contact[[#This Row],[Bagossy]:[Szo
03:00 - 10:00]],"=~?")</f>
        <v>0</v>
      </c>
      <c r="E2095" s="2">
        <f>COUNTIF(contact[[#This Row],[Bagossy]:[Szo
03:00 - 10:00]],"=x")</f>
        <v>0</v>
      </c>
      <c r="F2095" s="2">
        <f>SUM(contact[[#This Row],[?]:[x]])</f>
        <v>0</v>
      </c>
      <c r="G20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095" s="2"/>
      <c r="I2095" s="2"/>
      <c r="J2095" s="3" t="s">
        <v>3854</v>
      </c>
      <c r="K2095" s="1" t="s">
        <v>6</v>
      </c>
      <c r="L2095" s="1" t="s">
        <v>2</v>
      </c>
      <c r="M2095" s="1" t="s">
        <v>2</v>
      </c>
      <c r="O2095" s="2"/>
      <c r="P2095" s="2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</row>
    <row r="2096" spans="1:32" s="1" customFormat="1" ht="20.25" customHeight="1" x14ac:dyDescent="0.25">
      <c r="A2096" s="2"/>
      <c r="B2096" s="2"/>
      <c r="C2096" s="2"/>
      <c r="D2096" s="2">
        <f>COUNTIF(contact[[#This Row],[Bagossy]:[Szo
03:00 - 10:00]],"=~?")</f>
        <v>0</v>
      </c>
      <c r="E2096" s="2">
        <f>COUNTIF(contact[[#This Row],[Bagossy]:[Szo
03:00 - 10:00]],"=x")</f>
        <v>0</v>
      </c>
      <c r="F2096" s="2">
        <f>SUM(contact[[#This Row],[?]:[x]])</f>
        <v>0</v>
      </c>
      <c r="G20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6" s="3" t="s">
        <v>965</v>
      </c>
      <c r="K2096" s="1" t="s">
        <v>2</v>
      </c>
      <c r="L2096" s="1" t="s">
        <v>2</v>
      </c>
      <c r="M2096" s="1" t="s">
        <v>2</v>
      </c>
      <c r="O2096" s="2"/>
      <c r="P2096" s="2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</row>
    <row r="2097" spans="1:32" s="1" customFormat="1" ht="20.25" customHeight="1" x14ac:dyDescent="0.25">
      <c r="A2097" s="2"/>
      <c r="B2097" s="2"/>
      <c r="C2097" s="2"/>
      <c r="D2097" s="2">
        <f>COUNTIF(contact[[#This Row],[Bagossy]:[Szo
03:00 - 10:00]],"=~?")</f>
        <v>0</v>
      </c>
      <c r="E2097" s="2">
        <f>COUNTIF(contact[[#This Row],[Bagossy]:[Szo
03:00 - 10:00]],"=x")</f>
        <v>0</v>
      </c>
      <c r="F2097" s="2">
        <f>SUM(contact[[#This Row],[?]:[x]])</f>
        <v>0</v>
      </c>
      <c r="G20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7" s="3" t="s">
        <v>2680</v>
      </c>
      <c r="K2097" s="1" t="s">
        <v>2</v>
      </c>
      <c r="L2097" s="1" t="s">
        <v>45</v>
      </c>
      <c r="M2097" s="1" t="s">
        <v>442</v>
      </c>
      <c r="O2097" s="2"/>
      <c r="P2097" s="2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</row>
    <row r="2098" spans="1:32" s="1" customFormat="1" ht="20.25" customHeight="1" x14ac:dyDescent="0.25">
      <c r="A2098" s="2"/>
      <c r="B2098" s="2"/>
      <c r="C2098" s="2"/>
      <c r="D2098" s="2">
        <f>COUNTIF(contact[[#This Row],[Bagossy]:[Szo
03:00 - 10:00]],"=~?")</f>
        <v>0</v>
      </c>
      <c r="E2098" s="2">
        <f>COUNTIF(contact[[#This Row],[Bagossy]:[Szo
03:00 - 10:00]],"=x")</f>
        <v>0</v>
      </c>
      <c r="F2098" s="2">
        <f>SUM(contact[[#This Row],[?]:[x]])</f>
        <v>0</v>
      </c>
      <c r="G20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8" s="3" t="s">
        <v>2624</v>
      </c>
      <c r="K2098" s="1" t="s">
        <v>2</v>
      </c>
      <c r="L2098" s="1" t="s">
        <v>2</v>
      </c>
      <c r="M2098" s="1" t="s">
        <v>2</v>
      </c>
      <c r="O2098" s="2"/>
      <c r="P2098" s="2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</row>
    <row r="2099" spans="1:32" s="1" customFormat="1" ht="20.25" customHeight="1" x14ac:dyDescent="0.25">
      <c r="A2099" s="2"/>
      <c r="B2099" s="2"/>
      <c r="C2099" s="2"/>
      <c r="D2099" s="2">
        <f>COUNTIF(contact[[#This Row],[Bagossy]:[Szo
03:00 - 10:00]],"=~?")</f>
        <v>0</v>
      </c>
      <c r="E2099" s="2">
        <f>COUNTIF(contact[[#This Row],[Bagossy]:[Szo
03:00 - 10:00]],"=x")</f>
        <v>0</v>
      </c>
      <c r="F2099" s="2">
        <f>SUM(contact[[#This Row],[?]:[x]])</f>
        <v>0</v>
      </c>
      <c r="G20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099" s="3" t="s">
        <v>4136</v>
      </c>
      <c r="K2099" s="1" t="s">
        <v>1795</v>
      </c>
      <c r="L2099" s="1" t="s">
        <v>2</v>
      </c>
      <c r="M2099" s="1" t="s">
        <v>2</v>
      </c>
      <c r="O2099" s="2"/>
      <c r="P2099" s="2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</row>
    <row r="2100" spans="1:32" s="1" customFormat="1" ht="20.25" customHeight="1" x14ac:dyDescent="0.25">
      <c r="A2100" s="2"/>
      <c r="B2100" s="2"/>
      <c r="C2100" s="2"/>
      <c r="D2100" s="2">
        <f>COUNTIF(contact[[#This Row],[Bagossy]:[Szo
03:00 - 10:00]],"=~?")</f>
        <v>0</v>
      </c>
      <c r="E2100" s="2">
        <f>COUNTIF(contact[[#This Row],[Bagossy]:[Szo
03:00 - 10:00]],"=x")</f>
        <v>0</v>
      </c>
      <c r="F2100" s="2">
        <f>SUM(contact[[#This Row],[?]:[x]])</f>
        <v>0</v>
      </c>
      <c r="G21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0" s="3" t="s">
        <v>2939</v>
      </c>
      <c r="K2100" s="1" t="s">
        <v>1523</v>
      </c>
      <c r="L2100" s="1" t="s">
        <v>2</v>
      </c>
      <c r="M2100" s="1" t="s">
        <v>2</v>
      </c>
      <c r="O2100" s="2"/>
      <c r="P2100" s="2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</row>
    <row r="2101" spans="1:32" s="1" customFormat="1" ht="20.25" customHeight="1" x14ac:dyDescent="0.25">
      <c r="A2101" s="2"/>
      <c r="B2101" s="2"/>
      <c r="C2101" s="2"/>
      <c r="D2101" s="2">
        <f>COUNTIF(contact[[#This Row],[Bagossy]:[Szo
03:00 - 10:00]],"=~?")</f>
        <v>0</v>
      </c>
      <c r="E2101" s="2">
        <f>COUNTIF(contact[[#This Row],[Bagossy]:[Szo
03:00 - 10:00]],"=x")</f>
        <v>0</v>
      </c>
      <c r="F2101" s="2">
        <f>SUM(contact[[#This Row],[?]:[x]])</f>
        <v>0</v>
      </c>
      <c r="G21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1" s="3" t="s">
        <v>1993</v>
      </c>
      <c r="K2101" s="1" t="s">
        <v>1307</v>
      </c>
      <c r="L2101" s="1" t="s">
        <v>2</v>
      </c>
      <c r="M2101" s="1" t="s">
        <v>2</v>
      </c>
      <c r="O2101" s="2"/>
      <c r="P2101" s="2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</row>
    <row r="2102" spans="1:32" s="1" customFormat="1" ht="20.25" customHeight="1" x14ac:dyDescent="0.25">
      <c r="A2102" s="2"/>
      <c r="B2102" s="2"/>
      <c r="C2102" s="2"/>
      <c r="D2102" s="2">
        <f>COUNTIF(contact[[#This Row],[Bagossy]:[Szo
03:00 - 10:00]],"=~?")</f>
        <v>0</v>
      </c>
      <c r="E2102" s="2">
        <f>COUNTIF(contact[[#This Row],[Bagossy]:[Szo
03:00 - 10:00]],"=x")</f>
        <v>0</v>
      </c>
      <c r="F2102" s="2">
        <f>SUM(contact[[#This Row],[?]:[x]])</f>
        <v>0</v>
      </c>
      <c r="G21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02" s="2"/>
      <c r="I2102" s="2"/>
      <c r="J2102" s="3" t="s">
        <v>3862</v>
      </c>
      <c r="K2102" s="1" t="s">
        <v>28</v>
      </c>
      <c r="L2102" s="1" t="s">
        <v>2</v>
      </c>
      <c r="M2102" s="1" t="s">
        <v>2</v>
      </c>
      <c r="O2102" s="2"/>
      <c r="P2102" s="2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</row>
    <row r="2103" spans="1:32" s="1" customFormat="1" ht="20.25" customHeight="1" x14ac:dyDescent="0.25">
      <c r="A2103" s="2"/>
      <c r="B2103" s="2"/>
      <c r="C2103" s="2"/>
      <c r="D2103" s="2">
        <f>COUNTIF(contact[[#This Row],[Bagossy]:[Szo
03:00 - 10:00]],"=~?")</f>
        <v>0</v>
      </c>
      <c r="E2103" s="2">
        <f>COUNTIF(contact[[#This Row],[Bagossy]:[Szo
03:00 - 10:00]],"=x")</f>
        <v>0</v>
      </c>
      <c r="F2103" s="2">
        <f>SUM(contact[[#This Row],[?]:[x]])</f>
        <v>0</v>
      </c>
      <c r="G21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3" s="3" t="s">
        <v>4478</v>
      </c>
      <c r="K2103" s="1" t="s">
        <v>2</v>
      </c>
      <c r="L2103" s="1" t="s">
        <v>2</v>
      </c>
      <c r="M2103" s="1" t="s">
        <v>2</v>
      </c>
      <c r="O2103" s="2"/>
      <c r="P2103" s="2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</row>
    <row r="2104" spans="1:32" s="1" customFormat="1" ht="20.25" customHeight="1" x14ac:dyDescent="0.25">
      <c r="A2104" s="2"/>
      <c r="B2104" s="2"/>
      <c r="C2104" s="2"/>
      <c r="D2104" s="2">
        <f>COUNTIF(contact[[#This Row],[Bagossy]:[Szo
03:00 - 10:00]],"=~?")</f>
        <v>0</v>
      </c>
      <c r="E2104" s="2">
        <f>COUNTIF(contact[[#This Row],[Bagossy]:[Szo
03:00 - 10:00]],"=x")</f>
        <v>0</v>
      </c>
      <c r="F2104" s="2">
        <f>SUM(contact[[#This Row],[?]:[x]])</f>
        <v>0</v>
      </c>
      <c r="G21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4" s="3" t="s">
        <v>2336</v>
      </c>
      <c r="K2104" s="1" t="s">
        <v>2</v>
      </c>
      <c r="L2104" s="1" t="s">
        <v>250</v>
      </c>
      <c r="M2104" s="1" t="s">
        <v>251</v>
      </c>
      <c r="O2104" s="2"/>
      <c r="P2104" s="2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</row>
    <row r="2105" spans="1:32" s="1" customFormat="1" ht="20.25" customHeight="1" x14ac:dyDescent="0.25">
      <c r="A2105" s="2"/>
      <c r="B2105" s="2"/>
      <c r="C2105" s="2"/>
      <c r="D2105" s="2">
        <f>COUNTIF(contact[[#This Row],[Bagossy]:[Szo
03:00 - 10:00]],"=~?")</f>
        <v>0</v>
      </c>
      <c r="E2105" s="2">
        <f>COUNTIF(contact[[#This Row],[Bagossy]:[Szo
03:00 - 10:00]],"=x")</f>
        <v>0</v>
      </c>
      <c r="F2105" s="2">
        <f>SUM(contact[[#This Row],[?]:[x]])</f>
        <v>0</v>
      </c>
      <c r="G21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5" s="3" t="s">
        <v>2150</v>
      </c>
      <c r="K2105" s="1" t="s">
        <v>2</v>
      </c>
      <c r="L2105" s="1" t="s">
        <v>2</v>
      </c>
      <c r="M2105" s="1" t="s">
        <v>2</v>
      </c>
      <c r="O2105" s="2"/>
      <c r="P2105" s="2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</row>
    <row r="2106" spans="1:32" s="1" customFormat="1" ht="20.25" customHeight="1" x14ac:dyDescent="0.25">
      <c r="A2106" s="2"/>
      <c r="B2106" s="2"/>
      <c r="C2106" s="2"/>
      <c r="D2106" s="2">
        <f>COUNTIF(contact[[#This Row],[Bagossy]:[Szo
03:00 - 10:00]],"=~?")</f>
        <v>0</v>
      </c>
      <c r="E2106" s="2">
        <f>COUNTIF(contact[[#This Row],[Bagossy]:[Szo
03:00 - 10:00]],"=x")</f>
        <v>0</v>
      </c>
      <c r="F2106" s="2">
        <f>SUM(contact[[#This Row],[?]:[x]])</f>
        <v>0</v>
      </c>
      <c r="G21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6" s="3" t="s">
        <v>2369</v>
      </c>
      <c r="K2106" s="1" t="s">
        <v>2</v>
      </c>
      <c r="L2106" s="1" t="s">
        <v>2</v>
      </c>
      <c r="M2106" s="1" t="s">
        <v>2</v>
      </c>
      <c r="O2106" s="2"/>
      <c r="P2106" s="2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</row>
    <row r="2107" spans="1:32" s="1" customFormat="1" ht="20.25" customHeight="1" x14ac:dyDescent="0.25">
      <c r="A2107" s="2"/>
      <c r="B2107" s="2"/>
      <c r="C2107" s="2"/>
      <c r="D2107" s="2">
        <f>COUNTIF(contact[[#This Row],[Bagossy]:[Szo
03:00 - 10:00]],"=~?")</f>
        <v>0</v>
      </c>
      <c r="E2107" s="2">
        <f>COUNTIF(contact[[#This Row],[Bagossy]:[Szo
03:00 - 10:00]],"=x")</f>
        <v>0</v>
      </c>
      <c r="F2107" s="2">
        <f>SUM(contact[[#This Row],[?]:[x]])</f>
        <v>0</v>
      </c>
      <c r="G21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7" s="3" t="s">
        <v>2777</v>
      </c>
      <c r="K2107" s="1" t="s">
        <v>487</v>
      </c>
      <c r="L2107" s="1" t="s">
        <v>2</v>
      </c>
      <c r="M2107" s="1" t="s">
        <v>2</v>
      </c>
      <c r="O2107" s="2"/>
      <c r="P2107" s="2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</row>
    <row r="2108" spans="1:32" s="1" customFormat="1" ht="20.25" customHeight="1" x14ac:dyDescent="0.25">
      <c r="A2108" s="2"/>
      <c r="B2108" s="2"/>
      <c r="C2108" s="2"/>
      <c r="D2108" s="2">
        <f>COUNTIF(contact[[#This Row],[Bagossy]:[Szo
03:00 - 10:00]],"=~?")</f>
        <v>0</v>
      </c>
      <c r="E2108" s="2">
        <f>COUNTIF(contact[[#This Row],[Bagossy]:[Szo
03:00 - 10:00]],"=x")</f>
        <v>0</v>
      </c>
      <c r="F2108" s="2">
        <f>SUM(contact[[#This Row],[?]:[x]])</f>
        <v>0</v>
      </c>
      <c r="G21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8" s="3" t="s">
        <v>3748</v>
      </c>
      <c r="K2108" s="1" t="s">
        <v>1709</v>
      </c>
      <c r="L2108" s="1" t="s">
        <v>2</v>
      </c>
      <c r="M2108" s="1" t="s">
        <v>2</v>
      </c>
      <c r="O2108" s="2"/>
      <c r="P2108" s="2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</row>
    <row r="2109" spans="1:32" s="1" customFormat="1" ht="20.25" customHeight="1" x14ac:dyDescent="0.25">
      <c r="A2109" s="2"/>
      <c r="B2109" s="2"/>
      <c r="C2109" s="2"/>
      <c r="D2109" s="2">
        <f>COUNTIF(contact[[#This Row],[Bagossy]:[Szo
03:00 - 10:00]],"=~?")</f>
        <v>0</v>
      </c>
      <c r="E2109" s="2">
        <f>COUNTIF(contact[[#This Row],[Bagossy]:[Szo
03:00 - 10:00]],"=x")</f>
        <v>0</v>
      </c>
      <c r="F2109" s="2">
        <f>SUM(contact[[#This Row],[?]:[x]])</f>
        <v>0</v>
      </c>
      <c r="G21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09" s="3" t="s">
        <v>968</v>
      </c>
      <c r="K2109" s="1" t="s">
        <v>2</v>
      </c>
      <c r="L2109" s="1" t="s">
        <v>2</v>
      </c>
      <c r="M2109" s="1" t="s">
        <v>2</v>
      </c>
      <c r="O2109" s="2"/>
      <c r="P2109" s="2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</row>
    <row r="2110" spans="1:32" s="1" customFormat="1" ht="20.25" customHeight="1" x14ac:dyDescent="0.25">
      <c r="A2110" s="2"/>
      <c r="B2110" s="2"/>
      <c r="C2110" s="2"/>
      <c r="D2110" s="2">
        <f>COUNTIF(contact[[#This Row],[Bagossy]:[Szo
03:00 - 10:00]],"=~?")</f>
        <v>0</v>
      </c>
      <c r="E2110" s="2">
        <f>COUNTIF(contact[[#This Row],[Bagossy]:[Szo
03:00 - 10:00]],"=x")</f>
        <v>0</v>
      </c>
      <c r="F2110" s="2">
        <f>SUM(contact[[#This Row],[?]:[x]])</f>
        <v>0</v>
      </c>
      <c r="G21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0" s="3" t="s">
        <v>1995</v>
      </c>
      <c r="K2110" s="1" t="s">
        <v>58</v>
      </c>
      <c r="L2110" s="1" t="s">
        <v>2</v>
      </c>
      <c r="M2110" s="1" t="s">
        <v>2</v>
      </c>
      <c r="O2110" s="2"/>
      <c r="P2110" s="2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</row>
    <row r="2111" spans="1:32" s="1" customFormat="1" ht="20.25" customHeight="1" x14ac:dyDescent="0.25">
      <c r="A2111" s="2"/>
      <c r="B2111" s="2"/>
      <c r="C2111" s="2"/>
      <c r="D2111" s="2">
        <f>COUNTIF(contact[[#This Row],[Bagossy]:[Szo
03:00 - 10:00]],"=~?")</f>
        <v>0</v>
      </c>
      <c r="E2111" s="2">
        <f>COUNTIF(contact[[#This Row],[Bagossy]:[Szo
03:00 - 10:00]],"=x")</f>
        <v>0</v>
      </c>
      <c r="F2111" s="2">
        <f>SUM(contact[[#This Row],[?]:[x]])</f>
        <v>0</v>
      </c>
      <c r="G21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1" s="3" t="s">
        <v>3978</v>
      </c>
      <c r="K2111" s="1" t="s">
        <v>1046</v>
      </c>
      <c r="L2111" s="1" t="s">
        <v>2</v>
      </c>
      <c r="M2111" s="1" t="s">
        <v>2</v>
      </c>
      <c r="O2111" s="2"/>
      <c r="P2111" s="2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</row>
    <row r="2112" spans="1:32" s="1" customFormat="1" ht="20.25" customHeight="1" x14ac:dyDescent="0.25">
      <c r="A2112" s="2"/>
      <c r="B2112" s="2"/>
      <c r="C2112" s="2"/>
      <c r="D2112" s="2">
        <f>COUNTIF(contact[[#This Row],[Bagossy]:[Szo
03:00 - 10:00]],"=~?")</f>
        <v>0</v>
      </c>
      <c r="E2112" s="2">
        <f>COUNTIF(contact[[#This Row],[Bagossy]:[Szo
03:00 - 10:00]],"=x")</f>
        <v>0</v>
      </c>
      <c r="F2112" s="2">
        <f>SUM(contact[[#This Row],[?]:[x]])</f>
        <v>0</v>
      </c>
      <c r="G21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2" s="3" t="s">
        <v>969</v>
      </c>
      <c r="K2112" s="1" t="s">
        <v>2</v>
      </c>
      <c r="L2112" s="1" t="s">
        <v>2</v>
      </c>
      <c r="M2112" s="1" t="s">
        <v>2</v>
      </c>
      <c r="O2112" s="2"/>
      <c r="P2112" s="2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</row>
    <row r="2113" spans="1:32" s="1" customFormat="1" ht="20.25" customHeight="1" x14ac:dyDescent="0.25">
      <c r="A2113" s="2" t="s">
        <v>1285</v>
      </c>
      <c r="B2113" s="2" t="s">
        <v>1285</v>
      </c>
      <c r="C2113" s="2" t="s">
        <v>1285</v>
      </c>
      <c r="D2113" s="2">
        <f>COUNTIF(contact[[#This Row],[Bagossy]:[Szo
03:00 - 10:00]],"=~?")</f>
        <v>0</v>
      </c>
      <c r="E2113" s="2">
        <f>COUNTIF(contact[[#This Row],[Bagossy]:[Szo
03:00 - 10:00]],"=x")</f>
        <v>10</v>
      </c>
      <c r="F2113" s="2">
        <f>SUM(contact[[#This Row],[?]:[x]])</f>
        <v>10</v>
      </c>
      <c r="G2113" s="2">
        <f>COUNTIF(contact[[#This Row],[Sze
10:00 - 22:00]:[Cs
03:00 - 08:00]],"=x")+COUNTIF(contact[[#This Row],[P
08:00 - 12:00]:[P
03:00 - 08:00]],"=x")+COUNTIF(contact[[#This Row],[Szo
08:00 - 12:00]:[Szo
03:00 - 10:00]],"=x")</f>
        <v>9</v>
      </c>
      <c r="H2113" s="2" t="s">
        <v>4623</v>
      </c>
      <c r="I2113" s="2"/>
      <c r="J2113" s="3" t="s">
        <v>3863</v>
      </c>
      <c r="K2113" s="1" t="s">
        <v>200</v>
      </c>
      <c r="L2113" s="1" t="s">
        <v>2</v>
      </c>
      <c r="M2113" s="1" t="s">
        <v>2</v>
      </c>
      <c r="N2113" s="2" t="s">
        <v>4612</v>
      </c>
      <c r="O2113" s="2" t="s">
        <v>1285</v>
      </c>
      <c r="P2113" s="2"/>
      <c r="Q2113" s="6"/>
      <c r="R2113" s="6"/>
      <c r="S2113" s="6"/>
      <c r="T2113" s="6" t="s">
        <v>1285</v>
      </c>
      <c r="U2113" s="6" t="s">
        <v>1285</v>
      </c>
      <c r="V2113" s="6" t="s">
        <v>1285</v>
      </c>
      <c r="W2113" s="6"/>
      <c r="X2113" s="6"/>
      <c r="Y2113" s="6" t="s">
        <v>1285</v>
      </c>
      <c r="Z2113" s="6" t="s">
        <v>1285</v>
      </c>
      <c r="AA2113" s="6" t="s">
        <v>1285</v>
      </c>
      <c r="AB2113" s="6"/>
      <c r="AC2113" s="6"/>
      <c r="AD2113" s="6" t="s">
        <v>1285</v>
      </c>
      <c r="AE2113" s="6" t="s">
        <v>1285</v>
      </c>
      <c r="AF2113" s="6" t="s">
        <v>1285</v>
      </c>
    </row>
    <row r="2114" spans="1:32" s="1" customFormat="1" ht="20.25" customHeight="1" x14ac:dyDescent="0.25">
      <c r="A2114" s="2"/>
      <c r="B2114" s="2"/>
      <c r="C2114" s="2"/>
      <c r="D2114" s="2">
        <f>COUNTIF(contact[[#This Row],[Bagossy]:[Szo
03:00 - 10:00]],"=~?")</f>
        <v>0</v>
      </c>
      <c r="E2114" s="2">
        <f>COUNTIF(contact[[#This Row],[Bagossy]:[Szo
03:00 - 10:00]],"=x")</f>
        <v>0</v>
      </c>
      <c r="F2114" s="2">
        <f>SUM(contact[[#This Row],[?]:[x]])</f>
        <v>0</v>
      </c>
      <c r="G21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4" s="3" t="s">
        <v>2272</v>
      </c>
      <c r="K2114" s="1" t="s">
        <v>219</v>
      </c>
      <c r="L2114" s="1" t="s">
        <v>108</v>
      </c>
      <c r="M2114" s="1" t="s">
        <v>220</v>
      </c>
      <c r="O2114" s="2"/>
      <c r="P2114" s="2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</row>
    <row r="2115" spans="1:32" s="1" customFormat="1" ht="20.25" customHeight="1" x14ac:dyDescent="0.25">
      <c r="A2115" s="2"/>
      <c r="B2115" s="2"/>
      <c r="C2115" s="2"/>
      <c r="D2115" s="2">
        <f>COUNTIF(contact[[#This Row],[Bagossy]:[Szo
03:00 - 10:00]],"=~?")</f>
        <v>0</v>
      </c>
      <c r="E2115" s="2">
        <f>COUNTIF(contact[[#This Row],[Bagossy]:[Szo
03:00 - 10:00]],"=x")</f>
        <v>0</v>
      </c>
      <c r="F2115" s="2">
        <f>SUM(contact[[#This Row],[?]:[x]])</f>
        <v>0</v>
      </c>
      <c r="G21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5" s="3" t="s">
        <v>2475</v>
      </c>
      <c r="K2115" s="1" t="s">
        <v>1418</v>
      </c>
      <c r="L2115" s="1" t="s">
        <v>2</v>
      </c>
      <c r="M2115" s="1" t="s">
        <v>2</v>
      </c>
      <c r="O2115" s="2"/>
      <c r="P2115" s="2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</row>
    <row r="2116" spans="1:32" s="1" customFormat="1" ht="20.25" customHeight="1" x14ac:dyDescent="0.25">
      <c r="A2116" s="2"/>
      <c r="B2116" s="2"/>
      <c r="C2116" s="2"/>
      <c r="D2116" s="2">
        <f>COUNTIF(contact[[#This Row],[Bagossy]:[Szo
03:00 - 10:00]],"=~?")</f>
        <v>0</v>
      </c>
      <c r="E2116" s="2">
        <f>COUNTIF(contact[[#This Row],[Bagossy]:[Szo
03:00 - 10:00]],"=x")</f>
        <v>0</v>
      </c>
      <c r="F2116" s="2">
        <f>SUM(contact[[#This Row],[?]:[x]])</f>
        <v>0</v>
      </c>
      <c r="G21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6" s="3" t="s">
        <v>2549</v>
      </c>
      <c r="K2116" s="1" t="s">
        <v>1444</v>
      </c>
      <c r="L2116" s="1" t="s">
        <v>2</v>
      </c>
      <c r="M2116" s="1" t="s">
        <v>2</v>
      </c>
      <c r="O2116" s="2"/>
      <c r="P2116" s="2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</row>
    <row r="2117" spans="1:32" s="1" customFormat="1" ht="20.25" customHeight="1" x14ac:dyDescent="0.25">
      <c r="A2117" s="2"/>
      <c r="B2117" s="2"/>
      <c r="C2117" s="2"/>
      <c r="D2117" s="2">
        <f>COUNTIF(contact[[#This Row],[Bagossy]:[Szo
03:00 - 10:00]],"=~?")</f>
        <v>0</v>
      </c>
      <c r="E2117" s="2">
        <f>COUNTIF(contact[[#This Row],[Bagossy]:[Szo
03:00 - 10:00]],"=x")</f>
        <v>0</v>
      </c>
      <c r="F2117" s="2">
        <f>SUM(contact[[#This Row],[?]:[x]])</f>
        <v>0</v>
      </c>
      <c r="G21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7" s="3" t="s">
        <v>2817</v>
      </c>
      <c r="K2117" s="1" t="s">
        <v>508</v>
      </c>
      <c r="L2117" s="1" t="s">
        <v>2</v>
      </c>
      <c r="M2117" s="1" t="s">
        <v>2</v>
      </c>
      <c r="O2117" s="2"/>
      <c r="P2117" s="2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</row>
    <row r="2118" spans="1:32" s="1" customFormat="1" ht="20.25" customHeight="1" x14ac:dyDescent="0.25">
      <c r="A2118" s="2"/>
      <c r="B2118" s="2"/>
      <c r="C2118" s="2"/>
      <c r="D2118" s="2">
        <f>COUNTIF(contact[[#This Row],[Bagossy]:[Szo
03:00 - 10:00]],"=~?")</f>
        <v>0</v>
      </c>
      <c r="E2118" s="2">
        <f>COUNTIF(contact[[#This Row],[Bagossy]:[Szo
03:00 - 10:00]],"=x")</f>
        <v>0</v>
      </c>
      <c r="F2118" s="2">
        <f>SUM(contact[[#This Row],[?]:[x]])</f>
        <v>0</v>
      </c>
      <c r="G21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8" s="3" t="s">
        <v>2869</v>
      </c>
      <c r="K2118" s="1" t="s">
        <v>1505</v>
      </c>
      <c r="L2118" s="1" t="s">
        <v>2</v>
      </c>
      <c r="M2118" s="1" t="s">
        <v>2</v>
      </c>
      <c r="O2118" s="2"/>
      <c r="P2118" s="2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</row>
    <row r="2119" spans="1:32" s="1" customFormat="1" ht="20.25" customHeight="1" x14ac:dyDescent="0.25">
      <c r="A2119" s="2"/>
      <c r="B2119" s="2"/>
      <c r="C2119" s="2"/>
      <c r="D2119" s="2">
        <f>COUNTIF(contact[[#This Row],[Bagossy]:[Szo
03:00 - 10:00]],"=~?")</f>
        <v>0</v>
      </c>
      <c r="E2119" s="2">
        <f>COUNTIF(contact[[#This Row],[Bagossy]:[Szo
03:00 - 10:00]],"=x")</f>
        <v>0</v>
      </c>
      <c r="F2119" s="2">
        <f>SUM(contact[[#This Row],[?]:[x]])</f>
        <v>0</v>
      </c>
      <c r="G21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19" s="3" t="s">
        <v>2914</v>
      </c>
      <c r="K2119" s="1" t="s">
        <v>554</v>
      </c>
      <c r="L2119" s="1" t="s">
        <v>2</v>
      </c>
      <c r="M2119" s="1" t="s">
        <v>2</v>
      </c>
      <c r="O2119" s="2"/>
      <c r="P2119" s="2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</row>
    <row r="2120" spans="1:32" s="1" customFormat="1" ht="20.25" customHeight="1" x14ac:dyDescent="0.25">
      <c r="A2120" s="2"/>
      <c r="B2120" s="2"/>
      <c r="C2120" s="2"/>
      <c r="D2120" s="2">
        <f>COUNTIF(contact[[#This Row],[Bagossy]:[Szo
03:00 - 10:00]],"=~?")</f>
        <v>0</v>
      </c>
      <c r="E2120" s="2">
        <f>COUNTIF(contact[[#This Row],[Bagossy]:[Szo
03:00 - 10:00]],"=x")</f>
        <v>0</v>
      </c>
      <c r="F2120" s="2">
        <f>SUM(contact[[#This Row],[?]:[x]])</f>
        <v>0</v>
      </c>
      <c r="G21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0" s="3" t="s">
        <v>3043</v>
      </c>
      <c r="K2120" s="1" t="s">
        <v>615</v>
      </c>
      <c r="L2120" s="1" t="s">
        <v>2</v>
      </c>
      <c r="M2120" s="1" t="s">
        <v>2</v>
      </c>
      <c r="O2120" s="2"/>
      <c r="P2120" s="2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</row>
    <row r="2121" spans="1:32" s="1" customFormat="1" ht="20.25" customHeight="1" x14ac:dyDescent="0.25">
      <c r="A2121" s="2"/>
      <c r="B2121" s="2"/>
      <c r="C2121" s="2"/>
      <c r="D2121" s="2">
        <f>COUNTIF(contact[[#This Row],[Bagossy]:[Szo
03:00 - 10:00]],"=~?")</f>
        <v>0</v>
      </c>
      <c r="E2121" s="2">
        <f>COUNTIF(contact[[#This Row],[Bagossy]:[Szo
03:00 - 10:00]],"=x")</f>
        <v>0</v>
      </c>
      <c r="F2121" s="2">
        <f>SUM(contact[[#This Row],[?]:[x]])</f>
        <v>0</v>
      </c>
      <c r="G21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1" s="3" t="s">
        <v>3104</v>
      </c>
      <c r="K2121" s="1" t="s">
        <v>1327</v>
      </c>
      <c r="L2121" s="1" t="s">
        <v>2</v>
      </c>
      <c r="M2121" s="1" t="s">
        <v>2</v>
      </c>
      <c r="O2121" s="2"/>
      <c r="P2121" s="2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</row>
    <row r="2122" spans="1:32" s="1" customFormat="1" ht="20.25" customHeight="1" x14ac:dyDescent="0.25">
      <c r="A2122" s="2"/>
      <c r="B2122" s="2"/>
      <c r="C2122" s="2"/>
      <c r="D2122" s="2">
        <f>COUNTIF(contact[[#This Row],[Bagossy]:[Szo
03:00 - 10:00]],"=~?")</f>
        <v>0</v>
      </c>
      <c r="E2122" s="2">
        <f>COUNTIF(contact[[#This Row],[Bagossy]:[Szo
03:00 - 10:00]],"=x")</f>
        <v>0</v>
      </c>
      <c r="F2122" s="2">
        <f>SUM(contact[[#This Row],[?]:[x]])</f>
        <v>0</v>
      </c>
      <c r="G21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2" s="3" t="s">
        <v>3423</v>
      </c>
      <c r="K2122" s="1" t="s">
        <v>1640</v>
      </c>
      <c r="L2122" s="1" t="s">
        <v>2</v>
      </c>
      <c r="M2122" s="1" t="s">
        <v>2</v>
      </c>
      <c r="O2122" s="2"/>
      <c r="P2122" s="2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</row>
    <row r="2123" spans="1:32" s="1" customFormat="1" ht="20.25" customHeight="1" x14ac:dyDescent="0.25">
      <c r="A2123" s="2"/>
      <c r="B2123" s="2" t="s">
        <v>1285</v>
      </c>
      <c r="C2123" s="2" t="s">
        <v>1285</v>
      </c>
      <c r="D2123" s="2">
        <f>COUNTIF(contact[[#This Row],[Bagossy]:[Szo
03:00 - 10:00]],"=~?")</f>
        <v>0</v>
      </c>
      <c r="E2123" s="2">
        <f>COUNTIF(contact[[#This Row],[Bagossy]:[Szo
03:00 - 10:00]],"=x")</f>
        <v>0</v>
      </c>
      <c r="F2123" s="2">
        <f>SUM(contact[[#This Row],[?]:[x]])</f>
        <v>0</v>
      </c>
      <c r="G21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23" s="2"/>
      <c r="I2123" s="2"/>
      <c r="J2123" s="3" t="s">
        <v>3864</v>
      </c>
      <c r="K2123" s="1" t="s">
        <v>876</v>
      </c>
      <c r="L2123" s="1" t="s">
        <v>2</v>
      </c>
      <c r="M2123" s="1" t="s">
        <v>2</v>
      </c>
      <c r="O2123" s="2"/>
      <c r="P2123" s="2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</row>
    <row r="2124" spans="1:32" s="1" customFormat="1" ht="20.25" customHeight="1" x14ac:dyDescent="0.25">
      <c r="A2124" s="2"/>
      <c r="B2124" s="2"/>
      <c r="C2124" s="2"/>
      <c r="D2124" s="2">
        <f>COUNTIF(contact[[#This Row],[Bagossy]:[Szo
03:00 - 10:00]],"=~?")</f>
        <v>0</v>
      </c>
      <c r="E2124" s="2">
        <f>COUNTIF(contact[[#This Row],[Bagossy]:[Szo
03:00 - 10:00]],"=x")</f>
        <v>0</v>
      </c>
      <c r="F2124" s="2">
        <f>SUM(contact[[#This Row],[?]:[x]])</f>
        <v>0</v>
      </c>
      <c r="G21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4" s="3" t="s">
        <v>3782</v>
      </c>
      <c r="K2124" s="1" t="s">
        <v>2</v>
      </c>
      <c r="L2124" s="1" t="s">
        <v>2</v>
      </c>
      <c r="M2124" s="1" t="s">
        <v>2</v>
      </c>
      <c r="O2124" s="2"/>
      <c r="P2124" s="2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</row>
    <row r="2125" spans="1:32" s="1" customFormat="1" ht="20.25" customHeight="1" x14ac:dyDescent="0.25">
      <c r="A2125" s="2"/>
      <c r="B2125" s="2"/>
      <c r="C2125" s="2"/>
      <c r="D2125" s="2">
        <f>COUNTIF(contact[[#This Row],[Bagossy]:[Szo
03:00 - 10:00]],"=~?")</f>
        <v>0</v>
      </c>
      <c r="E2125" s="2">
        <f>COUNTIF(contact[[#This Row],[Bagossy]:[Szo
03:00 - 10:00]],"=x")</f>
        <v>0</v>
      </c>
      <c r="F2125" s="2">
        <f>SUM(contact[[#This Row],[?]:[x]])</f>
        <v>0</v>
      </c>
      <c r="G21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5" s="3" t="s">
        <v>3479</v>
      </c>
      <c r="K2125" s="1" t="s">
        <v>2</v>
      </c>
      <c r="L2125" s="1" t="s">
        <v>2</v>
      </c>
      <c r="M2125" s="1" t="s">
        <v>2</v>
      </c>
      <c r="O2125" s="2"/>
      <c r="P2125" s="2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</row>
    <row r="2126" spans="1:32" s="1" customFormat="1" ht="20.25" customHeight="1" x14ac:dyDescent="0.25">
      <c r="A2126" s="2"/>
      <c r="B2126" s="2"/>
      <c r="C2126" s="2" t="s">
        <v>1285</v>
      </c>
      <c r="D2126" s="2">
        <f>COUNTIF(contact[[#This Row],[Bagossy]:[Szo
03:00 - 10:00]],"=~?")</f>
        <v>0</v>
      </c>
      <c r="E2126" s="2">
        <f>COUNTIF(contact[[#This Row],[Bagossy]:[Szo
03:00 - 10:00]],"=x")</f>
        <v>0</v>
      </c>
      <c r="F2126" s="2">
        <f>SUM(contact[[#This Row],[?]:[x]])</f>
        <v>0</v>
      </c>
      <c r="G21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26" s="2"/>
      <c r="I2126" s="2"/>
      <c r="J2126" s="3" t="s">
        <v>3865</v>
      </c>
      <c r="K2126" s="1" t="s">
        <v>1729</v>
      </c>
      <c r="L2126" s="1" t="s">
        <v>2</v>
      </c>
      <c r="M2126" s="1" t="s">
        <v>2</v>
      </c>
      <c r="O2126" s="2"/>
      <c r="P2126" s="2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</row>
    <row r="2127" spans="1:32" s="1" customFormat="1" ht="20.25" customHeight="1" x14ac:dyDescent="0.25">
      <c r="A2127" s="2"/>
      <c r="B2127" s="2"/>
      <c r="C2127" s="2"/>
      <c r="D2127" s="2">
        <f>COUNTIF(contact[[#This Row],[Bagossy]:[Szo
03:00 - 10:00]],"=~?")</f>
        <v>0</v>
      </c>
      <c r="E2127" s="2">
        <f>COUNTIF(contact[[#This Row],[Bagossy]:[Szo
03:00 - 10:00]],"=x")</f>
        <v>0</v>
      </c>
      <c r="F2127" s="2">
        <f>SUM(contact[[#This Row],[?]:[x]])</f>
        <v>0</v>
      </c>
      <c r="G21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7" s="3" t="s">
        <v>4496</v>
      </c>
      <c r="K2127" s="1" t="s">
        <v>2</v>
      </c>
      <c r="L2127" s="1" t="s">
        <v>2</v>
      </c>
      <c r="M2127" s="1" t="s">
        <v>2</v>
      </c>
      <c r="O2127" s="2"/>
      <c r="P2127" s="2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</row>
    <row r="2128" spans="1:32" s="1" customFormat="1" ht="20.25" customHeight="1" x14ac:dyDescent="0.25">
      <c r="A2128" s="2"/>
      <c r="B2128" s="2"/>
      <c r="C2128" s="2"/>
      <c r="D2128" s="2">
        <f>COUNTIF(contact[[#This Row],[Bagossy]:[Szo
03:00 - 10:00]],"=~?")</f>
        <v>0</v>
      </c>
      <c r="E2128" s="2">
        <f>COUNTIF(contact[[#This Row],[Bagossy]:[Szo
03:00 - 10:00]],"=x")</f>
        <v>0</v>
      </c>
      <c r="F2128" s="2">
        <f>SUM(contact[[#This Row],[?]:[x]])</f>
        <v>0</v>
      </c>
      <c r="G21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8" s="3" t="s">
        <v>970</v>
      </c>
      <c r="K2128" s="1" t="s">
        <v>2</v>
      </c>
      <c r="L2128" s="1" t="s">
        <v>2</v>
      </c>
      <c r="M2128" s="1" t="s">
        <v>2</v>
      </c>
      <c r="O2128" s="2"/>
      <c r="P2128" s="2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</row>
    <row r="2129" spans="1:32" s="1" customFormat="1" ht="20.25" customHeight="1" x14ac:dyDescent="0.25">
      <c r="A2129" s="2"/>
      <c r="B2129" s="2"/>
      <c r="C2129" s="2"/>
      <c r="D2129" s="2">
        <f>COUNTIF(contact[[#This Row],[Bagossy]:[Szo
03:00 - 10:00]],"=~?")</f>
        <v>0</v>
      </c>
      <c r="E2129" s="2">
        <f>COUNTIF(contact[[#This Row],[Bagossy]:[Szo
03:00 - 10:00]],"=x")</f>
        <v>0</v>
      </c>
      <c r="F2129" s="2">
        <f>SUM(contact[[#This Row],[?]:[x]])</f>
        <v>0</v>
      </c>
      <c r="G21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29" s="3" t="s">
        <v>2290</v>
      </c>
      <c r="K2129" s="1" t="s">
        <v>2</v>
      </c>
      <c r="L2129" s="1" t="s">
        <v>2</v>
      </c>
      <c r="M2129" s="1" t="s">
        <v>2</v>
      </c>
      <c r="O2129" s="2"/>
      <c r="P2129" s="2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</row>
    <row r="2130" spans="1:32" s="1" customFormat="1" ht="20.25" customHeight="1" x14ac:dyDescent="0.25">
      <c r="A2130" s="2"/>
      <c r="B2130" s="2"/>
      <c r="C2130" s="2"/>
      <c r="D2130" s="2">
        <f>COUNTIF(contact[[#This Row],[Bagossy]:[Szo
03:00 - 10:00]],"=~?")</f>
        <v>0</v>
      </c>
      <c r="E2130" s="2">
        <f>COUNTIF(contact[[#This Row],[Bagossy]:[Szo
03:00 - 10:00]],"=x")</f>
        <v>0</v>
      </c>
      <c r="F2130" s="2">
        <f>SUM(contact[[#This Row],[?]:[x]])</f>
        <v>0</v>
      </c>
      <c r="G21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0" s="3" t="s">
        <v>2090</v>
      </c>
      <c r="K2130" s="1" t="s">
        <v>1333</v>
      </c>
      <c r="L2130" s="1" t="s">
        <v>2</v>
      </c>
      <c r="M2130" s="1" t="s">
        <v>2</v>
      </c>
      <c r="O2130" s="2"/>
      <c r="P2130" s="2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</row>
    <row r="2131" spans="1:32" s="1" customFormat="1" ht="20.25" customHeight="1" x14ac:dyDescent="0.25">
      <c r="A2131" s="2"/>
      <c r="B2131" s="2"/>
      <c r="C2131" s="2"/>
      <c r="D2131" s="2">
        <f>COUNTIF(contact[[#This Row],[Bagossy]:[Szo
03:00 - 10:00]],"=~?")</f>
        <v>0</v>
      </c>
      <c r="E2131" s="2">
        <f>COUNTIF(contact[[#This Row],[Bagossy]:[Szo
03:00 - 10:00]],"=x")</f>
        <v>0</v>
      </c>
      <c r="F2131" s="2">
        <f>SUM(contact[[#This Row],[?]:[x]])</f>
        <v>0</v>
      </c>
      <c r="G21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1" s="3" t="s">
        <v>2625</v>
      </c>
      <c r="K2131" s="1" t="s">
        <v>2</v>
      </c>
      <c r="L2131" s="1" t="s">
        <v>2</v>
      </c>
      <c r="M2131" s="1" t="s">
        <v>2</v>
      </c>
      <c r="O2131" s="2"/>
      <c r="P2131" s="2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</row>
    <row r="2132" spans="1:32" s="1" customFormat="1" ht="20.25" customHeight="1" x14ac:dyDescent="0.25">
      <c r="A2132" s="2"/>
      <c r="B2132" s="2"/>
      <c r="C2132" s="2"/>
      <c r="D2132" s="2">
        <f>COUNTIF(contact[[#This Row],[Bagossy]:[Szo
03:00 - 10:00]],"=~?")</f>
        <v>0</v>
      </c>
      <c r="E2132" s="2">
        <f>COUNTIF(contact[[#This Row],[Bagossy]:[Szo
03:00 - 10:00]],"=x")</f>
        <v>0</v>
      </c>
      <c r="F2132" s="2">
        <f>SUM(contact[[#This Row],[?]:[x]])</f>
        <v>0</v>
      </c>
      <c r="G21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2" s="3" t="s">
        <v>2971</v>
      </c>
      <c r="K2132" s="1" t="s">
        <v>585</v>
      </c>
      <c r="L2132" s="1" t="s">
        <v>2</v>
      </c>
      <c r="M2132" s="1" t="s">
        <v>2</v>
      </c>
      <c r="O2132" s="2"/>
      <c r="P2132" s="2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</row>
    <row r="2133" spans="1:32" s="1" customFormat="1" ht="20.25" customHeight="1" x14ac:dyDescent="0.25">
      <c r="A2133" s="2"/>
      <c r="B2133" s="2"/>
      <c r="C2133" s="2"/>
      <c r="D2133" s="2">
        <f>COUNTIF(contact[[#This Row],[Bagossy]:[Szo
03:00 - 10:00]],"=~?")</f>
        <v>0</v>
      </c>
      <c r="E2133" s="2">
        <f>COUNTIF(contact[[#This Row],[Bagossy]:[Szo
03:00 - 10:00]],"=x")</f>
        <v>0</v>
      </c>
      <c r="F2133" s="2">
        <f>SUM(contact[[#This Row],[?]:[x]])</f>
        <v>0</v>
      </c>
      <c r="G21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3" s="3" t="s">
        <v>3424</v>
      </c>
      <c r="K2133" s="1" t="s">
        <v>2</v>
      </c>
      <c r="L2133" s="1" t="s">
        <v>2</v>
      </c>
      <c r="M2133" s="1" t="s">
        <v>2</v>
      </c>
      <c r="O2133" s="2"/>
      <c r="P2133" s="2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</row>
    <row r="2134" spans="1:32" s="1" customFormat="1" ht="20.25" customHeight="1" x14ac:dyDescent="0.25">
      <c r="A2134" s="2"/>
      <c r="B2134" s="2"/>
      <c r="C2134" s="2"/>
      <c r="D2134" s="2">
        <f>COUNTIF(contact[[#This Row],[Bagossy]:[Szo
03:00 - 10:00]],"=~?")</f>
        <v>0</v>
      </c>
      <c r="E2134" s="2">
        <f>COUNTIF(contact[[#This Row],[Bagossy]:[Szo
03:00 - 10:00]],"=x")</f>
        <v>0</v>
      </c>
      <c r="F2134" s="2">
        <f>SUM(contact[[#This Row],[?]:[x]])</f>
        <v>0</v>
      </c>
      <c r="G21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4" s="3" t="s">
        <v>3424</v>
      </c>
      <c r="K2134" s="1" t="s">
        <v>2</v>
      </c>
      <c r="L2134" s="1" t="s">
        <v>2</v>
      </c>
      <c r="M2134" s="1" t="s">
        <v>2</v>
      </c>
      <c r="O2134" s="2"/>
      <c r="P2134" s="2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</row>
    <row r="2135" spans="1:32" s="1" customFormat="1" ht="20.25" customHeight="1" x14ac:dyDescent="0.25">
      <c r="A2135" s="2"/>
      <c r="B2135" s="2"/>
      <c r="C2135" s="2"/>
      <c r="D2135" s="2">
        <f>COUNTIF(contact[[#This Row],[Bagossy]:[Szo
03:00 - 10:00]],"=~?")</f>
        <v>0</v>
      </c>
      <c r="E2135" s="2">
        <f>COUNTIF(contact[[#This Row],[Bagossy]:[Szo
03:00 - 10:00]],"=x")</f>
        <v>0</v>
      </c>
      <c r="F2135" s="2">
        <f>SUM(contact[[#This Row],[?]:[x]])</f>
        <v>0</v>
      </c>
      <c r="G21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5" s="3" t="s">
        <v>971</v>
      </c>
      <c r="K2135" s="1" t="s">
        <v>2</v>
      </c>
      <c r="L2135" s="1" t="s">
        <v>2</v>
      </c>
      <c r="M2135" s="1" t="s">
        <v>2</v>
      </c>
      <c r="O2135" s="2"/>
      <c r="P2135" s="2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</row>
    <row r="2136" spans="1:32" s="1" customFormat="1" ht="20.25" customHeight="1" x14ac:dyDescent="0.25">
      <c r="A2136" s="2" t="s">
        <v>1285</v>
      </c>
      <c r="B2136" s="2" t="s">
        <v>1285</v>
      </c>
      <c r="C2136" s="2" t="s">
        <v>1285</v>
      </c>
      <c r="D2136" s="2">
        <f>COUNTIF(contact[[#This Row],[Bagossy]:[Szo
03:00 - 10:00]],"=~?")</f>
        <v>0</v>
      </c>
      <c r="E2136" s="2">
        <f>COUNTIF(contact[[#This Row],[Bagossy]:[Szo
03:00 - 10:00]],"=x")</f>
        <v>7</v>
      </c>
      <c r="F2136" s="2">
        <f>SUM(contact[[#This Row],[?]:[x]])</f>
        <v>7</v>
      </c>
      <c r="G2136" s="2">
        <f>COUNTIF(contact[[#This Row],[Sze
10:00 - 22:00]:[Cs
03:00 - 08:00]],"=x")+COUNTIF(contact[[#This Row],[P
08:00 - 12:00]:[P
03:00 - 08:00]],"=x")+COUNTIF(contact[[#This Row],[Szo
08:00 - 12:00]:[Szo
03:00 - 10:00]],"=x")</f>
        <v>5</v>
      </c>
      <c r="H2136" s="2" t="s">
        <v>4623</v>
      </c>
      <c r="J2136" s="3" t="s">
        <v>4232</v>
      </c>
      <c r="N2136" s="2" t="s">
        <v>4612</v>
      </c>
      <c r="O2136" s="2" t="s">
        <v>1285</v>
      </c>
      <c r="P2136" s="2"/>
      <c r="Q2136" s="6"/>
      <c r="R2136" s="6"/>
      <c r="S2136" s="6"/>
      <c r="T2136" s="6" t="s">
        <v>1285</v>
      </c>
      <c r="U2136" s="6"/>
      <c r="V2136" s="6"/>
      <c r="W2136" s="6" t="s">
        <v>1285</v>
      </c>
      <c r="X2136" s="6"/>
      <c r="Y2136" s="6"/>
      <c r="Z2136" s="6" t="s">
        <v>1285</v>
      </c>
      <c r="AA2136" s="6"/>
      <c r="AB2136" s="6"/>
      <c r="AC2136" s="6" t="s">
        <v>1285</v>
      </c>
      <c r="AD2136" s="6" t="s">
        <v>1285</v>
      </c>
      <c r="AE2136" s="6" t="s">
        <v>1285</v>
      </c>
      <c r="AF2136" s="6"/>
    </row>
    <row r="2137" spans="1:32" s="1" customFormat="1" ht="20.25" customHeight="1" x14ac:dyDescent="0.25">
      <c r="A2137" s="2"/>
      <c r="B2137" s="2"/>
      <c r="C2137" s="2"/>
      <c r="D2137" s="2">
        <f>COUNTIF(contact[[#This Row],[Bagossy]:[Szo
03:00 - 10:00]],"=~?")</f>
        <v>0</v>
      </c>
      <c r="E2137" s="2">
        <f>COUNTIF(contact[[#This Row],[Bagossy]:[Szo
03:00 - 10:00]],"=x")</f>
        <v>0</v>
      </c>
      <c r="F2137" s="2">
        <f>SUM(contact[[#This Row],[?]:[x]])</f>
        <v>0</v>
      </c>
      <c r="G21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7" s="3" t="s">
        <v>4232</v>
      </c>
      <c r="K2137" s="1" t="s">
        <v>2</v>
      </c>
      <c r="L2137" s="1" t="s">
        <v>2</v>
      </c>
      <c r="M2137" s="1" t="s">
        <v>2</v>
      </c>
      <c r="O2137" s="2"/>
      <c r="P2137" s="2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</row>
    <row r="2138" spans="1:32" s="1" customFormat="1" ht="20.25" customHeight="1" x14ac:dyDescent="0.25">
      <c r="A2138" s="2"/>
      <c r="B2138" s="2"/>
      <c r="C2138" s="2"/>
      <c r="D2138" s="2">
        <f>COUNTIF(contact[[#This Row],[Bagossy]:[Szo
03:00 - 10:00]],"=~?")</f>
        <v>0</v>
      </c>
      <c r="E2138" s="2">
        <f>COUNTIF(contact[[#This Row],[Bagossy]:[Szo
03:00 - 10:00]],"=x")</f>
        <v>0</v>
      </c>
      <c r="F2138" s="2">
        <f>SUM(contact[[#This Row],[?]:[x]])</f>
        <v>0</v>
      </c>
      <c r="G21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8" s="3" t="s">
        <v>2691</v>
      </c>
      <c r="K2138" s="1" t="s">
        <v>2</v>
      </c>
      <c r="L2138" s="1" t="s">
        <v>2</v>
      </c>
      <c r="M2138" s="1" t="s">
        <v>2</v>
      </c>
      <c r="O2138" s="2"/>
      <c r="P2138" s="2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</row>
    <row r="2139" spans="1:32" s="1" customFormat="1" ht="20.25" customHeight="1" x14ac:dyDescent="0.25">
      <c r="A2139" s="2"/>
      <c r="B2139" s="2"/>
      <c r="C2139" s="2"/>
      <c r="D2139" s="2">
        <f>COUNTIF(contact[[#This Row],[Bagossy]:[Szo
03:00 - 10:00]],"=~?")</f>
        <v>0</v>
      </c>
      <c r="E2139" s="2">
        <f>COUNTIF(contact[[#This Row],[Bagossy]:[Szo
03:00 - 10:00]],"=x")</f>
        <v>0</v>
      </c>
      <c r="F2139" s="2">
        <f>SUM(contact[[#This Row],[?]:[x]])</f>
        <v>0</v>
      </c>
      <c r="G21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39" s="3" t="s">
        <v>2870</v>
      </c>
      <c r="K2139" s="1" t="s">
        <v>535</v>
      </c>
      <c r="L2139" s="1" t="s">
        <v>2</v>
      </c>
      <c r="M2139" s="1" t="s">
        <v>2</v>
      </c>
      <c r="O2139" s="2"/>
      <c r="P2139" s="2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</row>
    <row r="2140" spans="1:32" s="1" customFormat="1" ht="20.25" customHeight="1" x14ac:dyDescent="0.25">
      <c r="A2140" s="2"/>
      <c r="B2140" s="2"/>
      <c r="C2140" s="2"/>
      <c r="D2140" s="2">
        <f>COUNTIF(contact[[#This Row],[Bagossy]:[Szo
03:00 - 10:00]],"=~?")</f>
        <v>0</v>
      </c>
      <c r="E2140" s="2">
        <f>COUNTIF(contact[[#This Row],[Bagossy]:[Szo
03:00 - 10:00]],"=x")</f>
        <v>0</v>
      </c>
      <c r="F2140" s="2">
        <f>SUM(contact[[#This Row],[?]:[x]])</f>
        <v>0</v>
      </c>
      <c r="G21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0" s="3" t="s">
        <v>2139</v>
      </c>
      <c r="K2140" s="1" t="s">
        <v>1345</v>
      </c>
      <c r="L2140" s="1" t="s">
        <v>2</v>
      </c>
      <c r="M2140" s="1" t="s">
        <v>2</v>
      </c>
      <c r="O2140" s="2"/>
      <c r="P2140" s="2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</row>
    <row r="2141" spans="1:32" s="1" customFormat="1" ht="20.25" customHeight="1" x14ac:dyDescent="0.25">
      <c r="A2141" s="2"/>
      <c r="B2141" s="2"/>
      <c r="C2141" s="2"/>
      <c r="D2141" s="2">
        <f>COUNTIF(contact[[#This Row],[Bagossy]:[Szo
03:00 - 10:00]],"=~?")</f>
        <v>0</v>
      </c>
      <c r="E2141" s="2">
        <f>COUNTIF(contact[[#This Row],[Bagossy]:[Szo
03:00 - 10:00]],"=x")</f>
        <v>0</v>
      </c>
      <c r="F2141" s="2">
        <f>SUM(contact[[#This Row],[?]:[x]])</f>
        <v>0</v>
      </c>
      <c r="G21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1" s="3" t="s">
        <v>3412</v>
      </c>
      <c r="K2141" s="1" t="s">
        <v>1637</v>
      </c>
      <c r="L2141" s="1" t="s">
        <v>2</v>
      </c>
      <c r="M2141" s="1" t="s">
        <v>2</v>
      </c>
      <c r="O2141" s="2"/>
      <c r="P2141" s="2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</row>
    <row r="2142" spans="1:32" s="1" customFormat="1" ht="20.25" customHeight="1" x14ac:dyDescent="0.25">
      <c r="A2142" s="2"/>
      <c r="B2142" s="2"/>
      <c r="C2142" s="2"/>
      <c r="D2142" s="2">
        <f>COUNTIF(contact[[#This Row],[Bagossy]:[Szo
03:00 - 10:00]],"=~?")</f>
        <v>0</v>
      </c>
      <c r="E2142" s="2">
        <f>COUNTIF(contact[[#This Row],[Bagossy]:[Szo
03:00 - 10:00]],"=x")</f>
        <v>0</v>
      </c>
      <c r="F2142" s="2">
        <f>SUM(contact[[#This Row],[?]:[x]])</f>
        <v>0</v>
      </c>
      <c r="G21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2" s="3" t="s">
        <v>3830</v>
      </c>
      <c r="K2142" s="1" t="s">
        <v>1293</v>
      </c>
      <c r="L2142" s="1" t="s">
        <v>2</v>
      </c>
      <c r="M2142" s="1" t="s">
        <v>2</v>
      </c>
      <c r="O2142" s="2"/>
      <c r="P2142" s="2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</row>
    <row r="2143" spans="1:32" s="1" customFormat="1" ht="20.25" customHeight="1" x14ac:dyDescent="0.25">
      <c r="A2143" s="2"/>
      <c r="B2143" s="2"/>
      <c r="C2143" s="2"/>
      <c r="D2143" s="2">
        <f>COUNTIF(contact[[#This Row],[Bagossy]:[Szo
03:00 - 10:00]],"=~?")</f>
        <v>0</v>
      </c>
      <c r="E2143" s="2">
        <f>COUNTIF(contact[[#This Row],[Bagossy]:[Szo
03:00 - 10:00]],"=x")</f>
        <v>0</v>
      </c>
      <c r="F2143" s="2">
        <f>SUM(contact[[#This Row],[?]:[x]])</f>
        <v>0</v>
      </c>
      <c r="G21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43" s="2"/>
      <c r="I2143" s="2"/>
      <c r="J2143" s="3" t="s">
        <v>3867</v>
      </c>
      <c r="K2143" s="1" t="s">
        <v>1730</v>
      </c>
      <c r="L2143" s="1" t="s">
        <v>2</v>
      </c>
      <c r="M2143" s="1" t="s">
        <v>2</v>
      </c>
      <c r="O2143" s="2"/>
      <c r="P2143" s="2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</row>
    <row r="2144" spans="1:32" s="1" customFormat="1" ht="20.25" customHeight="1" x14ac:dyDescent="0.25">
      <c r="A2144" s="2"/>
      <c r="B2144" s="2"/>
      <c r="C2144" s="2"/>
      <c r="D2144" s="2">
        <f>COUNTIF(contact[[#This Row],[Bagossy]:[Szo
03:00 - 10:00]],"=~?")</f>
        <v>0</v>
      </c>
      <c r="E2144" s="2">
        <f>COUNTIF(contact[[#This Row],[Bagossy]:[Szo
03:00 - 10:00]],"=x")</f>
        <v>0</v>
      </c>
      <c r="F2144" s="2">
        <f>SUM(contact[[#This Row],[?]:[x]])</f>
        <v>0</v>
      </c>
      <c r="G21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44" s="2"/>
      <c r="I2144" s="2"/>
      <c r="J2144" s="3" t="s">
        <v>3873</v>
      </c>
      <c r="K2144" s="1" t="s">
        <v>1731</v>
      </c>
      <c r="L2144" s="1" t="s">
        <v>2</v>
      </c>
      <c r="M2144" s="1" t="s">
        <v>2</v>
      </c>
      <c r="O2144" s="2"/>
      <c r="P2144" s="2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</row>
    <row r="2145" spans="1:32" s="1" customFormat="1" ht="20.25" customHeight="1" x14ac:dyDescent="0.25">
      <c r="A2145" s="2"/>
      <c r="B2145" s="2"/>
      <c r="C2145" s="2"/>
      <c r="D2145" s="2">
        <f>COUNTIF(contact[[#This Row],[Bagossy]:[Szo
03:00 - 10:00]],"=~?")</f>
        <v>0</v>
      </c>
      <c r="E2145" s="2">
        <f>COUNTIF(contact[[#This Row],[Bagossy]:[Szo
03:00 - 10:00]],"=x")</f>
        <v>0</v>
      </c>
      <c r="F2145" s="2">
        <f>SUM(contact[[#This Row],[?]:[x]])</f>
        <v>0</v>
      </c>
      <c r="G21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5" s="3" t="s">
        <v>4298</v>
      </c>
      <c r="K2145" s="1" t="s">
        <v>1180</v>
      </c>
      <c r="L2145" s="1" t="s">
        <v>2</v>
      </c>
      <c r="M2145" s="1" t="s">
        <v>2</v>
      </c>
      <c r="O2145" s="2"/>
      <c r="P2145" s="2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</row>
    <row r="2146" spans="1:32" s="1" customFormat="1" ht="20.25" customHeight="1" x14ac:dyDescent="0.25">
      <c r="A2146" s="2"/>
      <c r="B2146" s="2"/>
      <c r="C2146" s="2"/>
      <c r="D2146" s="2">
        <f>COUNTIF(contact[[#This Row],[Bagossy]:[Szo
03:00 - 10:00]],"=~?")</f>
        <v>0</v>
      </c>
      <c r="E2146" s="2">
        <f>COUNTIF(contact[[#This Row],[Bagossy]:[Szo
03:00 - 10:00]],"=x")</f>
        <v>0</v>
      </c>
      <c r="F2146" s="2">
        <f>SUM(contact[[#This Row],[?]:[x]])</f>
        <v>0</v>
      </c>
      <c r="G21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6" s="3" t="s">
        <v>3566</v>
      </c>
      <c r="K2146" s="1" t="s">
        <v>852</v>
      </c>
      <c r="L2146" s="1" t="s">
        <v>2</v>
      </c>
      <c r="M2146" s="1" t="s">
        <v>2</v>
      </c>
      <c r="O2146" s="2"/>
      <c r="P2146" s="2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</row>
    <row r="2147" spans="1:32" s="1" customFormat="1" ht="20.25" customHeight="1" x14ac:dyDescent="0.25">
      <c r="A2147" s="2"/>
      <c r="B2147" s="2"/>
      <c r="C2147" s="2"/>
      <c r="D2147" s="2">
        <f>COUNTIF(contact[[#This Row],[Bagossy]:[Szo
03:00 - 10:00]],"=~?")</f>
        <v>0</v>
      </c>
      <c r="E2147" s="2">
        <f>COUNTIF(contact[[#This Row],[Bagossy]:[Szo
03:00 - 10:00]],"=x")</f>
        <v>0</v>
      </c>
      <c r="F2147" s="2">
        <f>SUM(contact[[#This Row],[?]:[x]])</f>
        <v>0</v>
      </c>
      <c r="G21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7" s="3" t="s">
        <v>2543</v>
      </c>
      <c r="K2147" s="1" t="s">
        <v>1442</v>
      </c>
      <c r="L2147" s="1" t="s">
        <v>2</v>
      </c>
      <c r="M2147" s="1" t="s">
        <v>2</v>
      </c>
      <c r="O2147" s="2"/>
      <c r="P2147" s="2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</row>
    <row r="2148" spans="1:32" s="1" customFormat="1" ht="20.25" customHeight="1" x14ac:dyDescent="0.25">
      <c r="A2148" s="2"/>
      <c r="B2148" s="2"/>
      <c r="C2148" s="2"/>
      <c r="D2148" s="2">
        <f>COUNTIF(contact[[#This Row],[Bagossy]:[Szo
03:00 - 10:00]],"=~?")</f>
        <v>0</v>
      </c>
      <c r="E2148" s="2">
        <f>COUNTIF(contact[[#This Row],[Bagossy]:[Szo
03:00 - 10:00]],"=x")</f>
        <v>0</v>
      </c>
      <c r="F2148" s="2">
        <f>SUM(contact[[#This Row],[?]:[x]])</f>
        <v>0</v>
      </c>
      <c r="G21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48" s="2"/>
      <c r="I2148" s="2"/>
      <c r="J2148" s="3" t="s">
        <v>3875</v>
      </c>
      <c r="K2148" s="1" t="s">
        <v>6</v>
      </c>
      <c r="L2148" s="1" t="s">
        <v>2</v>
      </c>
      <c r="M2148" s="1" t="s">
        <v>2</v>
      </c>
      <c r="O2148" s="2"/>
      <c r="P2148" s="2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</row>
    <row r="2149" spans="1:32" s="1" customFormat="1" ht="20.25" customHeight="1" x14ac:dyDescent="0.25">
      <c r="A2149" s="2"/>
      <c r="B2149" s="2"/>
      <c r="C2149" s="2"/>
      <c r="D2149" s="2">
        <f>COUNTIF(contact[[#This Row],[Bagossy]:[Szo
03:00 - 10:00]],"=~?")</f>
        <v>0</v>
      </c>
      <c r="E2149" s="2">
        <f>COUNTIF(contact[[#This Row],[Bagossy]:[Szo
03:00 - 10:00]],"=x")</f>
        <v>0</v>
      </c>
      <c r="F2149" s="2">
        <f>SUM(contact[[#This Row],[?]:[x]])</f>
        <v>0</v>
      </c>
      <c r="G21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49" s="3" t="s">
        <v>2244</v>
      </c>
      <c r="K2149" s="1" t="s">
        <v>201</v>
      </c>
      <c r="L2149" s="1" t="s">
        <v>2</v>
      </c>
      <c r="M2149" s="1" t="s">
        <v>2</v>
      </c>
      <c r="O2149" s="2"/>
      <c r="P2149" s="2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</row>
    <row r="2150" spans="1:32" s="1" customFormat="1" ht="20.25" customHeight="1" x14ac:dyDescent="0.25">
      <c r="A2150" s="2"/>
      <c r="B2150" s="2"/>
      <c r="C2150" s="2"/>
      <c r="D2150" s="2">
        <f>COUNTIF(contact[[#This Row],[Bagossy]:[Szo
03:00 - 10:00]],"=~?")</f>
        <v>0</v>
      </c>
      <c r="E2150" s="2">
        <f>COUNTIF(contact[[#This Row],[Bagossy]:[Szo
03:00 - 10:00]],"=x")</f>
        <v>0</v>
      </c>
      <c r="F2150" s="2">
        <f>SUM(contact[[#This Row],[?]:[x]])</f>
        <v>0</v>
      </c>
      <c r="G21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0" s="3" t="s">
        <v>977</v>
      </c>
      <c r="K2150" s="1" t="s">
        <v>2</v>
      </c>
      <c r="L2150" s="1" t="s">
        <v>2</v>
      </c>
      <c r="M2150" s="1" t="s">
        <v>2</v>
      </c>
      <c r="O2150" s="2"/>
      <c r="P2150" s="2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</row>
    <row r="2151" spans="1:32" s="1" customFormat="1" ht="20.25" customHeight="1" x14ac:dyDescent="0.25">
      <c r="A2151" s="2"/>
      <c r="B2151" s="2"/>
      <c r="C2151" s="2"/>
      <c r="D2151" s="2">
        <f>COUNTIF(contact[[#This Row],[Bagossy]:[Szo
03:00 - 10:00]],"=~?")</f>
        <v>0</v>
      </c>
      <c r="E2151" s="2">
        <f>COUNTIF(contact[[#This Row],[Bagossy]:[Szo
03:00 - 10:00]],"=x")</f>
        <v>0</v>
      </c>
      <c r="F2151" s="2">
        <f>SUM(contact[[#This Row],[?]:[x]])</f>
        <v>0</v>
      </c>
      <c r="G21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1" s="3" t="s">
        <v>3732</v>
      </c>
      <c r="K2151" s="1" t="s">
        <v>2</v>
      </c>
      <c r="L2151" s="1" t="s">
        <v>2</v>
      </c>
      <c r="M2151" s="1" t="s">
        <v>2</v>
      </c>
      <c r="O2151" s="2"/>
      <c r="P2151" s="2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</row>
    <row r="2152" spans="1:32" s="1" customFormat="1" ht="20.25" customHeight="1" x14ac:dyDescent="0.25">
      <c r="A2152" s="2"/>
      <c r="B2152" s="2"/>
      <c r="C2152" s="2"/>
      <c r="D2152" s="2">
        <f>COUNTIF(contact[[#This Row],[Bagossy]:[Szo
03:00 - 10:00]],"=~?")</f>
        <v>0</v>
      </c>
      <c r="E2152" s="2">
        <f>COUNTIF(contact[[#This Row],[Bagossy]:[Szo
03:00 - 10:00]],"=x")</f>
        <v>0</v>
      </c>
      <c r="F2152" s="2">
        <f>SUM(contact[[#This Row],[?]:[x]])</f>
        <v>0</v>
      </c>
      <c r="G21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2" s="3" t="s">
        <v>3679</v>
      </c>
      <c r="K2152" s="1" t="s">
        <v>1698</v>
      </c>
      <c r="L2152" s="1" t="s">
        <v>2</v>
      </c>
      <c r="M2152" s="1" t="s">
        <v>2</v>
      </c>
      <c r="O2152" s="2"/>
      <c r="P2152" s="2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</row>
    <row r="2153" spans="1:32" s="1" customFormat="1" ht="20.25" customHeight="1" x14ac:dyDescent="0.25">
      <c r="A2153" s="2"/>
      <c r="B2153" s="2"/>
      <c r="C2153" s="2"/>
      <c r="D2153" s="2">
        <f>COUNTIF(contact[[#This Row],[Bagossy]:[Szo
03:00 - 10:00]],"=~?")</f>
        <v>0</v>
      </c>
      <c r="E2153" s="2">
        <f>COUNTIF(contact[[#This Row],[Bagossy]:[Szo
03:00 - 10:00]],"=x")</f>
        <v>0</v>
      </c>
      <c r="F2153" s="2">
        <f>SUM(contact[[#This Row],[?]:[x]])</f>
        <v>0</v>
      </c>
      <c r="G21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3" s="3" t="s">
        <v>4115</v>
      </c>
      <c r="K2153" s="1" t="s">
        <v>1791</v>
      </c>
      <c r="L2153" s="1" t="s">
        <v>2</v>
      </c>
      <c r="M2153" s="1" t="s">
        <v>2</v>
      </c>
      <c r="O2153" s="2"/>
      <c r="P2153" s="2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</row>
    <row r="2154" spans="1:32" s="1" customFormat="1" ht="20.25" customHeight="1" x14ac:dyDescent="0.25">
      <c r="A2154" s="2"/>
      <c r="B2154" s="2"/>
      <c r="C2154" s="2"/>
      <c r="D2154" s="2">
        <f>COUNTIF(contact[[#This Row],[Bagossy]:[Szo
03:00 - 10:00]],"=~?")</f>
        <v>0</v>
      </c>
      <c r="E2154" s="2">
        <f>COUNTIF(contact[[#This Row],[Bagossy]:[Szo
03:00 - 10:00]],"=x")</f>
        <v>0</v>
      </c>
      <c r="F2154" s="2">
        <f>SUM(contact[[#This Row],[?]:[x]])</f>
        <v>0</v>
      </c>
      <c r="G21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4" s="3" t="s">
        <v>981</v>
      </c>
      <c r="K2154" s="1" t="s">
        <v>2</v>
      </c>
      <c r="L2154" s="1" t="s">
        <v>2</v>
      </c>
      <c r="M2154" s="1" t="s">
        <v>2</v>
      </c>
      <c r="O2154" s="2"/>
      <c r="P2154" s="2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</row>
    <row r="2155" spans="1:32" s="1" customFormat="1" ht="20.25" customHeight="1" x14ac:dyDescent="0.25">
      <c r="A2155" s="2"/>
      <c r="B2155" s="2"/>
      <c r="C2155" s="2"/>
      <c r="D2155" s="2">
        <f>COUNTIF(contact[[#This Row],[Bagossy]:[Szo
03:00 - 10:00]],"=~?")</f>
        <v>0</v>
      </c>
      <c r="E2155" s="2">
        <f>COUNTIF(contact[[#This Row],[Bagossy]:[Szo
03:00 - 10:00]],"=x")</f>
        <v>0</v>
      </c>
      <c r="F2155" s="2">
        <f>SUM(contact[[#This Row],[?]:[x]])</f>
        <v>0</v>
      </c>
      <c r="G21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55" s="2"/>
      <c r="I2155" s="2"/>
      <c r="J2155" s="3" t="s">
        <v>3877</v>
      </c>
      <c r="K2155" s="1" t="s">
        <v>565</v>
      </c>
      <c r="L2155" s="1" t="s">
        <v>2</v>
      </c>
      <c r="M2155" s="1" t="s">
        <v>2</v>
      </c>
      <c r="O2155" s="2"/>
      <c r="P2155" s="2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</row>
    <row r="2156" spans="1:32" s="1" customFormat="1" ht="20.25" customHeight="1" x14ac:dyDescent="0.25">
      <c r="A2156" s="2"/>
      <c r="B2156" s="2"/>
      <c r="C2156" s="2"/>
      <c r="D2156" s="2">
        <f>COUNTIF(contact[[#This Row],[Bagossy]:[Szo
03:00 - 10:00]],"=~?")</f>
        <v>0</v>
      </c>
      <c r="E2156" s="2">
        <f>COUNTIF(contact[[#This Row],[Bagossy]:[Szo
03:00 - 10:00]],"=x")</f>
        <v>0</v>
      </c>
      <c r="F2156" s="2">
        <f>SUM(contact[[#This Row],[?]:[x]])</f>
        <v>0</v>
      </c>
      <c r="G21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6" s="3" t="s">
        <v>982</v>
      </c>
      <c r="K2156" s="1" t="s">
        <v>2</v>
      </c>
      <c r="L2156" s="1" t="s">
        <v>2</v>
      </c>
      <c r="M2156" s="1" t="s">
        <v>2</v>
      </c>
      <c r="O2156" s="2"/>
      <c r="P2156" s="2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</row>
    <row r="2157" spans="1:32" s="1" customFormat="1" ht="20.25" customHeight="1" x14ac:dyDescent="0.25">
      <c r="A2157" s="2"/>
      <c r="B2157" s="2"/>
      <c r="C2157" s="2"/>
      <c r="D2157" s="2">
        <f>COUNTIF(contact[[#This Row],[Bagossy]:[Szo
03:00 - 10:00]],"=~?")</f>
        <v>0</v>
      </c>
      <c r="E2157" s="2">
        <f>COUNTIF(contact[[#This Row],[Bagossy]:[Szo
03:00 - 10:00]],"=x")</f>
        <v>0</v>
      </c>
      <c r="F2157" s="2">
        <f>SUM(contact[[#This Row],[?]:[x]])</f>
        <v>0</v>
      </c>
      <c r="G21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7" s="3" t="s">
        <v>4137</v>
      </c>
      <c r="K2157" s="1" t="s">
        <v>1065</v>
      </c>
      <c r="L2157" s="1" t="s">
        <v>2</v>
      </c>
      <c r="M2157" s="1" t="s">
        <v>2</v>
      </c>
      <c r="O2157" s="2"/>
      <c r="P2157" s="2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</row>
    <row r="2158" spans="1:32" s="1" customFormat="1" ht="20.25" customHeight="1" x14ac:dyDescent="0.25">
      <c r="A2158" s="2"/>
      <c r="B2158" s="2"/>
      <c r="C2158" s="2"/>
      <c r="D2158" s="2">
        <f>COUNTIF(contact[[#This Row],[Bagossy]:[Szo
03:00 - 10:00]],"=~?")</f>
        <v>0</v>
      </c>
      <c r="E2158" s="2">
        <f>COUNTIF(contact[[#This Row],[Bagossy]:[Szo
03:00 - 10:00]],"=x")</f>
        <v>0</v>
      </c>
      <c r="F2158" s="2">
        <f>SUM(contact[[#This Row],[?]:[x]])</f>
        <v>0</v>
      </c>
      <c r="G21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58" s="3" t="s">
        <v>2357</v>
      </c>
      <c r="K2158" s="1" t="s">
        <v>259</v>
      </c>
      <c r="L2158" s="1" t="s">
        <v>2</v>
      </c>
      <c r="M2158" s="1" t="s">
        <v>2</v>
      </c>
      <c r="O2158" s="2"/>
      <c r="P2158" s="2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</row>
    <row r="2159" spans="1:32" s="1" customFormat="1" ht="20.25" customHeight="1" x14ac:dyDescent="0.25">
      <c r="A2159" s="2"/>
      <c r="B2159" s="2"/>
      <c r="C2159" s="2" t="s">
        <v>1285</v>
      </c>
      <c r="D2159" s="2">
        <f>COUNTIF(contact[[#This Row],[Bagossy]:[Szo
03:00 - 10:00]],"=~?")</f>
        <v>0</v>
      </c>
      <c r="E2159" s="2">
        <f>COUNTIF(contact[[#This Row],[Bagossy]:[Szo
03:00 - 10:00]],"=x")</f>
        <v>0</v>
      </c>
      <c r="F2159" s="2">
        <f>SUM(contact[[#This Row],[?]:[x]])</f>
        <v>0</v>
      </c>
      <c r="G21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59" s="2"/>
      <c r="I2159" s="2"/>
      <c r="J2159" s="3" t="s">
        <v>3880</v>
      </c>
      <c r="K2159" s="1" t="s">
        <v>344</v>
      </c>
      <c r="L2159" s="1" t="s">
        <v>2</v>
      </c>
      <c r="M2159" s="1" t="s">
        <v>2</v>
      </c>
      <c r="O2159" s="2"/>
      <c r="P2159" s="2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</row>
    <row r="2160" spans="1:32" s="1" customFormat="1" ht="20.25" customHeight="1" x14ac:dyDescent="0.25">
      <c r="A2160" s="2"/>
      <c r="B2160" s="2"/>
      <c r="C2160" s="2"/>
      <c r="D2160" s="2">
        <f>COUNTIF(contact[[#This Row],[Bagossy]:[Szo
03:00 - 10:00]],"=~?")</f>
        <v>0</v>
      </c>
      <c r="E2160" s="2">
        <f>COUNTIF(contact[[#This Row],[Bagossy]:[Szo
03:00 - 10:00]],"=x")</f>
        <v>0</v>
      </c>
      <c r="F2160" s="2">
        <f>SUM(contact[[#This Row],[?]:[x]])</f>
        <v>0</v>
      </c>
      <c r="G21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0" s="3" t="s">
        <v>4138</v>
      </c>
      <c r="K2160" s="1" t="s">
        <v>1425</v>
      </c>
      <c r="L2160" s="1" t="s">
        <v>2</v>
      </c>
      <c r="M2160" s="1" t="s">
        <v>2</v>
      </c>
      <c r="O2160" s="2"/>
      <c r="P2160" s="2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</row>
    <row r="2161" spans="1:32" s="1" customFormat="1" ht="20.25" customHeight="1" x14ac:dyDescent="0.25">
      <c r="A2161" s="2"/>
      <c r="B2161" s="2"/>
      <c r="C2161" s="2"/>
      <c r="D2161" s="2">
        <f>COUNTIF(contact[[#This Row],[Bagossy]:[Szo
03:00 - 10:00]],"=~?")</f>
        <v>0</v>
      </c>
      <c r="E2161" s="2">
        <f>COUNTIF(contact[[#This Row],[Bagossy]:[Szo
03:00 - 10:00]],"=x")</f>
        <v>0</v>
      </c>
      <c r="F2161" s="2">
        <f>SUM(contact[[#This Row],[?]:[x]])</f>
        <v>0</v>
      </c>
      <c r="G21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61" s="2"/>
      <c r="I2161" s="2"/>
      <c r="J2161" s="3" t="s">
        <v>3884</v>
      </c>
      <c r="K2161" s="1" t="s">
        <v>645</v>
      </c>
      <c r="L2161" s="1" t="s">
        <v>2</v>
      </c>
      <c r="M2161" s="1" t="s">
        <v>2</v>
      </c>
      <c r="O2161" s="2"/>
      <c r="P2161" s="2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</row>
    <row r="2162" spans="1:32" s="1" customFormat="1" ht="20.25" customHeight="1" x14ac:dyDescent="0.25">
      <c r="A2162" s="2"/>
      <c r="B2162" s="2"/>
      <c r="C2162" s="2"/>
      <c r="D2162" s="2">
        <f>COUNTIF(contact[[#This Row],[Bagossy]:[Szo
03:00 - 10:00]],"=~?")</f>
        <v>0</v>
      </c>
      <c r="E2162" s="2">
        <f>COUNTIF(contact[[#This Row],[Bagossy]:[Szo
03:00 - 10:00]],"=x")</f>
        <v>0</v>
      </c>
      <c r="F2162" s="2">
        <f>SUM(contact[[#This Row],[?]:[x]])</f>
        <v>0</v>
      </c>
      <c r="G21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2" s="3" t="s">
        <v>4555</v>
      </c>
      <c r="K2162" s="1" t="s">
        <v>2</v>
      </c>
      <c r="L2162" s="1" t="s">
        <v>2</v>
      </c>
      <c r="M2162" s="1" t="s">
        <v>2</v>
      </c>
      <c r="O2162" s="2"/>
      <c r="P2162" s="2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</row>
    <row r="2163" spans="1:32" s="1" customFormat="1" ht="20.25" customHeight="1" x14ac:dyDescent="0.25">
      <c r="A2163" s="2"/>
      <c r="B2163" s="2"/>
      <c r="C2163" s="2"/>
      <c r="D2163" s="2">
        <f>COUNTIF(contact[[#This Row],[Bagossy]:[Szo
03:00 - 10:00]],"=~?")</f>
        <v>0</v>
      </c>
      <c r="E2163" s="2">
        <f>COUNTIF(contact[[#This Row],[Bagossy]:[Szo
03:00 - 10:00]],"=x")</f>
        <v>0</v>
      </c>
      <c r="F2163" s="2">
        <f>SUM(contact[[#This Row],[?]:[x]])</f>
        <v>0</v>
      </c>
      <c r="G21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3" s="3" t="s">
        <v>4555</v>
      </c>
      <c r="K2163" s="1" t="s">
        <v>2</v>
      </c>
      <c r="L2163" s="1" t="s">
        <v>2</v>
      </c>
      <c r="M2163" s="1" t="s">
        <v>2</v>
      </c>
      <c r="O2163" s="2"/>
      <c r="P2163" s="2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</row>
    <row r="2164" spans="1:32" s="1" customFormat="1" ht="20.25" customHeight="1" x14ac:dyDescent="0.25">
      <c r="A2164" s="2"/>
      <c r="B2164" s="2"/>
      <c r="C2164" s="2"/>
      <c r="D2164" s="2">
        <f>COUNTIF(contact[[#This Row],[Bagossy]:[Szo
03:00 - 10:00]],"=~?")</f>
        <v>0</v>
      </c>
      <c r="E2164" s="2">
        <f>COUNTIF(contact[[#This Row],[Bagossy]:[Szo
03:00 - 10:00]],"=x")</f>
        <v>0</v>
      </c>
      <c r="F2164" s="2">
        <f>SUM(contact[[#This Row],[?]:[x]])</f>
        <v>0</v>
      </c>
      <c r="G21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4" s="3" t="s">
        <v>2692</v>
      </c>
      <c r="K2164" s="1" t="s">
        <v>130</v>
      </c>
      <c r="L2164" s="1" t="s">
        <v>2</v>
      </c>
      <c r="M2164" s="1" t="s">
        <v>2</v>
      </c>
      <c r="O2164" s="2"/>
      <c r="P2164" s="2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</row>
    <row r="2165" spans="1:32" s="1" customFormat="1" ht="20.25" customHeight="1" x14ac:dyDescent="0.25">
      <c r="A2165" s="2"/>
      <c r="B2165" s="2"/>
      <c r="C2165" s="2"/>
      <c r="D2165" s="2">
        <f>COUNTIF(contact[[#This Row],[Bagossy]:[Szo
03:00 - 10:00]],"=~?")</f>
        <v>0</v>
      </c>
      <c r="E2165" s="2">
        <f>COUNTIF(contact[[#This Row],[Bagossy]:[Szo
03:00 - 10:00]],"=x")</f>
        <v>0</v>
      </c>
      <c r="F2165" s="2">
        <f>SUM(contact[[#This Row],[?]:[x]])</f>
        <v>0</v>
      </c>
      <c r="G21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5" s="3" t="s">
        <v>2196</v>
      </c>
      <c r="K2165" s="1" t="s">
        <v>167</v>
      </c>
      <c r="L2165" s="1" t="s">
        <v>2</v>
      </c>
      <c r="M2165" s="1" t="s">
        <v>2</v>
      </c>
      <c r="O2165" s="2"/>
      <c r="P2165" s="2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</row>
    <row r="2166" spans="1:32" s="1" customFormat="1" ht="20.25" customHeight="1" x14ac:dyDescent="0.25">
      <c r="A2166" s="2"/>
      <c r="B2166" s="2"/>
      <c r="C2166" s="2"/>
      <c r="D2166" s="2">
        <f>COUNTIF(contact[[#This Row],[Bagossy]:[Szo
03:00 - 10:00]],"=~?")</f>
        <v>0</v>
      </c>
      <c r="E2166" s="2">
        <f>COUNTIF(contact[[#This Row],[Bagossy]:[Szo
03:00 - 10:00]],"=x")</f>
        <v>0</v>
      </c>
      <c r="F2166" s="2">
        <f>SUM(contact[[#This Row],[?]:[x]])</f>
        <v>0</v>
      </c>
      <c r="G21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6" s="3" t="s">
        <v>983</v>
      </c>
      <c r="K2166" s="1" t="s">
        <v>2</v>
      </c>
      <c r="L2166" s="1" t="s">
        <v>2</v>
      </c>
      <c r="M2166" s="1" t="s">
        <v>2</v>
      </c>
      <c r="O2166" s="2"/>
      <c r="P2166" s="2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</row>
    <row r="2167" spans="1:32" s="1" customFormat="1" ht="20.25" customHeight="1" x14ac:dyDescent="0.25">
      <c r="A2167" s="2"/>
      <c r="B2167" s="2"/>
      <c r="C2167" s="2"/>
      <c r="D2167" s="2">
        <f>COUNTIF(contact[[#This Row],[Bagossy]:[Szo
03:00 - 10:00]],"=~?")</f>
        <v>0</v>
      </c>
      <c r="E2167" s="2">
        <f>COUNTIF(contact[[#This Row],[Bagossy]:[Szo
03:00 - 10:00]],"=x")</f>
        <v>0</v>
      </c>
      <c r="F2167" s="2">
        <f>SUM(contact[[#This Row],[?]:[x]])</f>
        <v>0</v>
      </c>
      <c r="G21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7" s="3" t="s">
        <v>984</v>
      </c>
      <c r="K2167" s="1" t="s">
        <v>2</v>
      </c>
      <c r="L2167" s="1" t="s">
        <v>2</v>
      </c>
      <c r="M2167" s="1" t="s">
        <v>2</v>
      </c>
      <c r="O2167" s="2"/>
      <c r="P2167" s="2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</row>
    <row r="2168" spans="1:32" s="1" customFormat="1" ht="20.25" customHeight="1" x14ac:dyDescent="0.25">
      <c r="A2168" s="2"/>
      <c r="B2168" s="2"/>
      <c r="C2168" s="2"/>
      <c r="D2168" s="2">
        <f>COUNTIF(contact[[#This Row],[Bagossy]:[Szo
03:00 - 10:00]],"=~?")</f>
        <v>0</v>
      </c>
      <c r="E2168" s="2">
        <f>COUNTIF(contact[[#This Row],[Bagossy]:[Szo
03:00 - 10:00]],"=x")</f>
        <v>0</v>
      </c>
      <c r="F2168" s="2">
        <f>SUM(contact[[#This Row],[?]:[x]])</f>
        <v>0</v>
      </c>
      <c r="G21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8" s="3" t="s">
        <v>3879</v>
      </c>
      <c r="K2168" s="1" t="s">
        <v>1732</v>
      </c>
      <c r="L2168" s="1" t="s">
        <v>2</v>
      </c>
      <c r="M2168" s="1" t="s">
        <v>2</v>
      </c>
      <c r="O2168" s="2"/>
      <c r="P2168" s="2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</row>
    <row r="2169" spans="1:32" s="1" customFormat="1" ht="20.25" customHeight="1" x14ac:dyDescent="0.25">
      <c r="A2169" s="2"/>
      <c r="B2169" s="2"/>
      <c r="C2169" s="2"/>
      <c r="D2169" s="2">
        <f>COUNTIF(contact[[#This Row],[Bagossy]:[Szo
03:00 - 10:00]],"=~?")</f>
        <v>0</v>
      </c>
      <c r="E2169" s="2">
        <f>COUNTIF(contact[[#This Row],[Bagossy]:[Szo
03:00 - 10:00]],"=x")</f>
        <v>0</v>
      </c>
      <c r="F2169" s="2">
        <f>SUM(contact[[#This Row],[?]:[x]])</f>
        <v>0</v>
      </c>
      <c r="G21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69" s="3" t="s">
        <v>3060</v>
      </c>
      <c r="K2169" s="1" t="s">
        <v>2</v>
      </c>
      <c r="L2169" s="1" t="s">
        <v>2</v>
      </c>
      <c r="M2169" s="1" t="s">
        <v>2</v>
      </c>
      <c r="O2169" s="2"/>
      <c r="P2169" s="2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</row>
    <row r="2170" spans="1:32" s="1" customFormat="1" ht="20.25" customHeight="1" x14ac:dyDescent="0.25">
      <c r="A2170" s="2"/>
      <c r="B2170" s="2"/>
      <c r="C2170" s="2"/>
      <c r="D2170" s="2">
        <f>COUNTIF(contact[[#This Row],[Bagossy]:[Szo
03:00 - 10:00]],"=~?")</f>
        <v>0</v>
      </c>
      <c r="E2170" s="2">
        <f>COUNTIF(contact[[#This Row],[Bagossy]:[Szo
03:00 - 10:00]],"=x")</f>
        <v>0</v>
      </c>
      <c r="F2170" s="2">
        <f>SUM(contact[[#This Row],[?]:[x]])</f>
        <v>0</v>
      </c>
      <c r="G21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0" s="3" t="s">
        <v>3757</v>
      </c>
      <c r="K2170" s="1" t="s">
        <v>2</v>
      </c>
      <c r="L2170" s="1" t="s">
        <v>2</v>
      </c>
      <c r="M2170" s="1" t="s">
        <v>2</v>
      </c>
      <c r="O2170" s="2"/>
      <c r="P2170" s="2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</row>
    <row r="2171" spans="1:32" s="1" customFormat="1" ht="20.25" customHeight="1" x14ac:dyDescent="0.25">
      <c r="A2171" s="2"/>
      <c r="B2171" s="2"/>
      <c r="C2171" s="2"/>
      <c r="D2171" s="2">
        <f>COUNTIF(contact[[#This Row],[Bagossy]:[Szo
03:00 - 10:00]],"=~?")</f>
        <v>0</v>
      </c>
      <c r="E2171" s="2">
        <f>COUNTIF(contact[[#This Row],[Bagossy]:[Szo
03:00 - 10:00]],"=x")</f>
        <v>0</v>
      </c>
      <c r="F2171" s="2">
        <f>SUM(contact[[#This Row],[?]:[x]])</f>
        <v>0</v>
      </c>
      <c r="G21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71" s="2"/>
      <c r="I2171" s="2"/>
      <c r="J2171" s="3" t="s">
        <v>1009</v>
      </c>
      <c r="K2171" s="1" t="s">
        <v>1734</v>
      </c>
      <c r="L2171" s="1" t="s">
        <v>2</v>
      </c>
      <c r="M2171" s="1" t="s">
        <v>2</v>
      </c>
      <c r="O2171" s="2"/>
      <c r="P2171" s="2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</row>
    <row r="2172" spans="1:32" s="1" customFormat="1" ht="20.25" customHeight="1" x14ac:dyDescent="0.25">
      <c r="A2172" s="2"/>
      <c r="B2172" s="2"/>
      <c r="C2172" s="2"/>
      <c r="D2172" s="2">
        <f>COUNTIF(contact[[#This Row],[Bagossy]:[Szo
03:00 - 10:00]],"=~?")</f>
        <v>0</v>
      </c>
      <c r="E2172" s="2">
        <f>COUNTIF(contact[[#This Row],[Bagossy]:[Szo
03:00 - 10:00]],"=x")</f>
        <v>0</v>
      </c>
      <c r="F2172" s="2">
        <f>SUM(contact[[#This Row],[?]:[x]])</f>
        <v>0</v>
      </c>
      <c r="G21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2" s="3" t="s">
        <v>4316</v>
      </c>
      <c r="K2172" s="1" t="s">
        <v>2</v>
      </c>
      <c r="L2172" s="1" t="s">
        <v>2</v>
      </c>
      <c r="M2172" s="1" t="s">
        <v>2</v>
      </c>
      <c r="O2172" s="2"/>
      <c r="P2172" s="2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</row>
    <row r="2173" spans="1:32" s="1" customFormat="1" ht="20.25" customHeight="1" x14ac:dyDescent="0.25">
      <c r="A2173" s="2"/>
      <c r="B2173" s="2"/>
      <c r="C2173" s="2"/>
      <c r="D2173" s="2">
        <f>COUNTIF(contact[[#This Row],[Bagossy]:[Szo
03:00 - 10:00]],"=~?")</f>
        <v>0</v>
      </c>
      <c r="E2173" s="2">
        <f>COUNTIF(contact[[#This Row],[Bagossy]:[Szo
03:00 - 10:00]],"=x")</f>
        <v>0</v>
      </c>
      <c r="F2173" s="2">
        <f>SUM(contact[[#This Row],[?]:[x]])</f>
        <v>0</v>
      </c>
      <c r="G21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73" s="2"/>
      <c r="I2173" s="2"/>
      <c r="J2173" s="3" t="s">
        <v>3894</v>
      </c>
      <c r="K2173" s="1" t="s">
        <v>6</v>
      </c>
      <c r="L2173" s="1" t="s">
        <v>2</v>
      </c>
      <c r="M2173" s="1" t="s">
        <v>2</v>
      </c>
      <c r="O2173" s="2"/>
      <c r="P2173" s="2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</row>
    <row r="2174" spans="1:32" s="1" customFormat="1" ht="20.25" customHeight="1" x14ac:dyDescent="0.25">
      <c r="A2174" s="2"/>
      <c r="B2174" s="2"/>
      <c r="C2174" s="2"/>
      <c r="D2174" s="2">
        <f>COUNTIF(contact[[#This Row],[Bagossy]:[Szo
03:00 - 10:00]],"=~?")</f>
        <v>0</v>
      </c>
      <c r="E2174" s="2">
        <f>COUNTIF(contact[[#This Row],[Bagossy]:[Szo
03:00 - 10:00]],"=x")</f>
        <v>0</v>
      </c>
      <c r="F2174" s="2">
        <f>SUM(contact[[#This Row],[?]:[x]])</f>
        <v>0</v>
      </c>
      <c r="G21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4" s="3" t="s">
        <v>1010</v>
      </c>
      <c r="K2174" s="1" t="s">
        <v>2</v>
      </c>
      <c r="L2174" s="1" t="s">
        <v>2</v>
      </c>
      <c r="M2174" s="1" t="s">
        <v>2</v>
      </c>
      <c r="O2174" s="2"/>
      <c r="P2174" s="2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</row>
    <row r="2175" spans="1:32" s="1" customFormat="1" ht="20.25" customHeight="1" x14ac:dyDescent="0.25">
      <c r="A2175" s="2"/>
      <c r="B2175" s="2"/>
      <c r="C2175" s="2"/>
      <c r="D2175" s="2">
        <f>COUNTIF(contact[[#This Row],[Bagossy]:[Szo
03:00 - 10:00]],"=~?")</f>
        <v>0</v>
      </c>
      <c r="E2175" s="2">
        <f>COUNTIF(contact[[#This Row],[Bagossy]:[Szo
03:00 - 10:00]],"=x")</f>
        <v>0</v>
      </c>
      <c r="F2175" s="2">
        <f>SUM(contact[[#This Row],[?]:[x]])</f>
        <v>0</v>
      </c>
      <c r="G21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5" s="3" t="s">
        <v>2413</v>
      </c>
      <c r="K2175" s="1" t="s">
        <v>290</v>
      </c>
      <c r="L2175" s="1" t="s">
        <v>2</v>
      </c>
      <c r="M2175" s="1" t="s">
        <v>2</v>
      </c>
      <c r="O2175" s="2"/>
      <c r="P2175" s="2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</row>
    <row r="2176" spans="1:32" s="1" customFormat="1" ht="20.25" customHeight="1" x14ac:dyDescent="0.25">
      <c r="A2176" s="2"/>
      <c r="B2176" s="2"/>
      <c r="C2176" s="2"/>
      <c r="D2176" s="2">
        <f>COUNTIF(contact[[#This Row],[Bagossy]:[Szo
03:00 - 10:00]],"=~?")</f>
        <v>0</v>
      </c>
      <c r="E2176" s="2">
        <f>COUNTIF(contact[[#This Row],[Bagossy]:[Szo
03:00 - 10:00]],"=x")</f>
        <v>0</v>
      </c>
      <c r="F2176" s="2">
        <f>SUM(contact[[#This Row],[?]:[x]])</f>
        <v>0</v>
      </c>
      <c r="G21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6" s="3" t="s">
        <v>2719</v>
      </c>
      <c r="K2176" s="1" t="s">
        <v>198</v>
      </c>
      <c r="L2176" s="1" t="s">
        <v>2</v>
      </c>
      <c r="M2176" s="1" t="s">
        <v>2</v>
      </c>
      <c r="O2176" s="2"/>
      <c r="P2176" s="2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</row>
    <row r="2177" spans="1:32" s="1" customFormat="1" ht="20.25" customHeight="1" x14ac:dyDescent="0.25">
      <c r="A2177" s="2"/>
      <c r="B2177" s="2"/>
      <c r="C2177" s="2"/>
      <c r="D2177" s="2">
        <f>COUNTIF(contact[[#This Row],[Bagossy]:[Szo
03:00 - 10:00]],"=~?")</f>
        <v>0</v>
      </c>
      <c r="E2177" s="2">
        <f>COUNTIF(contact[[#This Row],[Bagossy]:[Szo
03:00 - 10:00]],"=x")</f>
        <v>0</v>
      </c>
      <c r="F2177" s="2">
        <f>SUM(contact[[#This Row],[?]:[x]])</f>
        <v>0</v>
      </c>
      <c r="G21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7" s="3" t="s">
        <v>3983</v>
      </c>
      <c r="K2177" s="1" t="s">
        <v>1752</v>
      </c>
      <c r="L2177" s="1" t="s">
        <v>2</v>
      </c>
      <c r="M2177" s="1" t="s">
        <v>2</v>
      </c>
      <c r="O2177" s="2"/>
      <c r="P2177" s="2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</row>
    <row r="2178" spans="1:32" s="1" customFormat="1" ht="20.25" customHeight="1" x14ac:dyDescent="0.25">
      <c r="A2178" s="2"/>
      <c r="B2178" s="2"/>
      <c r="C2178" s="2"/>
      <c r="D2178" s="2">
        <f>COUNTIF(contact[[#This Row],[Bagossy]:[Szo
03:00 - 10:00]],"=~?")</f>
        <v>0</v>
      </c>
      <c r="E2178" s="2">
        <f>COUNTIF(contact[[#This Row],[Bagossy]:[Szo
03:00 - 10:00]],"=x")</f>
        <v>0</v>
      </c>
      <c r="F2178" s="2">
        <f>SUM(contact[[#This Row],[?]:[x]])</f>
        <v>0</v>
      </c>
      <c r="G21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78" s="3" t="s">
        <v>3783</v>
      </c>
      <c r="K2178" s="1" t="s">
        <v>944</v>
      </c>
      <c r="L2178" s="1" t="s">
        <v>2</v>
      </c>
      <c r="M2178" s="1" t="s">
        <v>2</v>
      </c>
      <c r="O2178" s="2"/>
      <c r="P2178" s="2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</row>
    <row r="2179" spans="1:32" s="1" customFormat="1" ht="20.25" customHeight="1" x14ac:dyDescent="0.25">
      <c r="A2179" s="2"/>
      <c r="B2179" s="2"/>
      <c r="C2179" s="2"/>
      <c r="D2179" s="2">
        <f>COUNTIF(contact[[#This Row],[Bagossy]:[Szo
03:00 - 10:00]],"=~?")</f>
        <v>0</v>
      </c>
      <c r="E2179" s="2">
        <f>COUNTIF(contact[[#This Row],[Bagossy]:[Szo
03:00 - 10:00]],"=x")</f>
        <v>0</v>
      </c>
      <c r="F2179" s="2">
        <f>SUM(contact[[#This Row],[?]:[x]])</f>
        <v>0</v>
      </c>
      <c r="G21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79" s="2"/>
      <c r="I2179" s="2"/>
      <c r="J2179" s="3" t="s">
        <v>3895</v>
      </c>
      <c r="K2179" s="1" t="s">
        <v>24</v>
      </c>
      <c r="L2179" s="1" t="s">
        <v>2</v>
      </c>
      <c r="M2179" s="1" t="s">
        <v>2</v>
      </c>
      <c r="O2179" s="2"/>
      <c r="P2179" s="2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</row>
    <row r="2180" spans="1:32" s="1" customFormat="1" ht="20.25" customHeight="1" x14ac:dyDescent="0.25">
      <c r="A2180" s="2"/>
      <c r="B2180" s="2"/>
      <c r="C2180" s="2"/>
      <c r="D2180" s="2">
        <f>COUNTIF(contact[[#This Row],[Bagossy]:[Szo
03:00 - 10:00]],"=~?")</f>
        <v>0</v>
      </c>
      <c r="E2180" s="2">
        <f>COUNTIF(contact[[#This Row],[Bagossy]:[Szo
03:00 - 10:00]],"=x")</f>
        <v>0</v>
      </c>
      <c r="F2180" s="2">
        <f>SUM(contact[[#This Row],[?]:[x]])</f>
        <v>0</v>
      </c>
      <c r="G21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0" s="3" t="s">
        <v>4480</v>
      </c>
      <c r="K2180" s="1" t="s">
        <v>1874</v>
      </c>
      <c r="L2180" s="1" t="s">
        <v>2</v>
      </c>
      <c r="M2180" s="1" t="s">
        <v>2</v>
      </c>
      <c r="O2180" s="2"/>
      <c r="P2180" s="2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</row>
    <row r="2181" spans="1:32" s="1" customFormat="1" ht="20.25" customHeight="1" x14ac:dyDescent="0.25">
      <c r="A2181" s="2"/>
      <c r="B2181" s="2"/>
      <c r="C2181" s="2"/>
      <c r="D2181" s="2">
        <f>COUNTIF(contact[[#This Row],[Bagossy]:[Szo
03:00 - 10:00]],"=~?")</f>
        <v>0</v>
      </c>
      <c r="E2181" s="2">
        <f>COUNTIF(contact[[#This Row],[Bagossy]:[Szo
03:00 - 10:00]],"=x")</f>
        <v>0</v>
      </c>
      <c r="F2181" s="2">
        <f>SUM(contact[[#This Row],[?]:[x]])</f>
        <v>0</v>
      </c>
      <c r="G21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1" s="3" t="s">
        <v>1016</v>
      </c>
      <c r="K2181" s="1" t="s">
        <v>2</v>
      </c>
      <c r="L2181" s="1" t="s">
        <v>2</v>
      </c>
      <c r="M2181" s="1" t="s">
        <v>2</v>
      </c>
      <c r="O2181" s="2"/>
      <c r="P2181" s="2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</row>
    <row r="2182" spans="1:32" s="1" customFormat="1" ht="20.25" customHeight="1" x14ac:dyDescent="0.25">
      <c r="A2182" s="2"/>
      <c r="B2182" s="2"/>
      <c r="C2182" s="2"/>
      <c r="D2182" s="2">
        <f>COUNTIF(contact[[#This Row],[Bagossy]:[Szo
03:00 - 10:00]],"=~?")</f>
        <v>0</v>
      </c>
      <c r="E2182" s="2">
        <f>COUNTIF(contact[[#This Row],[Bagossy]:[Szo
03:00 - 10:00]],"=x")</f>
        <v>0</v>
      </c>
      <c r="F2182" s="2">
        <f>SUM(contact[[#This Row],[?]:[x]])</f>
        <v>0</v>
      </c>
      <c r="G21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2" s="3" t="s">
        <v>2647</v>
      </c>
      <c r="K2182" s="1" t="s">
        <v>2</v>
      </c>
      <c r="L2182" s="1" t="s">
        <v>2</v>
      </c>
      <c r="M2182" s="1" t="s">
        <v>2</v>
      </c>
      <c r="O2182" s="2"/>
      <c r="P2182" s="2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</row>
    <row r="2183" spans="1:32" s="1" customFormat="1" ht="20.25" customHeight="1" x14ac:dyDescent="0.25">
      <c r="A2183" s="2"/>
      <c r="B2183" s="2"/>
      <c r="C2183" s="2"/>
      <c r="D2183" s="2">
        <f>COUNTIF(contact[[#This Row],[Bagossy]:[Szo
03:00 - 10:00]],"=~?")</f>
        <v>0</v>
      </c>
      <c r="E2183" s="2">
        <f>COUNTIF(contact[[#This Row],[Bagossy]:[Szo
03:00 - 10:00]],"=x")</f>
        <v>0</v>
      </c>
      <c r="F2183" s="2">
        <f>SUM(contact[[#This Row],[?]:[x]])</f>
        <v>0</v>
      </c>
      <c r="G21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3" s="3" t="s">
        <v>1017</v>
      </c>
      <c r="K2183" s="1" t="s">
        <v>2</v>
      </c>
      <c r="L2183" s="1" t="s">
        <v>2</v>
      </c>
      <c r="M2183" s="1" t="s">
        <v>2</v>
      </c>
      <c r="O2183" s="2"/>
      <c r="P2183" s="2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</row>
    <row r="2184" spans="1:32" s="1" customFormat="1" ht="20.25" customHeight="1" x14ac:dyDescent="0.25">
      <c r="A2184" s="2"/>
      <c r="B2184" s="2"/>
      <c r="C2184" s="2"/>
      <c r="D2184" s="2">
        <f>COUNTIF(contact[[#This Row],[Bagossy]:[Szo
03:00 - 10:00]],"=~?")</f>
        <v>0</v>
      </c>
      <c r="E2184" s="2">
        <f>COUNTIF(contact[[#This Row],[Bagossy]:[Szo
03:00 - 10:00]],"=x")</f>
        <v>0</v>
      </c>
      <c r="F2184" s="2">
        <f>SUM(contact[[#This Row],[?]:[x]])</f>
        <v>0</v>
      </c>
      <c r="G21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4" s="3" t="s">
        <v>2376</v>
      </c>
      <c r="K2184" s="1" t="s">
        <v>130</v>
      </c>
      <c r="L2184" s="1" t="s">
        <v>2</v>
      </c>
      <c r="M2184" s="1" t="s">
        <v>2</v>
      </c>
      <c r="O2184" s="2"/>
      <c r="P2184" s="2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</row>
    <row r="2185" spans="1:32" s="1" customFormat="1" ht="20.25" customHeight="1" x14ac:dyDescent="0.25">
      <c r="A2185" s="2"/>
      <c r="B2185" s="2"/>
      <c r="C2185" s="2"/>
      <c r="D2185" s="2">
        <f>COUNTIF(contact[[#This Row],[Bagossy]:[Szo
03:00 - 10:00]],"=~?")</f>
        <v>0</v>
      </c>
      <c r="E2185" s="2">
        <f>COUNTIF(contact[[#This Row],[Bagossy]:[Szo
03:00 - 10:00]],"=x")</f>
        <v>0</v>
      </c>
      <c r="F2185" s="2">
        <f>SUM(contact[[#This Row],[?]:[x]])</f>
        <v>0</v>
      </c>
      <c r="G21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5" s="3" t="s">
        <v>2198</v>
      </c>
      <c r="K2185" s="1" t="s">
        <v>169</v>
      </c>
      <c r="L2185" s="1" t="s">
        <v>2</v>
      </c>
      <c r="M2185" s="1" t="s">
        <v>2</v>
      </c>
      <c r="O2185" s="2"/>
      <c r="P2185" s="2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</row>
    <row r="2186" spans="1:32" s="1" customFormat="1" ht="20.25" customHeight="1" x14ac:dyDescent="0.25">
      <c r="A2186" s="2"/>
      <c r="B2186" s="2"/>
      <c r="C2186" s="2"/>
      <c r="D2186" s="2">
        <f>COUNTIF(contact[[#This Row],[Bagossy]:[Szo
03:00 - 10:00]],"=~?")</f>
        <v>0</v>
      </c>
      <c r="E2186" s="2">
        <f>COUNTIF(contact[[#This Row],[Bagossy]:[Szo
03:00 - 10:00]],"=x")</f>
        <v>0</v>
      </c>
      <c r="F2186" s="2">
        <f>SUM(contact[[#This Row],[?]:[x]])</f>
        <v>0</v>
      </c>
      <c r="G21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6" s="3" t="s">
        <v>2654</v>
      </c>
      <c r="K2186" s="1" t="s">
        <v>431</v>
      </c>
      <c r="L2186" s="1" t="s">
        <v>2</v>
      </c>
      <c r="M2186" s="1" t="s">
        <v>2</v>
      </c>
      <c r="O2186" s="2"/>
      <c r="P2186" s="2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</row>
    <row r="2187" spans="1:32" s="1" customFormat="1" ht="20.25" customHeight="1" x14ac:dyDescent="0.25">
      <c r="A2187" s="2"/>
      <c r="B2187" s="2"/>
      <c r="C2187" s="2" t="s">
        <v>1285</v>
      </c>
      <c r="D2187" s="2">
        <f>COUNTIF(contact[[#This Row],[Bagossy]:[Szo
03:00 - 10:00]],"=~?")</f>
        <v>0</v>
      </c>
      <c r="E2187" s="2">
        <f>COUNTIF(contact[[#This Row],[Bagossy]:[Szo
03:00 - 10:00]],"=x")</f>
        <v>0</v>
      </c>
      <c r="F2187" s="2">
        <f>SUM(contact[[#This Row],[?]:[x]])</f>
        <v>0</v>
      </c>
      <c r="G21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87" s="2"/>
      <c r="I2187" s="2"/>
      <c r="J2187" s="3" t="s">
        <v>3897</v>
      </c>
      <c r="K2187" s="1" t="s">
        <v>1617</v>
      </c>
      <c r="L2187" s="1" t="s">
        <v>2</v>
      </c>
      <c r="M2187" s="1" t="s">
        <v>2</v>
      </c>
      <c r="O2187" s="2"/>
      <c r="P2187" s="2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</row>
    <row r="2188" spans="1:32" s="1" customFormat="1" ht="20.25" customHeight="1" x14ac:dyDescent="0.25">
      <c r="A2188" s="2"/>
      <c r="B2188" s="2"/>
      <c r="C2188" s="2"/>
      <c r="D2188" s="2">
        <f>COUNTIF(contact[[#This Row],[Bagossy]:[Szo
03:00 - 10:00]],"=~?")</f>
        <v>0</v>
      </c>
      <c r="E2188" s="2">
        <f>COUNTIF(contact[[#This Row],[Bagossy]:[Szo
03:00 - 10:00]],"=x")</f>
        <v>0</v>
      </c>
      <c r="F2188" s="2">
        <f>SUM(contact[[#This Row],[?]:[x]])</f>
        <v>0</v>
      </c>
      <c r="G21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8" s="3" t="s">
        <v>4288</v>
      </c>
      <c r="K2188" s="1" t="s">
        <v>1832</v>
      </c>
      <c r="L2188" s="1" t="s">
        <v>2</v>
      </c>
      <c r="M2188" s="1" t="s">
        <v>2</v>
      </c>
      <c r="O2188" s="2"/>
      <c r="P2188" s="2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</row>
    <row r="2189" spans="1:32" s="1" customFormat="1" ht="20.25" customHeight="1" x14ac:dyDescent="0.25">
      <c r="A2189" s="2"/>
      <c r="B2189" s="2"/>
      <c r="C2189" s="2"/>
      <c r="D2189" s="2">
        <f>COUNTIF(contact[[#This Row],[Bagossy]:[Szo
03:00 - 10:00]],"=~?")</f>
        <v>0</v>
      </c>
      <c r="E2189" s="2">
        <f>COUNTIF(contact[[#This Row],[Bagossy]:[Szo
03:00 - 10:00]],"=x")</f>
        <v>0</v>
      </c>
      <c r="F2189" s="2">
        <f>SUM(contact[[#This Row],[?]:[x]])</f>
        <v>0</v>
      </c>
      <c r="G21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89" s="3" t="s">
        <v>1018</v>
      </c>
      <c r="K2189" s="1" t="s">
        <v>1019</v>
      </c>
      <c r="L2189" s="1" t="s">
        <v>2</v>
      </c>
      <c r="M2189" s="1" t="s">
        <v>2</v>
      </c>
      <c r="O2189" s="2"/>
      <c r="P2189" s="2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</row>
    <row r="2190" spans="1:32" s="1" customFormat="1" ht="20.25" customHeight="1" x14ac:dyDescent="0.25">
      <c r="A2190" s="2"/>
      <c r="B2190" s="2"/>
      <c r="C2190" s="2"/>
      <c r="D2190" s="2">
        <f>COUNTIF(contact[[#This Row],[Bagossy]:[Szo
03:00 - 10:00]],"=~?")</f>
        <v>0</v>
      </c>
      <c r="E2190" s="2">
        <f>COUNTIF(contact[[#This Row],[Bagossy]:[Szo
03:00 - 10:00]],"=x")</f>
        <v>0</v>
      </c>
      <c r="F2190" s="2">
        <f>SUM(contact[[#This Row],[?]:[x]])</f>
        <v>0</v>
      </c>
      <c r="G21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90" s="2"/>
      <c r="I2190" s="2"/>
      <c r="J2190" s="3" t="s">
        <v>1020</v>
      </c>
      <c r="K2190" s="1" t="s">
        <v>6</v>
      </c>
      <c r="L2190" s="1" t="s">
        <v>2</v>
      </c>
      <c r="M2190" s="1" t="s">
        <v>2</v>
      </c>
      <c r="O2190" s="2"/>
      <c r="P2190" s="2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</row>
    <row r="2191" spans="1:32" s="1" customFormat="1" ht="20.25" customHeight="1" x14ac:dyDescent="0.25">
      <c r="A2191" s="2"/>
      <c r="B2191" s="2"/>
      <c r="C2191" s="2"/>
      <c r="D2191" s="2">
        <f>COUNTIF(contact[[#This Row],[Bagossy]:[Szo
03:00 - 10:00]],"=~?")</f>
        <v>0</v>
      </c>
      <c r="E2191" s="2">
        <f>COUNTIF(contact[[#This Row],[Bagossy]:[Szo
03:00 - 10:00]],"=x")</f>
        <v>0</v>
      </c>
      <c r="F2191" s="2">
        <f>SUM(contact[[#This Row],[?]:[x]])</f>
        <v>0</v>
      </c>
      <c r="G21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1" s="3" t="s">
        <v>2709</v>
      </c>
      <c r="K2191" s="1" t="s">
        <v>2</v>
      </c>
      <c r="L2191" s="1" t="s">
        <v>2</v>
      </c>
      <c r="M2191" s="1" t="s">
        <v>2</v>
      </c>
      <c r="O2191" s="2"/>
      <c r="P2191" s="2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</row>
    <row r="2192" spans="1:32" s="1" customFormat="1" ht="20.25" customHeight="1" x14ac:dyDescent="0.25">
      <c r="A2192" s="2"/>
      <c r="B2192" s="2"/>
      <c r="C2192" s="2"/>
      <c r="D2192" s="2">
        <f>COUNTIF(contact[[#This Row],[Bagossy]:[Szo
03:00 - 10:00]],"=~?")</f>
        <v>0</v>
      </c>
      <c r="E2192" s="2">
        <f>COUNTIF(contact[[#This Row],[Bagossy]:[Szo
03:00 - 10:00]],"=x")</f>
        <v>0</v>
      </c>
      <c r="F2192" s="2">
        <f>SUM(contact[[#This Row],[?]:[x]])</f>
        <v>0</v>
      </c>
      <c r="G21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2" s="3" t="s">
        <v>2396</v>
      </c>
      <c r="K2192" s="1" t="s">
        <v>284</v>
      </c>
      <c r="L2192" s="1" t="s">
        <v>2</v>
      </c>
      <c r="M2192" s="1" t="s">
        <v>2</v>
      </c>
      <c r="O2192" s="2"/>
      <c r="P2192" s="2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</row>
    <row r="2193" spans="1:32" s="1" customFormat="1" ht="20.25" customHeight="1" x14ac:dyDescent="0.25">
      <c r="A2193" s="2"/>
      <c r="B2193" s="2"/>
      <c r="C2193" s="2"/>
      <c r="D2193" s="2">
        <f>COUNTIF(contact[[#This Row],[Bagossy]:[Szo
03:00 - 10:00]],"=~?")</f>
        <v>0</v>
      </c>
      <c r="E2193" s="2">
        <f>COUNTIF(contact[[#This Row],[Bagossy]:[Szo
03:00 - 10:00]],"=x")</f>
        <v>0</v>
      </c>
      <c r="F2193" s="2">
        <f>SUM(contact[[#This Row],[?]:[x]])</f>
        <v>0</v>
      </c>
      <c r="G21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193" s="2"/>
      <c r="I2193" s="2"/>
      <c r="J2193" s="3" t="s">
        <v>3904</v>
      </c>
      <c r="K2193" s="1" t="s">
        <v>536</v>
      </c>
      <c r="L2193" s="1" t="s">
        <v>2</v>
      </c>
      <c r="M2193" s="1" t="s">
        <v>2</v>
      </c>
      <c r="O2193" s="2"/>
      <c r="P2193" s="2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</row>
    <row r="2194" spans="1:32" s="1" customFormat="1" ht="20.25" customHeight="1" x14ac:dyDescent="0.25">
      <c r="A2194" s="2"/>
      <c r="B2194" s="2"/>
      <c r="C2194" s="2"/>
      <c r="D2194" s="2">
        <f>COUNTIF(contact[[#This Row],[Bagossy]:[Szo
03:00 - 10:00]],"=~?")</f>
        <v>0</v>
      </c>
      <c r="E2194" s="2">
        <f>COUNTIF(contact[[#This Row],[Bagossy]:[Szo
03:00 - 10:00]],"=x")</f>
        <v>0</v>
      </c>
      <c r="F2194" s="2">
        <f>SUM(contact[[#This Row],[?]:[x]])</f>
        <v>0</v>
      </c>
      <c r="G21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4" s="3" t="s">
        <v>3445</v>
      </c>
      <c r="K2194" s="1" t="s">
        <v>799</v>
      </c>
      <c r="L2194" s="1" t="s">
        <v>2</v>
      </c>
      <c r="M2194" s="1" t="s">
        <v>2</v>
      </c>
      <c r="O2194" s="2"/>
      <c r="P2194" s="2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</row>
    <row r="2195" spans="1:32" s="1" customFormat="1" ht="20.25" customHeight="1" x14ac:dyDescent="0.25">
      <c r="A2195" s="2"/>
      <c r="B2195" s="2"/>
      <c r="C2195" s="2"/>
      <c r="D2195" s="2">
        <f>COUNTIF(contact[[#This Row],[Bagossy]:[Szo
03:00 - 10:00]],"=~?")</f>
        <v>0</v>
      </c>
      <c r="E2195" s="2">
        <f>COUNTIF(contact[[#This Row],[Bagossy]:[Szo
03:00 - 10:00]],"=x")</f>
        <v>0</v>
      </c>
      <c r="F2195" s="2">
        <f>SUM(contact[[#This Row],[?]:[x]])</f>
        <v>0</v>
      </c>
      <c r="G21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5" s="3" t="s">
        <v>1027</v>
      </c>
      <c r="K2195" s="1" t="s">
        <v>2</v>
      </c>
      <c r="L2195" s="1" t="s">
        <v>2</v>
      </c>
      <c r="M2195" s="1" t="s">
        <v>2</v>
      </c>
      <c r="O2195" s="2"/>
      <c r="P2195" s="2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</row>
    <row r="2196" spans="1:32" s="1" customFormat="1" ht="20.25" customHeight="1" x14ac:dyDescent="0.25">
      <c r="A2196" s="2"/>
      <c r="B2196" s="2"/>
      <c r="C2196" s="2"/>
      <c r="D2196" s="2">
        <f>COUNTIF(contact[[#This Row],[Bagossy]:[Szo
03:00 - 10:00]],"=~?")</f>
        <v>0</v>
      </c>
      <c r="E2196" s="2">
        <f>COUNTIF(contact[[#This Row],[Bagossy]:[Szo
03:00 - 10:00]],"=x")</f>
        <v>0</v>
      </c>
      <c r="F2196" s="2">
        <f>SUM(contact[[#This Row],[?]:[x]])</f>
        <v>0</v>
      </c>
      <c r="G21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6" s="3" t="s">
        <v>3399</v>
      </c>
      <c r="K2196" s="1" t="s">
        <v>1632</v>
      </c>
      <c r="L2196" s="1" t="s">
        <v>2</v>
      </c>
      <c r="M2196" s="1" t="s">
        <v>2</v>
      </c>
      <c r="O2196" s="2"/>
      <c r="P2196" s="2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</row>
    <row r="2197" spans="1:32" s="1" customFormat="1" ht="20.25" customHeight="1" x14ac:dyDescent="0.25">
      <c r="A2197" s="2"/>
      <c r="B2197" s="2"/>
      <c r="C2197" s="2"/>
      <c r="D2197" s="2">
        <f>COUNTIF(contact[[#This Row],[Bagossy]:[Szo
03:00 - 10:00]],"=~?")</f>
        <v>0</v>
      </c>
      <c r="E2197" s="2">
        <f>COUNTIF(contact[[#This Row],[Bagossy]:[Szo
03:00 - 10:00]],"=x")</f>
        <v>0</v>
      </c>
      <c r="F2197" s="2">
        <f>SUM(contact[[#This Row],[?]:[x]])</f>
        <v>0</v>
      </c>
      <c r="G21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7" s="3" t="s">
        <v>3771</v>
      </c>
      <c r="K2197" s="1" t="s">
        <v>126</v>
      </c>
      <c r="L2197" s="1" t="s">
        <v>2</v>
      </c>
      <c r="M2197" s="1" t="s">
        <v>2</v>
      </c>
      <c r="O2197" s="2"/>
      <c r="P2197" s="2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</row>
    <row r="2198" spans="1:32" s="1" customFormat="1" ht="20.25" customHeight="1" x14ac:dyDescent="0.25">
      <c r="A2198" s="2"/>
      <c r="B2198" s="2"/>
      <c r="C2198" s="2"/>
      <c r="D2198" s="2">
        <f>COUNTIF(contact[[#This Row],[Bagossy]:[Szo
03:00 - 10:00]],"=~?")</f>
        <v>0</v>
      </c>
      <c r="E2198" s="2">
        <f>COUNTIF(contact[[#This Row],[Bagossy]:[Szo
03:00 - 10:00]],"=x")</f>
        <v>0</v>
      </c>
      <c r="F2198" s="2">
        <f>SUM(contact[[#This Row],[?]:[x]])</f>
        <v>0</v>
      </c>
      <c r="G21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8" s="3" t="s">
        <v>3480</v>
      </c>
      <c r="K2198" s="1" t="s">
        <v>2</v>
      </c>
      <c r="L2198" s="1" t="s">
        <v>2</v>
      </c>
      <c r="M2198" s="1" t="s">
        <v>2</v>
      </c>
      <c r="O2198" s="2"/>
      <c r="P2198" s="2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</row>
    <row r="2199" spans="1:32" s="1" customFormat="1" ht="20.25" customHeight="1" x14ac:dyDescent="0.25">
      <c r="A2199" s="2"/>
      <c r="B2199" s="2"/>
      <c r="C2199" s="2"/>
      <c r="D2199" s="2">
        <f>COUNTIF(contact[[#This Row],[Bagossy]:[Szo
03:00 - 10:00]],"=~?")</f>
        <v>0</v>
      </c>
      <c r="E2199" s="2">
        <f>COUNTIF(contact[[#This Row],[Bagossy]:[Szo
03:00 - 10:00]],"=x")</f>
        <v>0</v>
      </c>
      <c r="F2199" s="2">
        <f>SUM(contact[[#This Row],[?]:[x]])</f>
        <v>0</v>
      </c>
      <c r="G21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199" s="3" t="s">
        <v>4235</v>
      </c>
      <c r="K2199" s="1" t="s">
        <v>2</v>
      </c>
      <c r="L2199" s="1" t="s">
        <v>2</v>
      </c>
      <c r="M2199" s="1" t="s">
        <v>2</v>
      </c>
      <c r="O2199" s="2"/>
      <c r="P2199" s="2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</row>
    <row r="2200" spans="1:32" s="1" customFormat="1" ht="20.25" customHeight="1" x14ac:dyDescent="0.25">
      <c r="A2200" s="2"/>
      <c r="B2200" s="2"/>
      <c r="C2200" s="2"/>
      <c r="D2200" s="2">
        <f>COUNTIF(contact[[#This Row],[Bagossy]:[Szo
03:00 - 10:00]],"=~?")</f>
        <v>0</v>
      </c>
      <c r="E2200" s="2">
        <f>COUNTIF(contact[[#This Row],[Bagossy]:[Szo
03:00 - 10:00]],"=x")</f>
        <v>0</v>
      </c>
      <c r="F2200" s="2">
        <f>SUM(contact[[#This Row],[?]:[x]])</f>
        <v>0</v>
      </c>
      <c r="G22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00" s="3" t="s">
        <v>4481</v>
      </c>
      <c r="K2200" s="1" t="s">
        <v>284</v>
      </c>
      <c r="L2200" s="1" t="s">
        <v>2</v>
      </c>
      <c r="M2200" s="1" t="s">
        <v>2</v>
      </c>
      <c r="O2200" s="2"/>
      <c r="P2200" s="2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</row>
    <row r="2201" spans="1:32" s="1" customFormat="1" ht="20.25" customHeight="1" x14ac:dyDescent="0.25">
      <c r="A2201" s="2"/>
      <c r="B2201" s="2"/>
      <c r="C2201" s="2"/>
      <c r="D2201" s="2">
        <f>COUNTIF(contact[[#This Row],[Bagossy]:[Szo
03:00 - 10:00]],"=~?")</f>
        <v>0</v>
      </c>
      <c r="E2201" s="2">
        <f>COUNTIF(contact[[#This Row],[Bagossy]:[Szo
03:00 - 10:00]],"=x")</f>
        <v>0</v>
      </c>
      <c r="F2201" s="2">
        <f>SUM(contact[[#This Row],[?]:[x]])</f>
        <v>0</v>
      </c>
      <c r="G22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01" s="2"/>
      <c r="I2201" s="2"/>
      <c r="J2201" s="3" t="s">
        <v>3909</v>
      </c>
      <c r="K2201" s="1" t="s">
        <v>925</v>
      </c>
      <c r="L2201" s="1" t="s">
        <v>2</v>
      </c>
      <c r="M2201" s="1" t="s">
        <v>2</v>
      </c>
      <c r="O2201" s="2"/>
      <c r="P2201" s="2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</row>
    <row r="2202" spans="1:32" s="1" customFormat="1" ht="20.25" customHeight="1" x14ac:dyDescent="0.25">
      <c r="A2202" s="2"/>
      <c r="B2202" s="2"/>
      <c r="C2202" s="2"/>
      <c r="D2202" s="2">
        <f>COUNTIF(contact[[#This Row],[Bagossy]:[Szo
03:00 - 10:00]],"=~?")</f>
        <v>0</v>
      </c>
      <c r="E2202" s="2">
        <f>COUNTIF(contact[[#This Row],[Bagossy]:[Szo
03:00 - 10:00]],"=x")</f>
        <v>0</v>
      </c>
      <c r="F2202" s="2">
        <f>SUM(contact[[#This Row],[?]:[x]])</f>
        <v>0</v>
      </c>
      <c r="G22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02" s="2"/>
      <c r="I2202" s="2"/>
      <c r="J2202" s="3" t="s">
        <v>3911</v>
      </c>
      <c r="K2202" s="1" t="s">
        <v>95</v>
      </c>
      <c r="L2202" s="1" t="s">
        <v>2</v>
      </c>
      <c r="M2202" s="1" t="s">
        <v>2</v>
      </c>
      <c r="O2202" s="2"/>
      <c r="P2202" s="2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</row>
    <row r="2203" spans="1:32" s="1" customFormat="1" ht="20.25" customHeight="1" x14ac:dyDescent="0.25">
      <c r="A2203" s="2"/>
      <c r="B2203" s="2"/>
      <c r="C2203" s="2"/>
      <c r="D2203" s="2">
        <f>COUNTIF(contact[[#This Row],[Bagossy]:[Szo
03:00 - 10:00]],"=~?")</f>
        <v>0</v>
      </c>
      <c r="E2203" s="2">
        <f>COUNTIF(contact[[#This Row],[Bagossy]:[Szo
03:00 - 10:00]],"=x")</f>
        <v>0</v>
      </c>
      <c r="F2203" s="2">
        <f>SUM(contact[[#This Row],[?]:[x]])</f>
        <v>0</v>
      </c>
      <c r="G22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03" s="3" t="s">
        <v>3589</v>
      </c>
      <c r="K2203" s="1" t="s">
        <v>861</v>
      </c>
      <c r="L2203" s="1" t="s">
        <v>2</v>
      </c>
      <c r="M2203" s="1" t="s">
        <v>2</v>
      </c>
      <c r="O2203" s="2"/>
      <c r="P2203" s="2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</row>
    <row r="2204" spans="1:32" s="1" customFormat="1" ht="20.25" customHeight="1" x14ac:dyDescent="0.25">
      <c r="A2204" s="2"/>
      <c r="B2204" s="2"/>
      <c r="C2204" s="2"/>
      <c r="D2204" s="2">
        <f>COUNTIF(contact[[#This Row],[Bagossy]:[Szo
03:00 - 10:00]],"=~?")</f>
        <v>0</v>
      </c>
      <c r="E2204" s="2">
        <f>COUNTIF(contact[[#This Row],[Bagossy]:[Szo
03:00 - 10:00]],"=x")</f>
        <v>0</v>
      </c>
      <c r="F2204" s="2">
        <f>SUM(contact[[#This Row],[?]:[x]])</f>
        <v>0</v>
      </c>
      <c r="G22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04" s="2"/>
      <c r="I2204" s="2"/>
      <c r="J2204" s="3" t="s">
        <v>3913</v>
      </c>
      <c r="K2204" s="1" t="s">
        <v>6</v>
      </c>
      <c r="L2204" s="1" t="s">
        <v>2</v>
      </c>
      <c r="M2204" s="1" t="s">
        <v>2</v>
      </c>
      <c r="O2204" s="2"/>
      <c r="P2204" s="2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</row>
    <row r="2205" spans="1:32" s="1" customFormat="1" ht="20.25" customHeight="1" x14ac:dyDescent="0.25">
      <c r="A2205" s="2" t="s">
        <v>1285</v>
      </c>
      <c r="B2205" s="2" t="s">
        <v>1285</v>
      </c>
      <c r="C2205" s="2" t="s">
        <v>1285</v>
      </c>
      <c r="D2205" s="2">
        <f>COUNTIF(contact[[#This Row],[Bagossy]:[Szo
03:00 - 10:00]],"=~?")</f>
        <v>0</v>
      </c>
      <c r="E2205" s="2">
        <f>COUNTIF(contact[[#This Row],[Bagossy]:[Szo
03:00 - 10:00]],"=x")</f>
        <v>0</v>
      </c>
      <c r="F2205" s="2">
        <f>SUM(contact[[#This Row],[?]:[x]])</f>
        <v>0</v>
      </c>
      <c r="G22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05" s="2" t="s">
        <v>4616</v>
      </c>
      <c r="I2205" s="2"/>
      <c r="J2205" s="3" t="s">
        <v>3918</v>
      </c>
      <c r="K2205" s="1" t="s">
        <v>24</v>
      </c>
      <c r="L2205" s="1" t="s">
        <v>2</v>
      </c>
      <c r="M2205" s="1" t="s">
        <v>2</v>
      </c>
      <c r="N2205" s="2" t="s">
        <v>4612</v>
      </c>
      <c r="O2205" s="2"/>
      <c r="P2205" s="2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</row>
    <row r="2206" spans="1:32" s="1" customFormat="1" ht="20.25" customHeight="1" x14ac:dyDescent="0.25">
      <c r="A2206" s="2"/>
      <c r="B2206" s="2"/>
      <c r="C2206" s="2"/>
      <c r="D2206" s="2">
        <f>COUNTIF(contact[[#This Row],[Bagossy]:[Szo
03:00 - 10:00]],"=~?")</f>
        <v>0</v>
      </c>
      <c r="E2206" s="2">
        <f>COUNTIF(contact[[#This Row],[Bagossy]:[Szo
03:00 - 10:00]],"=x")</f>
        <v>0</v>
      </c>
      <c r="F2206" s="2">
        <f>SUM(contact[[#This Row],[?]:[x]])</f>
        <v>0</v>
      </c>
      <c r="G22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06" s="3" t="s">
        <v>2664</v>
      </c>
      <c r="K2206" s="1" t="s">
        <v>433</v>
      </c>
      <c r="L2206" s="1" t="s">
        <v>2</v>
      </c>
      <c r="M2206" s="1" t="s">
        <v>2</v>
      </c>
      <c r="O2206" s="2"/>
      <c r="P2206" s="2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</row>
    <row r="2207" spans="1:32" s="1" customFormat="1" ht="20.25" customHeight="1" x14ac:dyDescent="0.25">
      <c r="A2207" s="2"/>
      <c r="B2207" s="2"/>
      <c r="C2207" s="2"/>
      <c r="D2207" s="2">
        <f>COUNTIF(contact[[#This Row],[Bagossy]:[Szo
03:00 - 10:00]],"=~?")</f>
        <v>0</v>
      </c>
      <c r="E2207" s="2">
        <f>COUNTIF(contact[[#This Row],[Bagossy]:[Szo
03:00 - 10:00]],"=x")</f>
        <v>0</v>
      </c>
      <c r="F2207" s="2">
        <f>SUM(contact[[#This Row],[?]:[x]])</f>
        <v>0</v>
      </c>
      <c r="G22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07" s="3" t="s">
        <v>2778</v>
      </c>
      <c r="K2207" s="1" t="s">
        <v>488</v>
      </c>
      <c r="L2207" s="1" t="s">
        <v>2</v>
      </c>
      <c r="M2207" s="1" t="s">
        <v>2</v>
      </c>
      <c r="O2207" s="2"/>
      <c r="P2207" s="2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</row>
    <row r="2208" spans="1:32" s="1" customFormat="1" ht="20.25" customHeight="1" x14ac:dyDescent="0.25">
      <c r="A2208" s="2"/>
      <c r="B2208" s="2"/>
      <c r="C2208" s="2"/>
      <c r="D2208" s="2">
        <f>COUNTIF(contact[[#This Row],[Bagossy]:[Szo
03:00 - 10:00]],"=~?")</f>
        <v>0</v>
      </c>
      <c r="E2208" s="2">
        <f>COUNTIF(contact[[#This Row],[Bagossy]:[Szo
03:00 - 10:00]],"=x")</f>
        <v>0</v>
      </c>
      <c r="F2208" s="2">
        <f>SUM(contact[[#This Row],[?]:[x]])</f>
        <v>0</v>
      </c>
      <c r="G22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08" s="3" t="s">
        <v>4395</v>
      </c>
      <c r="K2208" s="1" t="s">
        <v>1225</v>
      </c>
      <c r="L2208" s="1" t="s">
        <v>2</v>
      </c>
      <c r="M2208" s="1" t="s">
        <v>2</v>
      </c>
      <c r="O2208" s="2"/>
      <c r="P2208" s="2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</row>
    <row r="2209" spans="1:32" s="1" customFormat="1" ht="20.25" customHeight="1" x14ac:dyDescent="0.25">
      <c r="A2209" s="2"/>
      <c r="B2209" s="2"/>
      <c r="C2209" s="2"/>
      <c r="D2209" s="2">
        <f>COUNTIF(contact[[#This Row],[Bagossy]:[Szo
03:00 - 10:00]],"=~?")</f>
        <v>0</v>
      </c>
      <c r="E2209" s="2">
        <f>COUNTIF(contact[[#This Row],[Bagossy]:[Szo
03:00 - 10:00]],"=x")</f>
        <v>0</v>
      </c>
      <c r="F2209" s="2">
        <f>SUM(contact[[#This Row],[?]:[x]])</f>
        <v>0</v>
      </c>
      <c r="G22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09" s="3" t="s">
        <v>2028</v>
      </c>
      <c r="K2209" s="1" t="s">
        <v>72</v>
      </c>
      <c r="L2209" s="1" t="s">
        <v>2</v>
      </c>
      <c r="M2209" s="1" t="s">
        <v>2</v>
      </c>
      <c r="O2209" s="2"/>
      <c r="P2209" s="2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</row>
    <row r="2210" spans="1:32" s="1" customFormat="1" ht="20.25" customHeight="1" x14ac:dyDescent="0.25">
      <c r="A2210" s="2"/>
      <c r="B2210" s="2"/>
      <c r="C2210" s="2"/>
      <c r="D2210" s="2">
        <f>COUNTIF(contact[[#This Row],[Bagossy]:[Szo
03:00 - 10:00]],"=~?")</f>
        <v>0</v>
      </c>
      <c r="E2210" s="2">
        <f>COUNTIF(contact[[#This Row],[Bagossy]:[Szo
03:00 - 10:00]],"=x")</f>
        <v>0</v>
      </c>
      <c r="F2210" s="2">
        <f>SUM(contact[[#This Row],[?]:[x]])</f>
        <v>0</v>
      </c>
      <c r="G22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0" s="3" t="s">
        <v>2730</v>
      </c>
      <c r="K2210" s="1" t="s">
        <v>104</v>
      </c>
      <c r="L2210" s="1" t="s">
        <v>2</v>
      </c>
      <c r="M2210" s="1" t="s">
        <v>2</v>
      </c>
      <c r="O2210" s="2"/>
      <c r="P2210" s="2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</row>
    <row r="2211" spans="1:32" s="1" customFormat="1" ht="20.25" customHeight="1" x14ac:dyDescent="0.25">
      <c r="A2211" s="2"/>
      <c r="B2211" s="2"/>
      <c r="C2211" s="2"/>
      <c r="D2211" s="2">
        <f>COUNTIF(contact[[#This Row],[Bagossy]:[Szo
03:00 - 10:00]],"=~?")</f>
        <v>0</v>
      </c>
      <c r="E2211" s="2">
        <f>COUNTIF(contact[[#This Row],[Bagossy]:[Szo
03:00 - 10:00]],"=x")</f>
        <v>0</v>
      </c>
      <c r="F2211" s="2">
        <f>SUM(contact[[#This Row],[?]:[x]])</f>
        <v>0</v>
      </c>
      <c r="G22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1" s="3" t="s">
        <v>3683</v>
      </c>
      <c r="K2211" s="1" t="s">
        <v>2</v>
      </c>
      <c r="L2211" s="1" t="s">
        <v>2</v>
      </c>
      <c r="M2211" s="1" t="s">
        <v>2</v>
      </c>
      <c r="O2211" s="2"/>
      <c r="P2211" s="2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</row>
    <row r="2212" spans="1:32" s="1" customFormat="1" ht="20.25" customHeight="1" x14ac:dyDescent="0.25">
      <c r="A2212" s="2"/>
      <c r="B2212" s="2"/>
      <c r="C2212" s="2"/>
      <c r="D2212" s="2">
        <f>COUNTIF(contact[[#This Row],[Bagossy]:[Szo
03:00 - 10:00]],"=~?")</f>
        <v>0</v>
      </c>
      <c r="E2212" s="2">
        <f>COUNTIF(contact[[#This Row],[Bagossy]:[Szo
03:00 - 10:00]],"=x")</f>
        <v>0</v>
      </c>
      <c r="F2212" s="2">
        <f>SUM(contact[[#This Row],[?]:[x]])</f>
        <v>0</v>
      </c>
      <c r="G22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2" s="3" t="s">
        <v>2391</v>
      </c>
      <c r="K2212" s="1" t="s">
        <v>1400</v>
      </c>
      <c r="L2212" s="1" t="s">
        <v>2</v>
      </c>
      <c r="M2212" s="1" t="s">
        <v>2</v>
      </c>
      <c r="O2212" s="2"/>
      <c r="P2212" s="2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</row>
    <row r="2213" spans="1:32" s="1" customFormat="1" ht="20.25" customHeight="1" x14ac:dyDescent="0.25">
      <c r="A2213" s="2"/>
      <c r="B2213" s="2"/>
      <c r="C2213" s="2"/>
      <c r="D2213" s="2">
        <f>COUNTIF(contact[[#This Row],[Bagossy]:[Szo
03:00 - 10:00]],"=~?")</f>
        <v>0</v>
      </c>
      <c r="E2213" s="2">
        <f>COUNTIF(contact[[#This Row],[Bagossy]:[Szo
03:00 - 10:00]],"=x")</f>
        <v>0</v>
      </c>
      <c r="F2213" s="2">
        <f>SUM(contact[[#This Row],[?]:[x]])</f>
        <v>0</v>
      </c>
      <c r="G22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3" s="3" t="s">
        <v>3824</v>
      </c>
      <c r="K2213" s="1" t="s">
        <v>1724</v>
      </c>
      <c r="L2213" s="1" t="s">
        <v>2</v>
      </c>
      <c r="M2213" s="1" t="s">
        <v>2</v>
      </c>
      <c r="O2213" s="2"/>
      <c r="P2213" s="2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</row>
    <row r="2214" spans="1:32" s="1" customFormat="1" ht="20.25" customHeight="1" x14ac:dyDescent="0.25">
      <c r="A2214" s="2"/>
      <c r="B2214" s="2"/>
      <c r="C2214" s="2"/>
      <c r="D2214" s="2">
        <f>COUNTIF(contact[[#This Row],[Bagossy]:[Szo
03:00 - 10:00]],"=~?")</f>
        <v>0</v>
      </c>
      <c r="E2214" s="2">
        <f>COUNTIF(contact[[#This Row],[Bagossy]:[Szo
03:00 - 10:00]],"=x")</f>
        <v>0</v>
      </c>
      <c r="F2214" s="2">
        <f>SUM(contact[[#This Row],[?]:[x]])</f>
        <v>0</v>
      </c>
      <c r="G22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4" s="3" t="s">
        <v>2039</v>
      </c>
      <c r="K2214" s="1" t="s">
        <v>2</v>
      </c>
      <c r="L2214" s="1" t="s">
        <v>2</v>
      </c>
      <c r="M2214" s="1" t="s">
        <v>2</v>
      </c>
      <c r="O2214" s="2"/>
      <c r="P2214" s="2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</row>
    <row r="2215" spans="1:32" s="1" customFormat="1" ht="20.25" customHeight="1" x14ac:dyDescent="0.25">
      <c r="A2215" s="2"/>
      <c r="B2215" s="2"/>
      <c r="C2215" s="2"/>
      <c r="D2215" s="2">
        <f>COUNTIF(contact[[#This Row],[Bagossy]:[Szo
03:00 - 10:00]],"=~?")</f>
        <v>0</v>
      </c>
      <c r="E2215" s="2">
        <f>COUNTIF(contact[[#This Row],[Bagossy]:[Szo
03:00 - 10:00]],"=x")</f>
        <v>0</v>
      </c>
      <c r="F2215" s="2">
        <f>SUM(contact[[#This Row],[?]:[x]])</f>
        <v>0</v>
      </c>
      <c r="G22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5" s="3" t="s">
        <v>2370</v>
      </c>
      <c r="K2215" s="1" t="s">
        <v>212</v>
      </c>
      <c r="L2215" s="1" t="s">
        <v>2</v>
      </c>
      <c r="M2215" s="1" t="s">
        <v>2</v>
      </c>
      <c r="O2215" s="2"/>
      <c r="P2215" s="2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</row>
    <row r="2216" spans="1:32" s="1" customFormat="1" ht="20.25" customHeight="1" x14ac:dyDescent="0.25">
      <c r="A2216" s="2"/>
      <c r="B2216" s="2"/>
      <c r="C2216" s="2"/>
      <c r="D2216" s="2">
        <f>COUNTIF(contact[[#This Row],[Bagossy]:[Szo
03:00 - 10:00]],"=~?")</f>
        <v>0</v>
      </c>
      <c r="E2216" s="2">
        <f>COUNTIF(contact[[#This Row],[Bagossy]:[Szo
03:00 - 10:00]],"=x")</f>
        <v>0</v>
      </c>
      <c r="F2216" s="2">
        <f>SUM(contact[[#This Row],[?]:[x]])</f>
        <v>0</v>
      </c>
      <c r="G22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6" s="3" t="s">
        <v>4351</v>
      </c>
      <c r="K2216" s="1" t="s">
        <v>2</v>
      </c>
      <c r="L2216" s="1" t="s">
        <v>2</v>
      </c>
      <c r="M2216" s="1" t="s">
        <v>2</v>
      </c>
      <c r="O2216" s="2"/>
      <c r="P2216" s="2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</row>
    <row r="2217" spans="1:32" s="1" customFormat="1" ht="20.25" customHeight="1" x14ac:dyDescent="0.25">
      <c r="A2217" s="2"/>
      <c r="B2217" s="2"/>
      <c r="C2217" s="2"/>
      <c r="D2217" s="2">
        <f>COUNTIF(contact[[#This Row],[Bagossy]:[Szo
03:00 - 10:00]],"=~?")</f>
        <v>0</v>
      </c>
      <c r="E2217" s="2">
        <f>COUNTIF(contact[[#This Row],[Bagossy]:[Szo
03:00 - 10:00]],"=x")</f>
        <v>0</v>
      </c>
      <c r="F2217" s="2">
        <f>SUM(contact[[#This Row],[?]:[x]])</f>
        <v>0</v>
      </c>
      <c r="G22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7" s="3" t="s">
        <v>4400</v>
      </c>
      <c r="K2217" s="1" t="s">
        <v>1852</v>
      </c>
      <c r="L2217" s="1" t="s">
        <v>2</v>
      </c>
      <c r="M2217" s="1" t="s">
        <v>2</v>
      </c>
      <c r="O2217" s="2"/>
      <c r="P2217" s="2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</row>
    <row r="2218" spans="1:32" s="1" customFormat="1" ht="20.25" customHeight="1" x14ac:dyDescent="0.25">
      <c r="A2218" s="2"/>
      <c r="B2218" s="2"/>
      <c r="C2218" s="2"/>
      <c r="D2218" s="2">
        <f>COUNTIF(contact[[#This Row],[Bagossy]:[Szo
03:00 - 10:00]],"=~?")</f>
        <v>0</v>
      </c>
      <c r="E2218" s="2">
        <f>COUNTIF(contact[[#This Row],[Bagossy]:[Szo
03:00 - 10:00]],"=x")</f>
        <v>0</v>
      </c>
      <c r="F2218" s="2">
        <f>SUM(contact[[#This Row],[?]:[x]])</f>
        <v>0</v>
      </c>
      <c r="G22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8" s="3" t="s">
        <v>3928</v>
      </c>
      <c r="K2218" s="1" t="s">
        <v>39</v>
      </c>
      <c r="L2218" s="1" t="s">
        <v>2</v>
      </c>
      <c r="M2218" s="1" t="s">
        <v>2</v>
      </c>
      <c r="O2218" s="2"/>
      <c r="P2218" s="2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</row>
    <row r="2219" spans="1:32" s="1" customFormat="1" ht="20.25" customHeight="1" x14ac:dyDescent="0.25">
      <c r="A2219" s="2"/>
      <c r="B2219" s="2"/>
      <c r="C2219" s="2"/>
      <c r="D2219" s="2">
        <f>COUNTIF(contact[[#This Row],[Bagossy]:[Szo
03:00 - 10:00]],"=~?")</f>
        <v>0</v>
      </c>
      <c r="E2219" s="2">
        <f>COUNTIF(contact[[#This Row],[Bagossy]:[Szo
03:00 - 10:00]],"=x")</f>
        <v>0</v>
      </c>
      <c r="F2219" s="2">
        <f>SUM(contact[[#This Row],[?]:[x]])</f>
        <v>0</v>
      </c>
      <c r="G22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19" s="3" t="s">
        <v>3231</v>
      </c>
      <c r="K2219" s="1" t="s">
        <v>2</v>
      </c>
      <c r="L2219" s="1" t="s">
        <v>2</v>
      </c>
      <c r="M2219" s="1" t="s">
        <v>2</v>
      </c>
      <c r="O2219" s="2"/>
      <c r="P2219" s="2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</row>
    <row r="2220" spans="1:32" s="1" customFormat="1" ht="20.25" customHeight="1" x14ac:dyDescent="0.25">
      <c r="A2220" s="2"/>
      <c r="B2220" s="2"/>
      <c r="C2220" s="2"/>
      <c r="D2220" s="2">
        <f>COUNTIF(contact[[#This Row],[Bagossy]:[Szo
03:00 - 10:00]],"=~?")</f>
        <v>0</v>
      </c>
      <c r="E2220" s="2">
        <f>COUNTIF(contact[[#This Row],[Bagossy]:[Szo
03:00 - 10:00]],"=x")</f>
        <v>0</v>
      </c>
      <c r="F2220" s="2">
        <f>SUM(contact[[#This Row],[?]:[x]])</f>
        <v>0</v>
      </c>
      <c r="G22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0" s="3" t="s">
        <v>4088</v>
      </c>
      <c r="K2220" s="1" t="s">
        <v>391</v>
      </c>
      <c r="L2220" s="1" t="s">
        <v>2</v>
      </c>
      <c r="M2220" s="1" t="s">
        <v>2</v>
      </c>
      <c r="O2220" s="2"/>
      <c r="P2220" s="2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</row>
    <row r="2221" spans="1:32" s="1" customFormat="1" ht="20.25" customHeight="1" x14ac:dyDescent="0.25">
      <c r="A2221" s="2"/>
      <c r="B2221" s="2"/>
      <c r="C2221" s="2"/>
      <c r="D2221" s="2">
        <f>COUNTIF(contact[[#This Row],[Bagossy]:[Szo
03:00 - 10:00]],"=~?")</f>
        <v>0</v>
      </c>
      <c r="E2221" s="2">
        <f>COUNTIF(contact[[#This Row],[Bagossy]:[Szo
03:00 - 10:00]],"=x")</f>
        <v>0</v>
      </c>
      <c r="F2221" s="2">
        <f>SUM(contact[[#This Row],[?]:[x]])</f>
        <v>0</v>
      </c>
      <c r="G22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1" s="3" t="s">
        <v>2873</v>
      </c>
      <c r="K2221" s="1" t="s">
        <v>537</v>
      </c>
      <c r="L2221" s="1" t="s">
        <v>2</v>
      </c>
      <c r="M2221" s="1" t="s">
        <v>2</v>
      </c>
      <c r="O2221" s="2"/>
      <c r="P2221" s="2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</row>
    <row r="2222" spans="1:32" s="1" customFormat="1" ht="20.25" customHeight="1" x14ac:dyDescent="0.25">
      <c r="A2222" s="2"/>
      <c r="B2222" s="2"/>
      <c r="C2222" s="2"/>
      <c r="D2222" s="2">
        <f>COUNTIF(contact[[#This Row],[Bagossy]:[Szo
03:00 - 10:00]],"=~?")</f>
        <v>0</v>
      </c>
      <c r="E2222" s="2">
        <f>COUNTIF(contact[[#This Row],[Bagossy]:[Szo
03:00 - 10:00]],"=x")</f>
        <v>0</v>
      </c>
      <c r="F2222" s="2">
        <f>SUM(contact[[#This Row],[?]:[x]])</f>
        <v>0</v>
      </c>
      <c r="G22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2" s="3" t="s">
        <v>3929</v>
      </c>
      <c r="K2222" s="1" t="s">
        <v>2</v>
      </c>
      <c r="L2222" s="1" t="s">
        <v>2</v>
      </c>
      <c r="M2222" s="1" t="s">
        <v>2</v>
      </c>
      <c r="O2222" s="2"/>
      <c r="P2222" s="2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</row>
    <row r="2223" spans="1:32" s="1" customFormat="1" ht="20.25" customHeight="1" x14ac:dyDescent="0.25">
      <c r="A2223" s="2"/>
      <c r="B2223" s="2"/>
      <c r="C2223" s="2"/>
      <c r="D2223" s="2">
        <f>COUNTIF(contact[[#This Row],[Bagossy]:[Szo
03:00 - 10:00]],"=~?")</f>
        <v>0</v>
      </c>
      <c r="E2223" s="2">
        <f>COUNTIF(contact[[#This Row],[Bagossy]:[Szo
03:00 - 10:00]],"=x")</f>
        <v>0</v>
      </c>
      <c r="F2223" s="2">
        <f>SUM(contact[[#This Row],[?]:[x]])</f>
        <v>0</v>
      </c>
      <c r="G22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3" s="3" t="s">
        <v>2299</v>
      </c>
      <c r="K2223" s="1" t="s">
        <v>2</v>
      </c>
      <c r="L2223" s="1" t="s">
        <v>2</v>
      </c>
      <c r="M2223" s="1" t="s">
        <v>2</v>
      </c>
      <c r="O2223" s="2"/>
      <c r="P2223" s="2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</row>
    <row r="2224" spans="1:32" s="1" customFormat="1" ht="20.25" customHeight="1" x14ac:dyDescent="0.25">
      <c r="A2224" s="2"/>
      <c r="B2224" s="2"/>
      <c r="C2224" s="2"/>
      <c r="D2224" s="2">
        <f>COUNTIF(contact[[#This Row],[Bagossy]:[Szo
03:00 - 10:00]],"=~?")</f>
        <v>0</v>
      </c>
      <c r="E2224" s="2">
        <f>COUNTIF(contact[[#This Row],[Bagossy]:[Szo
03:00 - 10:00]],"=x")</f>
        <v>0</v>
      </c>
      <c r="F2224" s="2">
        <f>SUM(contact[[#This Row],[?]:[x]])</f>
        <v>0</v>
      </c>
      <c r="G22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4" s="3" t="s">
        <v>3930</v>
      </c>
      <c r="K2224" s="1" t="s">
        <v>1012</v>
      </c>
      <c r="L2224" s="1" t="s">
        <v>2</v>
      </c>
      <c r="M2224" s="1" t="s">
        <v>2</v>
      </c>
      <c r="O2224" s="2"/>
      <c r="P2224" s="2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</row>
    <row r="2225" spans="1:32" s="1" customFormat="1" ht="20.25" customHeight="1" x14ac:dyDescent="0.25">
      <c r="A2225" s="2"/>
      <c r="B2225" s="2"/>
      <c r="C2225" s="2"/>
      <c r="D2225" s="2">
        <f>COUNTIF(contact[[#This Row],[Bagossy]:[Szo
03:00 - 10:00]],"=~?")</f>
        <v>0</v>
      </c>
      <c r="E2225" s="2">
        <f>COUNTIF(contact[[#This Row],[Bagossy]:[Szo
03:00 - 10:00]],"=x")</f>
        <v>0</v>
      </c>
      <c r="F2225" s="2">
        <f>SUM(contact[[#This Row],[?]:[x]])</f>
        <v>0</v>
      </c>
      <c r="G22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5" s="3" t="s">
        <v>3831</v>
      </c>
      <c r="K2225" s="1" t="s">
        <v>2</v>
      </c>
      <c r="L2225" s="1" t="s">
        <v>2</v>
      </c>
      <c r="M2225" s="1" t="s">
        <v>2</v>
      </c>
      <c r="O2225" s="2"/>
      <c r="P2225" s="2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</row>
    <row r="2226" spans="1:32" s="1" customFormat="1" ht="20.25" customHeight="1" x14ac:dyDescent="0.25">
      <c r="A2226" s="2"/>
      <c r="B2226" s="2"/>
      <c r="C2226" s="2"/>
      <c r="D2226" s="2">
        <f>COUNTIF(contact[[#This Row],[Bagossy]:[Szo
03:00 - 10:00]],"=~?")</f>
        <v>0</v>
      </c>
      <c r="E2226" s="2">
        <f>COUNTIF(contact[[#This Row],[Bagossy]:[Szo
03:00 - 10:00]],"=x")</f>
        <v>0</v>
      </c>
      <c r="F2226" s="2">
        <f>SUM(contact[[#This Row],[?]:[x]])</f>
        <v>0</v>
      </c>
      <c r="G22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6" s="3" t="s">
        <v>3736</v>
      </c>
      <c r="K2226" s="1" t="s">
        <v>2</v>
      </c>
      <c r="L2226" s="1" t="s">
        <v>2</v>
      </c>
      <c r="M2226" s="1" t="s">
        <v>2</v>
      </c>
      <c r="O2226" s="2"/>
      <c r="P2226" s="2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</row>
    <row r="2227" spans="1:32" s="1" customFormat="1" ht="20.25" customHeight="1" x14ac:dyDescent="0.25">
      <c r="A2227" s="2"/>
      <c r="B2227" s="2"/>
      <c r="C2227" s="2"/>
      <c r="D2227" s="2">
        <f>COUNTIF(contact[[#This Row],[Bagossy]:[Szo
03:00 - 10:00]],"=~?")</f>
        <v>0</v>
      </c>
      <c r="E2227" s="2">
        <f>COUNTIF(contact[[#This Row],[Bagossy]:[Szo
03:00 - 10:00]],"=x")</f>
        <v>0</v>
      </c>
      <c r="F2227" s="2">
        <f>SUM(contact[[#This Row],[?]:[x]])</f>
        <v>0</v>
      </c>
      <c r="G22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7" s="3" t="s">
        <v>3020</v>
      </c>
      <c r="K2227" s="1" t="s">
        <v>1541</v>
      </c>
      <c r="L2227" s="1" t="s">
        <v>2</v>
      </c>
      <c r="M2227" s="1" t="s">
        <v>2</v>
      </c>
      <c r="O2227" s="2"/>
      <c r="P2227" s="2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</row>
    <row r="2228" spans="1:32" s="1" customFormat="1" ht="20.25" customHeight="1" x14ac:dyDescent="0.25">
      <c r="A2228" s="2"/>
      <c r="B2228" s="2"/>
      <c r="C2228" s="2"/>
      <c r="D2228" s="2">
        <f>COUNTIF(contact[[#This Row],[Bagossy]:[Szo
03:00 - 10:00]],"=~?")</f>
        <v>0</v>
      </c>
      <c r="E2228" s="2">
        <f>COUNTIF(contact[[#This Row],[Bagossy]:[Szo
03:00 - 10:00]],"=x")</f>
        <v>0</v>
      </c>
      <c r="F2228" s="2">
        <f>SUM(contact[[#This Row],[?]:[x]])</f>
        <v>0</v>
      </c>
      <c r="G22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8" s="3" t="s">
        <v>4301</v>
      </c>
      <c r="K2228" s="1" t="s">
        <v>2</v>
      </c>
      <c r="L2228" s="1" t="s">
        <v>2</v>
      </c>
      <c r="M2228" s="1" t="s">
        <v>2</v>
      </c>
      <c r="O2228" s="2"/>
      <c r="P2228" s="2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</row>
    <row r="2229" spans="1:32" s="1" customFormat="1" ht="20.25" customHeight="1" x14ac:dyDescent="0.25">
      <c r="A2229" s="2"/>
      <c r="B2229" s="2"/>
      <c r="C2229" s="2"/>
      <c r="D2229" s="2">
        <f>COUNTIF(contact[[#This Row],[Bagossy]:[Szo
03:00 - 10:00]],"=~?")</f>
        <v>0</v>
      </c>
      <c r="E2229" s="2">
        <f>COUNTIF(contact[[#This Row],[Bagossy]:[Szo
03:00 - 10:00]],"=x")</f>
        <v>0</v>
      </c>
      <c r="F2229" s="2">
        <f>SUM(contact[[#This Row],[?]:[x]])</f>
        <v>0</v>
      </c>
      <c r="G22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29" s="3" t="s">
        <v>1028</v>
      </c>
      <c r="K2229" s="1" t="s">
        <v>2</v>
      </c>
      <c r="L2229" s="1" t="s">
        <v>2</v>
      </c>
      <c r="M2229" s="1" t="s">
        <v>2</v>
      </c>
      <c r="O2229" s="2"/>
      <c r="P2229" s="2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</row>
    <row r="2230" spans="1:32" s="1" customFormat="1" ht="20.25" customHeight="1" x14ac:dyDescent="0.25">
      <c r="A2230" s="2"/>
      <c r="B2230" s="2"/>
      <c r="C2230" s="2"/>
      <c r="D2230" s="2">
        <f>COUNTIF(contact[[#This Row],[Bagossy]:[Szo
03:00 - 10:00]],"=~?")</f>
        <v>0</v>
      </c>
      <c r="E2230" s="2">
        <f>COUNTIF(contact[[#This Row],[Bagossy]:[Szo
03:00 - 10:00]],"=x")</f>
        <v>0</v>
      </c>
      <c r="F2230" s="2">
        <f>SUM(contact[[#This Row],[?]:[x]])</f>
        <v>0</v>
      </c>
      <c r="G22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30" s="2"/>
      <c r="I2230" s="2"/>
      <c r="J2230" s="3" t="s">
        <v>3920</v>
      </c>
      <c r="K2230" s="1" t="s">
        <v>945</v>
      </c>
      <c r="L2230" s="1" t="s">
        <v>2</v>
      </c>
      <c r="M2230" s="1" t="s">
        <v>2</v>
      </c>
      <c r="O2230" s="2"/>
      <c r="P2230" s="2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</row>
    <row r="2231" spans="1:32" s="1" customFormat="1" ht="20.25" customHeight="1" x14ac:dyDescent="0.25">
      <c r="A2231" s="2"/>
      <c r="B2231" s="2"/>
      <c r="C2231" s="2"/>
      <c r="D2231" s="2">
        <f>COUNTIF(contact[[#This Row],[Bagossy]:[Szo
03:00 - 10:00]],"=~?")</f>
        <v>0</v>
      </c>
      <c r="E2231" s="2">
        <f>COUNTIF(contact[[#This Row],[Bagossy]:[Szo
03:00 - 10:00]],"=x")</f>
        <v>0</v>
      </c>
      <c r="F2231" s="2">
        <f>SUM(contact[[#This Row],[?]:[x]])</f>
        <v>0</v>
      </c>
      <c r="G22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1" s="3" t="s">
        <v>1029</v>
      </c>
      <c r="K2231" s="1" t="s">
        <v>2</v>
      </c>
      <c r="L2231" s="1" t="s">
        <v>2</v>
      </c>
      <c r="M2231" s="1" t="s">
        <v>2</v>
      </c>
      <c r="O2231" s="2"/>
      <c r="P2231" s="2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</row>
    <row r="2232" spans="1:32" s="1" customFormat="1" ht="20.25" customHeight="1" x14ac:dyDescent="0.25">
      <c r="A2232" s="2"/>
      <c r="B2232" s="2"/>
      <c r="C2232" s="2"/>
      <c r="D2232" s="2">
        <f>COUNTIF(contact[[#This Row],[Bagossy]:[Szo
03:00 - 10:00]],"=~?")</f>
        <v>0</v>
      </c>
      <c r="E2232" s="2">
        <f>COUNTIF(contact[[#This Row],[Bagossy]:[Szo
03:00 - 10:00]],"=x")</f>
        <v>0</v>
      </c>
      <c r="F2232" s="2">
        <f>SUM(contact[[#This Row],[?]:[x]])</f>
        <v>0</v>
      </c>
      <c r="G22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32" s="2"/>
      <c r="I2232" s="2"/>
      <c r="J2232" s="3" t="s">
        <v>3921</v>
      </c>
      <c r="K2232" s="1" t="s">
        <v>1004</v>
      </c>
      <c r="L2232" s="1" t="s">
        <v>2</v>
      </c>
      <c r="M2232" s="1" t="s">
        <v>2</v>
      </c>
      <c r="O2232" s="2"/>
      <c r="P2232" s="2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</row>
    <row r="2233" spans="1:32" s="1" customFormat="1" ht="20.25" customHeight="1" x14ac:dyDescent="0.25">
      <c r="A2233" s="2"/>
      <c r="B2233" s="2"/>
      <c r="C2233" s="2"/>
      <c r="D2233" s="2">
        <f>COUNTIF(contact[[#This Row],[Bagossy]:[Szo
03:00 - 10:00]],"=~?")</f>
        <v>0</v>
      </c>
      <c r="E2233" s="2">
        <f>COUNTIF(contact[[#This Row],[Bagossy]:[Szo
03:00 - 10:00]],"=x")</f>
        <v>0</v>
      </c>
      <c r="F2233" s="2">
        <f>SUM(contact[[#This Row],[?]:[x]])</f>
        <v>0</v>
      </c>
      <c r="G22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3" s="3" t="s">
        <v>4236</v>
      </c>
      <c r="K2233" s="1" t="s">
        <v>1153</v>
      </c>
      <c r="L2233" s="1" t="s">
        <v>2</v>
      </c>
      <c r="M2233" s="1" t="s">
        <v>2</v>
      </c>
      <c r="O2233" s="2"/>
      <c r="P2233" s="2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</row>
    <row r="2234" spans="1:32" s="1" customFormat="1" ht="20.25" customHeight="1" x14ac:dyDescent="0.25">
      <c r="A2234" s="2"/>
      <c r="B2234" s="2"/>
      <c r="C2234" s="2"/>
      <c r="D2234" s="2">
        <f>COUNTIF(contact[[#This Row],[Bagossy]:[Szo
03:00 - 10:00]],"=~?")</f>
        <v>0</v>
      </c>
      <c r="E2234" s="2">
        <f>COUNTIF(contact[[#This Row],[Bagossy]:[Szo
03:00 - 10:00]],"=x")</f>
        <v>0</v>
      </c>
      <c r="F2234" s="2">
        <f>SUM(contact[[#This Row],[?]:[x]])</f>
        <v>0</v>
      </c>
      <c r="G22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4" s="3" t="s">
        <v>1030</v>
      </c>
      <c r="K2234" s="1" t="s">
        <v>2</v>
      </c>
      <c r="L2234" s="1" t="s">
        <v>2</v>
      </c>
      <c r="M2234" s="1" t="s">
        <v>2</v>
      </c>
      <c r="O2234" s="2"/>
      <c r="P2234" s="2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</row>
    <row r="2235" spans="1:32" s="1" customFormat="1" ht="20.25" customHeight="1" x14ac:dyDescent="0.25">
      <c r="A2235" s="2"/>
      <c r="B2235" s="2"/>
      <c r="C2235" s="2"/>
      <c r="D2235" s="2">
        <f>COUNTIF(contact[[#This Row],[Bagossy]:[Szo
03:00 - 10:00]],"=~?")</f>
        <v>0</v>
      </c>
      <c r="E2235" s="2">
        <f>COUNTIF(contact[[#This Row],[Bagossy]:[Szo
03:00 - 10:00]],"=x")</f>
        <v>0</v>
      </c>
      <c r="F2235" s="2">
        <f>SUM(contact[[#This Row],[?]:[x]])</f>
        <v>0</v>
      </c>
      <c r="G22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5" s="3" t="s">
        <v>2303</v>
      </c>
      <c r="K2235" s="1" t="s">
        <v>2</v>
      </c>
      <c r="L2235" s="1" t="s">
        <v>2</v>
      </c>
      <c r="M2235" s="1" t="s">
        <v>2</v>
      </c>
      <c r="O2235" s="2"/>
      <c r="P2235" s="2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</row>
    <row r="2236" spans="1:32" s="1" customFormat="1" ht="20.25" customHeight="1" x14ac:dyDescent="0.25">
      <c r="A2236" s="2"/>
      <c r="B2236" s="2"/>
      <c r="C2236" s="2"/>
      <c r="D2236" s="2">
        <f>COUNTIF(contact[[#This Row],[Bagossy]:[Szo
03:00 - 10:00]],"=~?")</f>
        <v>0</v>
      </c>
      <c r="E2236" s="2">
        <f>COUNTIF(contact[[#This Row],[Bagossy]:[Szo
03:00 - 10:00]],"=x")</f>
        <v>0</v>
      </c>
      <c r="F2236" s="2">
        <f>SUM(contact[[#This Row],[?]:[x]])</f>
        <v>0</v>
      </c>
      <c r="G22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6" s="3" t="s">
        <v>2392</v>
      </c>
      <c r="K2236" s="1" t="s">
        <v>2</v>
      </c>
      <c r="L2236" s="1" t="s">
        <v>2</v>
      </c>
      <c r="M2236" s="1" t="s">
        <v>2</v>
      </c>
      <c r="O2236" s="2"/>
      <c r="P2236" s="2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</row>
    <row r="2237" spans="1:32" s="1" customFormat="1" ht="20.25" customHeight="1" x14ac:dyDescent="0.25">
      <c r="A2237" s="2"/>
      <c r="B2237" s="2"/>
      <c r="C2237" s="2"/>
      <c r="D2237" s="2">
        <f>COUNTIF(contact[[#This Row],[Bagossy]:[Szo
03:00 - 10:00]],"=~?")</f>
        <v>0</v>
      </c>
      <c r="E2237" s="2">
        <f>COUNTIF(contact[[#This Row],[Bagossy]:[Szo
03:00 - 10:00]],"=x")</f>
        <v>0</v>
      </c>
      <c r="F2237" s="2">
        <f>SUM(contact[[#This Row],[?]:[x]])</f>
        <v>0</v>
      </c>
      <c r="G22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7" s="3" t="s">
        <v>2641</v>
      </c>
      <c r="K2237" s="1" t="s">
        <v>2</v>
      </c>
      <c r="L2237" s="1" t="s">
        <v>2</v>
      </c>
      <c r="M2237" s="1" t="s">
        <v>2</v>
      </c>
      <c r="O2237" s="2"/>
      <c r="P2237" s="2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</row>
    <row r="2238" spans="1:32" s="1" customFormat="1" ht="20.25" customHeight="1" x14ac:dyDescent="0.25">
      <c r="A2238" s="2"/>
      <c r="B2238" s="2"/>
      <c r="C2238" s="2"/>
      <c r="D2238" s="2">
        <f>COUNTIF(contact[[#This Row],[Bagossy]:[Szo
03:00 - 10:00]],"=~?")</f>
        <v>0</v>
      </c>
      <c r="E2238" s="2">
        <f>COUNTIF(contact[[#This Row],[Bagossy]:[Szo
03:00 - 10:00]],"=x")</f>
        <v>0</v>
      </c>
      <c r="F2238" s="2">
        <f>SUM(contact[[#This Row],[?]:[x]])</f>
        <v>0</v>
      </c>
      <c r="G22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8" s="3" t="s">
        <v>4339</v>
      </c>
      <c r="K2238" s="1" t="s">
        <v>2</v>
      </c>
      <c r="L2238" s="1" t="s">
        <v>2</v>
      </c>
      <c r="M2238" s="1" t="s">
        <v>2</v>
      </c>
      <c r="O2238" s="2"/>
      <c r="P2238" s="2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</row>
    <row r="2239" spans="1:32" s="1" customFormat="1" ht="20.25" customHeight="1" x14ac:dyDescent="0.25">
      <c r="A2239" s="2"/>
      <c r="B2239" s="2"/>
      <c r="C2239" s="2"/>
      <c r="D2239" s="2">
        <f>COUNTIF(contact[[#This Row],[Bagossy]:[Szo
03:00 - 10:00]],"=~?")</f>
        <v>0</v>
      </c>
      <c r="E2239" s="2">
        <f>COUNTIF(contact[[#This Row],[Bagossy]:[Szo
03:00 - 10:00]],"=x")</f>
        <v>0</v>
      </c>
      <c r="F2239" s="2">
        <f>SUM(contact[[#This Row],[?]:[x]])</f>
        <v>0</v>
      </c>
      <c r="G22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39" s="3" t="s">
        <v>4031</v>
      </c>
      <c r="K2239" s="1" t="s">
        <v>1070</v>
      </c>
      <c r="L2239" s="1" t="s">
        <v>2</v>
      </c>
      <c r="M2239" s="1" t="s">
        <v>2</v>
      </c>
      <c r="O2239" s="2"/>
      <c r="P2239" s="2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</row>
    <row r="2240" spans="1:32" s="1" customFormat="1" ht="20.25" customHeight="1" x14ac:dyDescent="0.25">
      <c r="A2240" s="2"/>
      <c r="B2240" s="2"/>
      <c r="C2240" s="2"/>
      <c r="D2240" s="2">
        <f>COUNTIF(contact[[#This Row],[Bagossy]:[Szo
03:00 - 10:00]],"=~?")</f>
        <v>0</v>
      </c>
      <c r="E2240" s="2">
        <f>COUNTIF(contact[[#This Row],[Bagossy]:[Szo
03:00 - 10:00]],"=x")</f>
        <v>0</v>
      </c>
      <c r="F2240" s="2">
        <f>SUM(contact[[#This Row],[?]:[x]])</f>
        <v>0</v>
      </c>
      <c r="G22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0" s="3" t="s">
        <v>3581</v>
      </c>
      <c r="K2240" s="1" t="s">
        <v>2</v>
      </c>
      <c r="L2240" s="1" t="s">
        <v>2</v>
      </c>
      <c r="M2240" s="1" t="s">
        <v>2</v>
      </c>
      <c r="O2240" s="2"/>
      <c r="P2240" s="2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</row>
    <row r="2241" spans="1:32" s="1" customFormat="1" ht="20.25" customHeight="1" x14ac:dyDescent="0.25">
      <c r="A2241" s="2"/>
      <c r="B2241" s="2"/>
      <c r="C2241" s="2"/>
      <c r="D2241" s="2">
        <f>COUNTIF(contact[[#This Row],[Bagossy]:[Szo
03:00 - 10:00]],"=~?")</f>
        <v>0</v>
      </c>
      <c r="E2241" s="2">
        <f>COUNTIF(contact[[#This Row],[Bagossy]:[Szo
03:00 - 10:00]],"=x")</f>
        <v>0</v>
      </c>
      <c r="F2241" s="2">
        <f>SUM(contact[[#This Row],[?]:[x]])</f>
        <v>0</v>
      </c>
      <c r="G22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1" s="3" t="s">
        <v>3785</v>
      </c>
      <c r="K2241" s="1" t="s">
        <v>946</v>
      </c>
      <c r="L2241" s="1" t="s">
        <v>2</v>
      </c>
      <c r="M2241" s="1" t="s">
        <v>2</v>
      </c>
      <c r="O2241" s="2"/>
      <c r="P2241" s="2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</row>
    <row r="2242" spans="1:32" s="1" customFormat="1" ht="20.25" customHeight="1" x14ac:dyDescent="0.25">
      <c r="A2242" s="2"/>
      <c r="B2242" s="2"/>
      <c r="C2242" s="2"/>
      <c r="D2242" s="2">
        <f>COUNTIF(contact[[#This Row],[Bagossy]:[Szo
03:00 - 10:00]],"=~?")</f>
        <v>0</v>
      </c>
      <c r="E2242" s="2">
        <f>COUNTIF(contact[[#This Row],[Bagossy]:[Szo
03:00 - 10:00]],"=x")</f>
        <v>0</v>
      </c>
      <c r="F2242" s="2">
        <f>SUM(contact[[#This Row],[?]:[x]])</f>
        <v>0</v>
      </c>
      <c r="G22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2" s="3" t="s">
        <v>3106</v>
      </c>
      <c r="K2242" s="1" t="s">
        <v>646</v>
      </c>
      <c r="L2242" s="1" t="s">
        <v>2</v>
      </c>
      <c r="M2242" s="1" t="s">
        <v>2</v>
      </c>
      <c r="O2242" s="2"/>
      <c r="P2242" s="2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</row>
    <row r="2243" spans="1:32" s="1" customFormat="1" ht="20.25" customHeight="1" x14ac:dyDescent="0.25">
      <c r="A2243" s="2"/>
      <c r="B2243" s="2"/>
      <c r="C2243" s="2"/>
      <c r="D2243" s="2">
        <f>COUNTIF(contact[[#This Row],[Bagossy]:[Szo
03:00 - 10:00]],"=~?")</f>
        <v>0</v>
      </c>
      <c r="E2243" s="2">
        <f>COUNTIF(contact[[#This Row],[Bagossy]:[Szo
03:00 - 10:00]],"=x")</f>
        <v>0</v>
      </c>
      <c r="F2243" s="2">
        <f>SUM(contact[[#This Row],[?]:[x]])</f>
        <v>0</v>
      </c>
      <c r="G22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3" s="3" t="s">
        <v>4032</v>
      </c>
      <c r="K2243" s="1" t="s">
        <v>1766</v>
      </c>
      <c r="L2243" s="1" t="s">
        <v>2</v>
      </c>
      <c r="M2243" s="1" t="s">
        <v>2</v>
      </c>
      <c r="O2243" s="2"/>
      <c r="P2243" s="2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</row>
    <row r="2244" spans="1:32" s="1" customFormat="1" ht="20.25" customHeight="1" x14ac:dyDescent="0.25">
      <c r="A2244" s="2"/>
      <c r="B2244" s="2"/>
      <c r="C2244" s="2"/>
      <c r="D2244" s="2">
        <f>COUNTIF(contact[[#This Row],[Bagossy]:[Szo
03:00 - 10:00]],"=~?")</f>
        <v>0</v>
      </c>
      <c r="E2244" s="2">
        <f>COUNTIF(contact[[#This Row],[Bagossy]:[Szo
03:00 - 10:00]],"=x")</f>
        <v>0</v>
      </c>
      <c r="F2244" s="2">
        <f>SUM(contact[[#This Row],[?]:[x]])</f>
        <v>0</v>
      </c>
      <c r="G22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4" s="3" t="s">
        <v>2745</v>
      </c>
      <c r="K2244" s="1" t="s">
        <v>2</v>
      </c>
      <c r="L2244" s="1" t="s">
        <v>2</v>
      </c>
      <c r="M2244" s="1" t="s">
        <v>2</v>
      </c>
      <c r="O2244" s="2"/>
      <c r="P2244" s="2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</row>
    <row r="2245" spans="1:32" s="1" customFormat="1" ht="20.25" customHeight="1" x14ac:dyDescent="0.25">
      <c r="A2245" s="2"/>
      <c r="B2245" s="2"/>
      <c r="C2245" s="2" t="s">
        <v>1285</v>
      </c>
      <c r="D2245" s="2">
        <f>COUNTIF(contact[[#This Row],[Bagossy]:[Szo
03:00 - 10:00]],"=~?")</f>
        <v>0</v>
      </c>
      <c r="E2245" s="2">
        <f>COUNTIF(contact[[#This Row],[Bagossy]:[Szo
03:00 - 10:00]],"=x")</f>
        <v>0</v>
      </c>
      <c r="F2245" s="2">
        <f>SUM(contact[[#This Row],[?]:[x]])</f>
        <v>0</v>
      </c>
      <c r="G22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45" s="2" t="s">
        <v>4616</v>
      </c>
      <c r="I2245" s="2"/>
      <c r="J2245" s="3" t="s">
        <v>3936</v>
      </c>
      <c r="K2245" s="1" t="s">
        <v>807</v>
      </c>
      <c r="L2245" s="1" t="s">
        <v>2</v>
      </c>
      <c r="M2245" s="1" t="s">
        <v>2</v>
      </c>
      <c r="O2245" s="2"/>
      <c r="P2245" s="2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</row>
    <row r="2246" spans="1:32" s="1" customFormat="1" ht="20.25" customHeight="1" x14ac:dyDescent="0.25">
      <c r="A2246" s="2"/>
      <c r="B2246" s="2"/>
      <c r="C2246" s="2"/>
      <c r="D2246" s="2">
        <f>COUNTIF(contact[[#This Row],[Bagossy]:[Szo
03:00 - 10:00]],"=~?")</f>
        <v>0</v>
      </c>
      <c r="E2246" s="2">
        <f>COUNTIF(contact[[#This Row],[Bagossy]:[Szo
03:00 - 10:00]],"=x")</f>
        <v>0</v>
      </c>
      <c r="F2246" s="2">
        <f>SUM(contact[[#This Row],[?]:[x]])</f>
        <v>0</v>
      </c>
      <c r="G22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6" s="3" t="s">
        <v>4007</v>
      </c>
      <c r="K2246" s="1" t="s">
        <v>1061</v>
      </c>
      <c r="L2246" s="1" t="s">
        <v>2</v>
      </c>
      <c r="M2246" s="1" t="s">
        <v>2</v>
      </c>
      <c r="O2246" s="2"/>
      <c r="P2246" s="2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</row>
    <row r="2247" spans="1:32" s="1" customFormat="1" ht="20.25" customHeight="1" x14ac:dyDescent="0.25">
      <c r="A2247" s="2"/>
      <c r="B2247" s="2"/>
      <c r="C2247" s="2"/>
      <c r="D2247" s="2">
        <f>COUNTIF(contact[[#This Row],[Bagossy]:[Szo
03:00 - 10:00]],"=~?")</f>
        <v>0</v>
      </c>
      <c r="E2247" s="2">
        <f>COUNTIF(contact[[#This Row],[Bagossy]:[Szo
03:00 - 10:00]],"=x")</f>
        <v>0</v>
      </c>
      <c r="F2247" s="2">
        <f>SUM(contact[[#This Row],[?]:[x]])</f>
        <v>0</v>
      </c>
      <c r="G22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7" s="3" t="s">
        <v>4048</v>
      </c>
      <c r="K2247" s="1" t="s">
        <v>1078</v>
      </c>
      <c r="L2247" s="1" t="s">
        <v>2</v>
      </c>
      <c r="M2247" s="1" t="s">
        <v>2</v>
      </c>
      <c r="O2247" s="2"/>
      <c r="P2247" s="2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</row>
    <row r="2248" spans="1:32" s="1" customFormat="1" ht="20.25" customHeight="1" x14ac:dyDescent="0.25">
      <c r="A2248" s="2"/>
      <c r="B2248" s="2"/>
      <c r="C2248" s="2"/>
      <c r="D2248" s="2">
        <f>COUNTIF(contact[[#This Row],[Bagossy]:[Szo
03:00 - 10:00]],"=~?")</f>
        <v>0</v>
      </c>
      <c r="E2248" s="2">
        <f>COUNTIF(contact[[#This Row],[Bagossy]:[Szo
03:00 - 10:00]],"=x")</f>
        <v>0</v>
      </c>
      <c r="F2248" s="2">
        <f>SUM(contact[[#This Row],[?]:[x]])</f>
        <v>0</v>
      </c>
      <c r="G22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8" s="3" t="s">
        <v>4102</v>
      </c>
      <c r="K2248" s="1" t="s">
        <v>1101</v>
      </c>
      <c r="L2248" s="1" t="s">
        <v>2</v>
      </c>
      <c r="M2248" s="1" t="s">
        <v>2</v>
      </c>
      <c r="O2248" s="2"/>
      <c r="P2248" s="2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</row>
    <row r="2249" spans="1:32" s="1" customFormat="1" ht="20.25" customHeight="1" x14ac:dyDescent="0.25">
      <c r="A2249" s="2"/>
      <c r="B2249" s="2"/>
      <c r="C2249" s="2"/>
      <c r="D2249" s="2">
        <f>COUNTIF(contact[[#This Row],[Bagossy]:[Szo
03:00 - 10:00]],"=~?")</f>
        <v>0</v>
      </c>
      <c r="E2249" s="2">
        <f>COUNTIF(contact[[#This Row],[Bagossy]:[Szo
03:00 - 10:00]],"=x")</f>
        <v>0</v>
      </c>
      <c r="F2249" s="2">
        <f>SUM(contact[[#This Row],[?]:[x]])</f>
        <v>0</v>
      </c>
      <c r="G22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49" s="3" t="s">
        <v>2414</v>
      </c>
      <c r="K2249" s="1" t="s">
        <v>1403</v>
      </c>
      <c r="L2249" s="1" t="s">
        <v>2</v>
      </c>
      <c r="M2249" s="1" t="s">
        <v>2</v>
      </c>
      <c r="O2249" s="2"/>
      <c r="P2249" s="2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</row>
    <row r="2250" spans="1:32" s="1" customFormat="1" ht="20.25" customHeight="1" x14ac:dyDescent="0.25">
      <c r="A2250" s="2"/>
      <c r="B2250" s="2"/>
      <c r="C2250" s="2"/>
      <c r="D2250" s="2">
        <f>COUNTIF(contact[[#This Row],[Bagossy]:[Szo
03:00 - 10:00]],"=~?")</f>
        <v>0</v>
      </c>
      <c r="E2250" s="2">
        <f>COUNTIF(contact[[#This Row],[Bagossy]:[Szo
03:00 - 10:00]],"=x")</f>
        <v>0</v>
      </c>
      <c r="F2250" s="2">
        <f>SUM(contact[[#This Row],[?]:[x]])</f>
        <v>0</v>
      </c>
      <c r="G22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0" s="3" t="s">
        <v>3656</v>
      </c>
      <c r="K2250" s="1" t="s">
        <v>1694</v>
      </c>
      <c r="L2250" s="1" t="s">
        <v>2</v>
      </c>
      <c r="M2250" s="1" t="s">
        <v>2</v>
      </c>
      <c r="O2250" s="2"/>
      <c r="P2250" s="2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</row>
    <row r="2251" spans="1:32" s="1" customFormat="1" ht="20.25" customHeight="1" x14ac:dyDescent="0.25">
      <c r="A2251" s="2"/>
      <c r="B2251" s="2"/>
      <c r="C2251" s="2"/>
      <c r="D2251" s="2">
        <f>COUNTIF(contact[[#This Row],[Bagossy]:[Szo
03:00 - 10:00]],"=~?")</f>
        <v>0</v>
      </c>
      <c r="E2251" s="2">
        <f>COUNTIF(contact[[#This Row],[Bagossy]:[Szo
03:00 - 10:00]],"=x")</f>
        <v>0</v>
      </c>
      <c r="F2251" s="2">
        <f>SUM(contact[[#This Row],[?]:[x]])</f>
        <v>0</v>
      </c>
      <c r="G22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51" s="2"/>
      <c r="I2251" s="2"/>
      <c r="J2251" s="3" t="s">
        <v>3937</v>
      </c>
      <c r="K2251" s="1" t="s">
        <v>947</v>
      </c>
      <c r="L2251" s="1" t="s">
        <v>2</v>
      </c>
      <c r="M2251" s="1" t="s">
        <v>2</v>
      </c>
      <c r="O2251" s="2"/>
      <c r="P2251" s="2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</row>
    <row r="2252" spans="1:32" s="1" customFormat="1" ht="20.25" customHeight="1" x14ac:dyDescent="0.25">
      <c r="A2252" s="2"/>
      <c r="B2252" s="2"/>
      <c r="C2252" s="2"/>
      <c r="D2252" s="2">
        <f>COUNTIF(contact[[#This Row],[Bagossy]:[Szo
03:00 - 10:00]],"=~?")</f>
        <v>0</v>
      </c>
      <c r="E2252" s="2">
        <f>COUNTIF(contact[[#This Row],[Bagossy]:[Szo
03:00 - 10:00]],"=x")</f>
        <v>0</v>
      </c>
      <c r="F2252" s="2">
        <f>SUM(contact[[#This Row],[?]:[x]])</f>
        <v>0</v>
      </c>
      <c r="G22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2" s="3" t="s">
        <v>2199</v>
      </c>
      <c r="K2252" s="1" t="s">
        <v>170</v>
      </c>
      <c r="L2252" s="1" t="s">
        <v>2</v>
      </c>
      <c r="M2252" s="1" t="s">
        <v>2</v>
      </c>
      <c r="O2252" s="2"/>
      <c r="P2252" s="2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</row>
    <row r="2253" spans="1:32" s="1" customFormat="1" ht="20.25" customHeight="1" x14ac:dyDescent="0.25">
      <c r="A2253" s="2" t="s">
        <v>1285</v>
      </c>
      <c r="B2253" s="2" t="s">
        <v>1285</v>
      </c>
      <c r="C2253" s="2" t="s">
        <v>1285</v>
      </c>
      <c r="D2253" s="2">
        <f>COUNTIF(contact[[#This Row],[Bagossy]:[Szo
03:00 - 10:00]],"=~?")</f>
        <v>0</v>
      </c>
      <c r="E2253" s="2">
        <f>COUNTIF(contact[[#This Row],[Bagossy]:[Szo
03:00 - 10:00]],"=x")</f>
        <v>0</v>
      </c>
      <c r="F2253" s="2">
        <f>SUM(contact[[#This Row],[?]:[x]])</f>
        <v>0</v>
      </c>
      <c r="G22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53" s="2" t="s">
        <v>4616</v>
      </c>
      <c r="I2253" s="2"/>
      <c r="J2253" s="3" t="s">
        <v>3942</v>
      </c>
      <c r="K2253" s="1" t="s">
        <v>842</v>
      </c>
      <c r="L2253" s="1" t="s">
        <v>2</v>
      </c>
      <c r="M2253" s="1" t="s">
        <v>2</v>
      </c>
      <c r="N2253" s="2" t="s">
        <v>4612</v>
      </c>
      <c r="O2253" s="2"/>
      <c r="P2253" s="2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</row>
    <row r="2254" spans="1:32" s="1" customFormat="1" ht="20.25" customHeight="1" x14ac:dyDescent="0.25">
      <c r="A2254" s="2"/>
      <c r="B2254" s="2"/>
      <c r="C2254" s="2"/>
      <c r="D2254" s="2">
        <f>COUNTIF(contact[[#This Row],[Bagossy]:[Szo
03:00 - 10:00]],"=~?")</f>
        <v>0</v>
      </c>
      <c r="E2254" s="2">
        <f>COUNTIF(contact[[#This Row],[Bagossy]:[Szo
03:00 - 10:00]],"=x")</f>
        <v>0</v>
      </c>
      <c r="F2254" s="2">
        <f>SUM(contact[[#This Row],[?]:[x]])</f>
        <v>0</v>
      </c>
      <c r="G22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4" s="3" t="s">
        <v>2454</v>
      </c>
      <c r="K2254" s="1" t="s">
        <v>315</v>
      </c>
      <c r="L2254" s="1" t="s">
        <v>2</v>
      </c>
      <c r="M2254" s="1" t="s">
        <v>2</v>
      </c>
      <c r="O2254" s="2"/>
      <c r="P2254" s="2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</row>
    <row r="2255" spans="1:32" s="1" customFormat="1" ht="20.25" customHeight="1" x14ac:dyDescent="0.25">
      <c r="A2255" s="2"/>
      <c r="B2255" s="2"/>
      <c r="C2255" s="2"/>
      <c r="D2255" s="2">
        <f>COUNTIF(contact[[#This Row],[Bagossy]:[Szo
03:00 - 10:00]],"=~?")</f>
        <v>0</v>
      </c>
      <c r="E2255" s="2">
        <f>COUNTIF(contact[[#This Row],[Bagossy]:[Szo
03:00 - 10:00]],"=x")</f>
        <v>0</v>
      </c>
      <c r="F2255" s="2">
        <f>SUM(contact[[#This Row],[?]:[x]])</f>
        <v>0</v>
      </c>
      <c r="G22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5" s="3" t="s">
        <v>3107</v>
      </c>
      <c r="K2255" s="1" t="s">
        <v>647</v>
      </c>
      <c r="L2255" s="1" t="s">
        <v>2</v>
      </c>
      <c r="M2255" s="1" t="s">
        <v>2</v>
      </c>
      <c r="O2255" s="2"/>
      <c r="P2255" s="2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</row>
    <row r="2256" spans="1:32" s="1" customFormat="1" ht="20.25" customHeight="1" x14ac:dyDescent="0.25">
      <c r="A2256" s="2"/>
      <c r="B2256" s="2"/>
      <c r="C2256" s="2"/>
      <c r="D2256" s="2">
        <f>COUNTIF(contact[[#This Row],[Bagossy]:[Szo
03:00 - 10:00]],"=~?")</f>
        <v>0</v>
      </c>
      <c r="E2256" s="2">
        <f>COUNTIF(contact[[#This Row],[Bagossy]:[Szo
03:00 - 10:00]],"=x")</f>
        <v>0</v>
      </c>
      <c r="F2256" s="2">
        <f>SUM(contact[[#This Row],[?]:[x]])</f>
        <v>0</v>
      </c>
      <c r="G22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6" s="3" t="s">
        <v>3998</v>
      </c>
      <c r="K2256" s="1" t="s">
        <v>1756</v>
      </c>
      <c r="L2256" s="1" t="s">
        <v>2</v>
      </c>
      <c r="M2256" s="1" t="s">
        <v>2</v>
      </c>
      <c r="O2256" s="2"/>
      <c r="P2256" s="2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</row>
    <row r="2257" spans="1:32" s="1" customFormat="1" ht="20.25" customHeight="1" x14ac:dyDescent="0.25">
      <c r="A2257" s="2"/>
      <c r="B2257" s="2"/>
      <c r="C2257" s="2"/>
      <c r="D2257" s="2">
        <f>COUNTIF(contact[[#This Row],[Bagossy]:[Szo
03:00 - 10:00]],"=~?")</f>
        <v>0</v>
      </c>
      <c r="E2257" s="2">
        <f>COUNTIF(contact[[#This Row],[Bagossy]:[Szo
03:00 - 10:00]],"=x")</f>
        <v>0</v>
      </c>
      <c r="F2257" s="2">
        <f>SUM(contact[[#This Row],[?]:[x]])</f>
        <v>0</v>
      </c>
      <c r="G22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7" s="3" t="s">
        <v>2681</v>
      </c>
      <c r="K2257" s="1" t="s">
        <v>2</v>
      </c>
      <c r="L2257" s="1" t="s">
        <v>2</v>
      </c>
      <c r="M2257" s="1" t="s">
        <v>2</v>
      </c>
      <c r="O2257" s="2"/>
      <c r="P2257" s="2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</row>
    <row r="2258" spans="1:32" s="1" customFormat="1" ht="20.25" customHeight="1" x14ac:dyDescent="0.25">
      <c r="A2258" s="2"/>
      <c r="B2258" s="2"/>
      <c r="C2258" s="2"/>
      <c r="D2258" s="2">
        <f>COUNTIF(contact[[#This Row],[Bagossy]:[Szo
03:00 - 10:00]],"=~?")</f>
        <v>0</v>
      </c>
      <c r="E2258" s="2">
        <f>COUNTIF(contact[[#This Row],[Bagossy]:[Szo
03:00 - 10:00]],"=x")</f>
        <v>0</v>
      </c>
      <c r="F2258" s="2">
        <f>SUM(contact[[#This Row],[?]:[x]])</f>
        <v>0</v>
      </c>
      <c r="G22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8" s="3" t="s">
        <v>3298</v>
      </c>
      <c r="K2258" s="1" t="s">
        <v>55</v>
      </c>
      <c r="L2258" s="1" t="s">
        <v>2</v>
      </c>
      <c r="M2258" s="1" t="s">
        <v>2</v>
      </c>
      <c r="O2258" s="2"/>
      <c r="P2258" s="2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</row>
    <row r="2259" spans="1:32" s="1" customFormat="1" ht="20.25" customHeight="1" x14ac:dyDescent="0.25">
      <c r="A2259" s="2"/>
      <c r="B2259" s="2"/>
      <c r="C2259" s="2"/>
      <c r="D2259" s="2">
        <f>COUNTIF(contact[[#This Row],[Bagossy]:[Szo
03:00 - 10:00]],"=~?")</f>
        <v>0</v>
      </c>
      <c r="E2259" s="2">
        <f>COUNTIF(contact[[#This Row],[Bagossy]:[Szo
03:00 - 10:00]],"=x")</f>
        <v>0</v>
      </c>
      <c r="F2259" s="2">
        <f>SUM(contact[[#This Row],[?]:[x]])</f>
        <v>0</v>
      </c>
      <c r="G22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59" s="3" t="s">
        <v>2455</v>
      </c>
      <c r="K2259" s="1" t="s">
        <v>316</v>
      </c>
      <c r="L2259" s="1" t="s">
        <v>2</v>
      </c>
      <c r="M2259" s="1" t="s">
        <v>2</v>
      </c>
      <c r="O2259" s="2"/>
      <c r="P2259" s="2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</row>
    <row r="2260" spans="1:32" s="1" customFormat="1" ht="20.25" customHeight="1" x14ac:dyDescent="0.25">
      <c r="A2260" s="2"/>
      <c r="B2260" s="2"/>
      <c r="C2260" s="2"/>
      <c r="D2260" s="2">
        <f>COUNTIF(contact[[#This Row],[Bagossy]:[Szo
03:00 - 10:00]],"=~?")</f>
        <v>0</v>
      </c>
      <c r="E2260" s="2">
        <f>COUNTIF(contact[[#This Row],[Bagossy]:[Szo
03:00 - 10:00]],"=x")</f>
        <v>0</v>
      </c>
      <c r="F2260" s="2">
        <f>SUM(contact[[#This Row],[?]:[x]])</f>
        <v>0</v>
      </c>
      <c r="G22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0" s="3" t="s">
        <v>3850</v>
      </c>
      <c r="K2260" s="1" t="s">
        <v>980</v>
      </c>
      <c r="L2260" s="1" t="s">
        <v>2</v>
      </c>
      <c r="M2260" s="1" t="s">
        <v>2</v>
      </c>
      <c r="O2260" s="2"/>
      <c r="P2260" s="2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</row>
    <row r="2261" spans="1:32" s="1" customFormat="1" ht="20.25" customHeight="1" x14ac:dyDescent="0.25">
      <c r="A2261" s="2"/>
      <c r="B2261" s="2"/>
      <c r="C2261" s="2"/>
      <c r="D2261" s="2">
        <f>COUNTIF(contact[[#This Row],[Bagossy]:[Szo
03:00 - 10:00]],"=~?")</f>
        <v>0</v>
      </c>
      <c r="E2261" s="2">
        <f>COUNTIF(contact[[#This Row],[Bagossy]:[Szo
03:00 - 10:00]],"=x")</f>
        <v>0</v>
      </c>
      <c r="F2261" s="2">
        <f>SUM(contact[[#This Row],[?]:[x]])</f>
        <v>0</v>
      </c>
      <c r="G22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1" s="3" t="s">
        <v>2029</v>
      </c>
      <c r="K2261" s="1" t="s">
        <v>73</v>
      </c>
      <c r="L2261" s="1" t="s">
        <v>2</v>
      </c>
      <c r="M2261" s="1" t="s">
        <v>2</v>
      </c>
      <c r="O2261" s="2"/>
      <c r="P2261" s="2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</row>
    <row r="2262" spans="1:32" s="1" customFormat="1" ht="20.25" customHeight="1" x14ac:dyDescent="0.25">
      <c r="A2262" s="2"/>
      <c r="B2262" s="2"/>
      <c r="C2262" s="2"/>
      <c r="D2262" s="2">
        <f>COUNTIF(contact[[#This Row],[Bagossy]:[Szo
03:00 - 10:00]],"=~?")</f>
        <v>0</v>
      </c>
      <c r="E2262" s="2">
        <f>COUNTIF(contact[[#This Row],[Bagossy]:[Szo
03:00 - 10:00]],"=x")</f>
        <v>0</v>
      </c>
      <c r="F2262" s="2">
        <f>SUM(contact[[#This Row],[?]:[x]])</f>
        <v>0</v>
      </c>
      <c r="G22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62" s="2"/>
      <c r="I2262" s="2"/>
      <c r="J2262" s="3" t="s">
        <v>3946</v>
      </c>
      <c r="K2262" s="1" t="s">
        <v>92</v>
      </c>
      <c r="L2262" s="1" t="s">
        <v>2</v>
      </c>
      <c r="M2262" s="1" t="s">
        <v>2</v>
      </c>
      <c r="O2262" s="2"/>
      <c r="P2262" s="2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</row>
    <row r="2263" spans="1:32" s="1" customFormat="1" ht="20.25" customHeight="1" x14ac:dyDescent="0.25">
      <c r="A2263" s="2"/>
      <c r="B2263" s="2"/>
      <c r="C2263" s="2"/>
      <c r="D2263" s="2">
        <f>COUNTIF(contact[[#This Row],[Bagossy]:[Szo
03:00 - 10:00]],"=~?")</f>
        <v>0</v>
      </c>
      <c r="E2263" s="2">
        <f>COUNTIF(contact[[#This Row],[Bagossy]:[Szo
03:00 - 10:00]],"=x")</f>
        <v>0</v>
      </c>
      <c r="F2263" s="2">
        <f>SUM(contact[[#This Row],[?]:[x]])</f>
        <v>0</v>
      </c>
      <c r="G22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3" s="3" t="s">
        <v>2874</v>
      </c>
      <c r="K2263" s="1" t="s">
        <v>55</v>
      </c>
      <c r="L2263" s="1" t="s">
        <v>2</v>
      </c>
      <c r="M2263" s="1" t="s">
        <v>2</v>
      </c>
      <c r="O2263" s="2"/>
      <c r="P2263" s="2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</row>
    <row r="2264" spans="1:32" s="1" customFormat="1" ht="20.25" customHeight="1" x14ac:dyDescent="0.25">
      <c r="A2264" s="2"/>
      <c r="B2264" s="2"/>
      <c r="C2264" s="2"/>
      <c r="D2264" s="2">
        <f>COUNTIF(contact[[#This Row],[Bagossy]:[Szo
03:00 - 10:00]],"=~?")</f>
        <v>0</v>
      </c>
      <c r="E2264" s="2">
        <f>COUNTIF(contact[[#This Row],[Bagossy]:[Szo
03:00 - 10:00]],"=x")</f>
        <v>0</v>
      </c>
      <c r="F2264" s="2">
        <f>SUM(contact[[#This Row],[?]:[x]])</f>
        <v>0</v>
      </c>
      <c r="G22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4" s="3" t="s">
        <v>3137</v>
      </c>
      <c r="K2264" s="1" t="s">
        <v>659</v>
      </c>
      <c r="L2264" s="1" t="s">
        <v>2</v>
      </c>
      <c r="M2264" s="1" t="s">
        <v>2</v>
      </c>
      <c r="O2264" s="2"/>
      <c r="P2264" s="2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</row>
    <row r="2265" spans="1:32" s="1" customFormat="1" ht="20.25" customHeight="1" x14ac:dyDescent="0.25">
      <c r="A2265" s="2"/>
      <c r="B2265" s="2"/>
      <c r="C2265" s="2"/>
      <c r="D2265" s="2">
        <f>COUNTIF(contact[[#This Row],[Bagossy]:[Szo
03:00 - 10:00]],"=~?")</f>
        <v>0</v>
      </c>
      <c r="E2265" s="2">
        <f>COUNTIF(contact[[#This Row],[Bagossy]:[Szo
03:00 - 10:00]],"=x")</f>
        <v>0</v>
      </c>
      <c r="F2265" s="2">
        <f>SUM(contact[[#This Row],[?]:[x]])</f>
        <v>0</v>
      </c>
      <c r="G22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5" s="3" t="s">
        <v>4033</v>
      </c>
      <c r="K2265" s="1" t="s">
        <v>1071</v>
      </c>
      <c r="L2265" s="1" t="s">
        <v>2</v>
      </c>
      <c r="M2265" s="1" t="s">
        <v>2</v>
      </c>
      <c r="O2265" s="2"/>
      <c r="P2265" s="2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</row>
    <row r="2266" spans="1:32" s="1" customFormat="1" ht="20.25" customHeight="1" x14ac:dyDescent="0.25">
      <c r="A2266" s="2"/>
      <c r="B2266" s="2"/>
      <c r="C2266" s="2"/>
      <c r="D2266" s="2">
        <f>COUNTIF(contact[[#This Row],[Bagossy]:[Szo
03:00 - 10:00]],"=~?")</f>
        <v>0</v>
      </c>
      <c r="E2266" s="2">
        <f>COUNTIF(contact[[#This Row],[Bagossy]:[Szo
03:00 - 10:00]],"=x")</f>
        <v>0</v>
      </c>
      <c r="F2266" s="2">
        <f>SUM(contact[[#This Row],[?]:[x]])</f>
        <v>0</v>
      </c>
      <c r="G22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6" s="3" t="s">
        <v>2415</v>
      </c>
      <c r="K2266" s="1" t="s">
        <v>2</v>
      </c>
      <c r="L2266" s="1" t="s">
        <v>2</v>
      </c>
      <c r="M2266" s="1" t="s">
        <v>2</v>
      </c>
      <c r="O2266" s="2"/>
      <c r="P2266" s="2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</row>
    <row r="2267" spans="1:32" s="1" customFormat="1" ht="20.25" customHeight="1" x14ac:dyDescent="0.25">
      <c r="A2267" s="2"/>
      <c r="B2267" s="2"/>
      <c r="C2267" s="2"/>
      <c r="D2267" s="2">
        <f>COUNTIF(contact[[#This Row],[Bagossy]:[Szo
03:00 - 10:00]],"=~?")</f>
        <v>0</v>
      </c>
      <c r="E2267" s="2">
        <f>COUNTIF(contact[[#This Row],[Bagossy]:[Szo
03:00 - 10:00]],"=x")</f>
        <v>0</v>
      </c>
      <c r="F2267" s="2">
        <f>SUM(contact[[#This Row],[?]:[x]])</f>
        <v>0</v>
      </c>
      <c r="G22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7" s="3" t="s">
        <v>1032</v>
      </c>
      <c r="K2267" s="1" t="s">
        <v>1033</v>
      </c>
      <c r="L2267" s="1" t="s">
        <v>2</v>
      </c>
      <c r="M2267" s="1" t="s">
        <v>2</v>
      </c>
      <c r="O2267" s="2"/>
      <c r="P2267" s="2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</row>
    <row r="2268" spans="1:32" s="1" customFormat="1" ht="20.25" customHeight="1" x14ac:dyDescent="0.25">
      <c r="A2268" s="2"/>
      <c r="B2268" s="2"/>
      <c r="C2268" s="2"/>
      <c r="D2268" s="2">
        <f>COUNTIF(contact[[#This Row],[Bagossy]:[Szo
03:00 - 10:00]],"=~?")</f>
        <v>0</v>
      </c>
      <c r="E2268" s="2">
        <f>COUNTIF(contact[[#This Row],[Bagossy]:[Szo
03:00 - 10:00]],"=x")</f>
        <v>0</v>
      </c>
      <c r="F2268" s="2">
        <f>SUM(contact[[#This Row],[?]:[x]])</f>
        <v>0</v>
      </c>
      <c r="G22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8" s="3" t="s">
        <v>4508</v>
      </c>
      <c r="K2268" s="1" t="s">
        <v>2</v>
      </c>
      <c r="L2268" s="1" t="s">
        <v>2</v>
      </c>
      <c r="M2268" s="1" t="s">
        <v>2</v>
      </c>
      <c r="O2268" s="2"/>
      <c r="P2268" s="2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</row>
    <row r="2269" spans="1:32" s="1" customFormat="1" ht="20.25" customHeight="1" x14ac:dyDescent="0.25">
      <c r="A2269" s="2"/>
      <c r="B2269" s="2"/>
      <c r="C2269" s="2"/>
      <c r="D2269" s="2">
        <f>COUNTIF(contact[[#This Row],[Bagossy]:[Szo
03:00 - 10:00]],"=~?")</f>
        <v>0</v>
      </c>
      <c r="E2269" s="2">
        <f>COUNTIF(contact[[#This Row],[Bagossy]:[Szo
03:00 - 10:00]],"=x")</f>
        <v>0</v>
      </c>
      <c r="F2269" s="2">
        <f>SUM(contact[[#This Row],[?]:[x]])</f>
        <v>0</v>
      </c>
      <c r="G22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69" s="3" t="s">
        <v>2064</v>
      </c>
      <c r="K2269" s="1" t="s">
        <v>96</v>
      </c>
      <c r="L2269" s="1" t="s">
        <v>2</v>
      </c>
      <c r="M2269" s="1" t="s">
        <v>2</v>
      </c>
      <c r="O2269" s="2"/>
      <c r="P2269" s="2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</row>
    <row r="2270" spans="1:32" s="1" customFormat="1" ht="20.25" customHeight="1" x14ac:dyDescent="0.25">
      <c r="A2270" s="2"/>
      <c r="B2270" s="2"/>
      <c r="C2270" s="2"/>
      <c r="D2270" s="2">
        <f>COUNTIF(contact[[#This Row],[Bagossy]:[Szo
03:00 - 10:00]],"=~?")</f>
        <v>0</v>
      </c>
      <c r="E2270" s="2">
        <f>COUNTIF(contact[[#This Row],[Bagossy]:[Szo
03:00 - 10:00]],"=x")</f>
        <v>0</v>
      </c>
      <c r="F2270" s="2">
        <f>SUM(contact[[#This Row],[?]:[x]])</f>
        <v>0</v>
      </c>
      <c r="G22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0" s="3" t="s">
        <v>2146</v>
      </c>
      <c r="K2270" s="1" t="s">
        <v>142</v>
      </c>
      <c r="L2270" s="1" t="s">
        <v>2</v>
      </c>
      <c r="M2270" s="1" t="s">
        <v>2</v>
      </c>
      <c r="O2270" s="2"/>
      <c r="P2270" s="2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</row>
    <row r="2271" spans="1:32" s="1" customFormat="1" ht="20.25" customHeight="1" x14ac:dyDescent="0.25">
      <c r="A2271" s="2"/>
      <c r="B2271" s="2"/>
      <c r="C2271" s="2"/>
      <c r="D2271" s="2">
        <f>COUNTIF(contact[[#This Row],[Bagossy]:[Szo
03:00 - 10:00]],"=~?")</f>
        <v>0</v>
      </c>
      <c r="E2271" s="2">
        <f>COUNTIF(contact[[#This Row],[Bagossy]:[Szo
03:00 - 10:00]],"=x")</f>
        <v>0</v>
      </c>
      <c r="F2271" s="2">
        <f>SUM(contact[[#This Row],[?]:[x]])</f>
        <v>0</v>
      </c>
      <c r="G22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1" s="3" t="s">
        <v>2400</v>
      </c>
      <c r="K2271" s="1" t="s">
        <v>286</v>
      </c>
      <c r="L2271" s="1" t="s">
        <v>2</v>
      </c>
      <c r="M2271" s="1" t="s">
        <v>2</v>
      </c>
      <c r="O2271" s="2"/>
      <c r="P2271" s="2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</row>
    <row r="2272" spans="1:32" s="1" customFormat="1" ht="20.25" customHeight="1" x14ac:dyDescent="0.25">
      <c r="A2272" s="2"/>
      <c r="B2272" s="2"/>
      <c r="C2272" s="2"/>
      <c r="D2272" s="2">
        <f>COUNTIF(contact[[#This Row],[Bagossy]:[Szo
03:00 - 10:00]],"=~?")</f>
        <v>0</v>
      </c>
      <c r="E2272" s="2">
        <f>COUNTIF(contact[[#This Row],[Bagossy]:[Szo
03:00 - 10:00]],"=x")</f>
        <v>0</v>
      </c>
      <c r="F2272" s="2">
        <f>SUM(contact[[#This Row],[?]:[x]])</f>
        <v>0</v>
      </c>
      <c r="G22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2" s="3" t="s">
        <v>3313</v>
      </c>
      <c r="K2272" s="1" t="s">
        <v>1293</v>
      </c>
      <c r="L2272" s="1" t="s">
        <v>2</v>
      </c>
      <c r="M2272" s="1" t="s">
        <v>2</v>
      </c>
      <c r="O2272" s="2"/>
      <c r="P2272" s="2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</row>
    <row r="2273" spans="1:32" s="1" customFormat="1" ht="20.25" customHeight="1" x14ac:dyDescent="0.25">
      <c r="A2273" s="2"/>
      <c r="B2273" s="2"/>
      <c r="C2273" s="2"/>
      <c r="D2273" s="2">
        <f>COUNTIF(contact[[#This Row],[Bagossy]:[Szo
03:00 - 10:00]],"=~?")</f>
        <v>0</v>
      </c>
      <c r="E2273" s="2">
        <f>COUNTIF(contact[[#This Row],[Bagossy]:[Szo
03:00 - 10:00]],"=x")</f>
        <v>0</v>
      </c>
      <c r="F2273" s="2">
        <f>SUM(contact[[#This Row],[?]:[x]])</f>
        <v>0</v>
      </c>
      <c r="G22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3" s="3" t="s">
        <v>1036</v>
      </c>
      <c r="K2273" s="1" t="s">
        <v>2</v>
      </c>
      <c r="L2273" s="1" t="s">
        <v>2</v>
      </c>
      <c r="M2273" s="1" t="s">
        <v>2</v>
      </c>
      <c r="O2273" s="2"/>
      <c r="P2273" s="2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</row>
    <row r="2274" spans="1:32" s="1" customFormat="1" ht="20.25" customHeight="1" x14ac:dyDescent="0.25">
      <c r="A2274" s="2"/>
      <c r="B2274" s="2"/>
      <c r="C2274" s="2"/>
      <c r="D2274" s="2">
        <f>COUNTIF(contact[[#This Row],[Bagossy]:[Szo
03:00 - 10:00]],"=~?")</f>
        <v>0</v>
      </c>
      <c r="E2274" s="2">
        <f>COUNTIF(contact[[#This Row],[Bagossy]:[Szo
03:00 - 10:00]],"=x")</f>
        <v>0</v>
      </c>
      <c r="F2274" s="2">
        <f>SUM(contact[[#This Row],[?]:[x]])</f>
        <v>0</v>
      </c>
      <c r="G22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4" s="3" t="s">
        <v>2660</v>
      </c>
      <c r="K2274" s="1" t="s">
        <v>432</v>
      </c>
      <c r="L2274" s="1" t="s">
        <v>2</v>
      </c>
      <c r="M2274" s="1" t="s">
        <v>2</v>
      </c>
      <c r="O2274" s="2"/>
      <c r="P2274" s="2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</row>
    <row r="2275" spans="1:32" s="1" customFormat="1" ht="20.25" customHeight="1" x14ac:dyDescent="0.25">
      <c r="A2275" s="2"/>
      <c r="B2275" s="2"/>
      <c r="C2275" s="2"/>
      <c r="D2275" s="2">
        <f>COUNTIF(contact[[#This Row],[Bagossy]:[Szo
03:00 - 10:00]],"=~?")</f>
        <v>0</v>
      </c>
      <c r="E2275" s="2">
        <f>COUNTIF(contact[[#This Row],[Bagossy]:[Szo
03:00 - 10:00]],"=x")</f>
        <v>0</v>
      </c>
      <c r="F2275" s="2">
        <f>SUM(contact[[#This Row],[?]:[x]])</f>
        <v>0</v>
      </c>
      <c r="G22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5" s="3" t="s">
        <v>4097</v>
      </c>
      <c r="K2275" s="1" t="s">
        <v>1095</v>
      </c>
      <c r="L2275" s="1" t="s">
        <v>2</v>
      </c>
      <c r="M2275" s="1" t="s">
        <v>2</v>
      </c>
      <c r="O2275" s="2"/>
      <c r="P2275" s="2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</row>
    <row r="2276" spans="1:32" s="1" customFormat="1" ht="20.25" customHeight="1" x14ac:dyDescent="0.25">
      <c r="A2276" s="2"/>
      <c r="B2276" s="2"/>
      <c r="C2276" s="2"/>
      <c r="D2276" s="2">
        <f>COUNTIF(contact[[#This Row],[Bagossy]:[Szo
03:00 - 10:00]],"=~?")</f>
        <v>0</v>
      </c>
      <c r="E2276" s="2">
        <f>COUNTIF(contact[[#This Row],[Bagossy]:[Szo
03:00 - 10:00]],"=x")</f>
        <v>0</v>
      </c>
      <c r="F2276" s="2">
        <f>SUM(contact[[#This Row],[?]:[x]])</f>
        <v>0</v>
      </c>
      <c r="G22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6" s="3" t="s">
        <v>1037</v>
      </c>
      <c r="K2276" s="1" t="s">
        <v>2</v>
      </c>
      <c r="L2276" s="1" t="s">
        <v>2</v>
      </c>
      <c r="M2276" s="1" t="s">
        <v>2</v>
      </c>
      <c r="O2276" s="2"/>
      <c r="P2276" s="2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</row>
    <row r="2277" spans="1:32" s="1" customFormat="1" ht="20.25" customHeight="1" x14ac:dyDescent="0.25">
      <c r="A2277" s="2"/>
      <c r="B2277" s="2"/>
      <c r="C2277" s="2"/>
      <c r="D2277" s="2">
        <f>COUNTIF(contact[[#This Row],[Bagossy]:[Szo
03:00 - 10:00]],"=~?")</f>
        <v>0</v>
      </c>
      <c r="E2277" s="2">
        <f>COUNTIF(contact[[#This Row],[Bagossy]:[Szo
03:00 - 10:00]],"=x")</f>
        <v>0</v>
      </c>
      <c r="F2277" s="2">
        <f>SUM(contact[[#This Row],[?]:[x]])</f>
        <v>0</v>
      </c>
      <c r="G22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7" s="3" t="s">
        <v>4237</v>
      </c>
      <c r="K2277" s="1" t="s">
        <v>1154</v>
      </c>
      <c r="L2277" s="1" t="s">
        <v>2</v>
      </c>
      <c r="M2277" s="1" t="s">
        <v>2</v>
      </c>
      <c r="O2277" s="2"/>
      <c r="P2277" s="2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</row>
    <row r="2278" spans="1:32" s="1" customFormat="1" ht="20.25" customHeight="1" x14ac:dyDescent="0.25">
      <c r="A2278" s="2"/>
      <c r="B2278" s="2"/>
      <c r="C2278" s="2"/>
      <c r="D2278" s="2">
        <f>COUNTIF(contact[[#This Row],[Bagossy]:[Szo
03:00 - 10:00]],"=~?")</f>
        <v>0</v>
      </c>
      <c r="E2278" s="2">
        <f>COUNTIF(contact[[#This Row],[Bagossy]:[Szo
03:00 - 10:00]],"=x")</f>
        <v>0</v>
      </c>
      <c r="F2278" s="2">
        <f>SUM(contact[[#This Row],[?]:[x]])</f>
        <v>0</v>
      </c>
      <c r="G22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8" s="3" t="s">
        <v>1038</v>
      </c>
      <c r="K2278" s="1" t="s">
        <v>2</v>
      </c>
      <c r="L2278" s="1" t="s">
        <v>2</v>
      </c>
      <c r="M2278" s="1" t="s">
        <v>2</v>
      </c>
      <c r="O2278" s="2"/>
      <c r="P2278" s="2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</row>
    <row r="2279" spans="1:32" s="1" customFormat="1" ht="20.25" customHeight="1" x14ac:dyDescent="0.25">
      <c r="A2279" s="2"/>
      <c r="B2279" s="2"/>
      <c r="C2279" s="2"/>
      <c r="D2279" s="2">
        <f>COUNTIF(contact[[#This Row],[Bagossy]:[Szo
03:00 - 10:00]],"=~?")</f>
        <v>0</v>
      </c>
      <c r="E2279" s="2">
        <f>COUNTIF(contact[[#This Row],[Bagossy]:[Szo
03:00 - 10:00]],"=x")</f>
        <v>0</v>
      </c>
      <c r="F2279" s="2">
        <f>SUM(contact[[#This Row],[?]:[x]])</f>
        <v>0</v>
      </c>
      <c r="G22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79" s="3" t="s">
        <v>2467</v>
      </c>
      <c r="K2279" s="1" t="s">
        <v>1416</v>
      </c>
      <c r="L2279" s="1" t="s">
        <v>2</v>
      </c>
      <c r="M2279" s="1" t="s">
        <v>2</v>
      </c>
      <c r="O2279" s="2"/>
      <c r="P2279" s="2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</row>
    <row r="2280" spans="1:32" s="1" customFormat="1" ht="20.25" customHeight="1" x14ac:dyDescent="0.25">
      <c r="A2280" s="2"/>
      <c r="B2280" s="2"/>
      <c r="C2280" s="2"/>
      <c r="D2280" s="2">
        <f>COUNTIF(contact[[#This Row],[Bagossy]:[Szo
03:00 - 10:00]],"=~?")</f>
        <v>0</v>
      </c>
      <c r="E2280" s="2">
        <f>COUNTIF(contact[[#This Row],[Bagossy]:[Szo
03:00 - 10:00]],"=x")</f>
        <v>0</v>
      </c>
      <c r="F2280" s="2">
        <f>SUM(contact[[#This Row],[?]:[x]])</f>
        <v>0</v>
      </c>
      <c r="G22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80" s="2"/>
      <c r="I2280" s="2"/>
      <c r="J2280" s="3" t="s">
        <v>3981</v>
      </c>
      <c r="K2280" s="1" t="s">
        <v>1296</v>
      </c>
      <c r="L2280" s="1" t="s">
        <v>2</v>
      </c>
      <c r="M2280" s="1" t="s">
        <v>2</v>
      </c>
      <c r="O2280" s="2"/>
      <c r="P2280" s="2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</row>
    <row r="2281" spans="1:32" s="1" customFormat="1" ht="20.25" customHeight="1" x14ac:dyDescent="0.25">
      <c r="A2281" s="2"/>
      <c r="B2281" s="2"/>
      <c r="C2281" s="2"/>
      <c r="D2281" s="2">
        <f>COUNTIF(contact[[#This Row],[Bagossy]:[Szo
03:00 - 10:00]],"=~?")</f>
        <v>0</v>
      </c>
      <c r="E2281" s="2">
        <f>COUNTIF(contact[[#This Row],[Bagossy]:[Szo
03:00 - 10:00]],"=x")</f>
        <v>0</v>
      </c>
      <c r="F2281" s="2">
        <f>SUM(contact[[#This Row],[?]:[x]])</f>
        <v>0</v>
      </c>
      <c r="G22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1" s="3" t="s">
        <v>4261</v>
      </c>
      <c r="K2281" s="1" t="s">
        <v>1163</v>
      </c>
      <c r="L2281" s="1" t="s">
        <v>2</v>
      </c>
      <c r="M2281" s="1" t="s">
        <v>2</v>
      </c>
      <c r="O2281" s="2"/>
      <c r="P2281" s="2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</row>
    <row r="2282" spans="1:32" s="1" customFormat="1" ht="20.25" customHeight="1" x14ac:dyDescent="0.25">
      <c r="A2282" s="2"/>
      <c r="B2282" s="2"/>
      <c r="C2282" s="2"/>
      <c r="D2282" s="2">
        <f>COUNTIF(contact[[#This Row],[Bagossy]:[Szo
03:00 - 10:00]],"=~?")</f>
        <v>0</v>
      </c>
      <c r="E2282" s="2">
        <f>COUNTIF(contact[[#This Row],[Bagossy]:[Szo
03:00 - 10:00]],"=x")</f>
        <v>0</v>
      </c>
      <c r="F2282" s="2">
        <f>SUM(contact[[#This Row],[?]:[x]])</f>
        <v>0</v>
      </c>
      <c r="G22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82" s="2"/>
      <c r="I2282" s="2"/>
      <c r="J2282" s="3" t="s">
        <v>3990</v>
      </c>
      <c r="K2282" s="1" t="s">
        <v>305</v>
      </c>
      <c r="L2282" s="1" t="s">
        <v>2</v>
      </c>
      <c r="M2282" s="1" t="s">
        <v>2</v>
      </c>
      <c r="O2282" s="2"/>
      <c r="P2282" s="2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</row>
    <row r="2283" spans="1:32" s="1" customFormat="1" ht="20.25" customHeight="1" x14ac:dyDescent="0.25">
      <c r="A2283" s="2"/>
      <c r="B2283" s="2"/>
      <c r="C2283" s="2"/>
      <c r="D2283" s="2">
        <f>COUNTIF(contact[[#This Row],[Bagossy]:[Szo
03:00 - 10:00]],"=~?")</f>
        <v>0</v>
      </c>
      <c r="E2283" s="2">
        <f>COUNTIF(contact[[#This Row],[Bagossy]:[Szo
03:00 - 10:00]],"=x")</f>
        <v>0</v>
      </c>
      <c r="F2283" s="2">
        <f>SUM(contact[[#This Row],[?]:[x]])</f>
        <v>0</v>
      </c>
      <c r="G22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3" s="3" t="s">
        <v>2731</v>
      </c>
      <c r="K2283" s="1" t="s">
        <v>467</v>
      </c>
      <c r="L2283" s="1" t="s">
        <v>2</v>
      </c>
      <c r="M2283" s="1" t="s">
        <v>2</v>
      </c>
      <c r="O2283" s="2"/>
      <c r="P2283" s="2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</row>
    <row r="2284" spans="1:32" s="1" customFormat="1" ht="20.25" customHeight="1" x14ac:dyDescent="0.25">
      <c r="A2284" s="2"/>
      <c r="B2284" s="2"/>
      <c r="C2284" s="2"/>
      <c r="D2284" s="2">
        <f>COUNTIF(contact[[#This Row],[Bagossy]:[Szo
03:00 - 10:00]],"=~?")</f>
        <v>0</v>
      </c>
      <c r="E2284" s="2">
        <f>COUNTIF(contact[[#This Row],[Bagossy]:[Szo
03:00 - 10:00]],"=x")</f>
        <v>0</v>
      </c>
      <c r="F2284" s="2">
        <f>SUM(contact[[#This Row],[?]:[x]])</f>
        <v>0</v>
      </c>
      <c r="G22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4" s="3" t="s">
        <v>2429</v>
      </c>
      <c r="K2284" s="1" t="s">
        <v>2</v>
      </c>
      <c r="L2284" s="1" t="s">
        <v>2</v>
      </c>
      <c r="M2284" s="1" t="s">
        <v>2</v>
      </c>
      <c r="O2284" s="2"/>
      <c r="P2284" s="2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</row>
    <row r="2285" spans="1:32" s="1" customFormat="1" ht="20.25" customHeight="1" x14ac:dyDescent="0.25">
      <c r="A2285" s="2"/>
      <c r="B2285" s="2"/>
      <c r="C2285" s="2"/>
      <c r="D2285" s="2">
        <f>COUNTIF(contact[[#This Row],[Bagossy]:[Szo
03:00 - 10:00]],"=~?")</f>
        <v>0</v>
      </c>
      <c r="E2285" s="2">
        <f>COUNTIF(contact[[#This Row],[Bagossy]:[Szo
03:00 - 10:00]],"=x")</f>
        <v>0</v>
      </c>
      <c r="F2285" s="2">
        <f>SUM(contact[[#This Row],[?]:[x]])</f>
        <v>0</v>
      </c>
      <c r="G22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5" s="3" t="s">
        <v>2419</v>
      </c>
      <c r="K2285" s="1" t="s">
        <v>296</v>
      </c>
      <c r="L2285" s="1" t="s">
        <v>2</v>
      </c>
      <c r="M2285" s="1" t="s">
        <v>2</v>
      </c>
      <c r="O2285" s="2"/>
      <c r="P2285" s="2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</row>
    <row r="2286" spans="1:32" s="1" customFormat="1" ht="20.25" customHeight="1" x14ac:dyDescent="0.25">
      <c r="A2286" s="2"/>
      <c r="B2286" s="2"/>
      <c r="C2286" s="2"/>
      <c r="D2286" s="2">
        <f>COUNTIF(contact[[#This Row],[Bagossy]:[Szo
03:00 - 10:00]],"=~?")</f>
        <v>0</v>
      </c>
      <c r="E2286" s="2">
        <f>COUNTIF(contact[[#This Row],[Bagossy]:[Szo
03:00 - 10:00]],"=x")</f>
        <v>0</v>
      </c>
      <c r="F2286" s="2">
        <f>SUM(contact[[#This Row],[?]:[x]])</f>
        <v>0</v>
      </c>
      <c r="G22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6" s="3" t="s">
        <v>4303</v>
      </c>
      <c r="K2286" s="1" t="s">
        <v>2</v>
      </c>
      <c r="L2286" s="1" t="s">
        <v>2</v>
      </c>
      <c r="M2286" s="1" t="s">
        <v>2</v>
      </c>
      <c r="O2286" s="2"/>
      <c r="P2286" s="2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</row>
    <row r="2287" spans="1:32" s="1" customFormat="1" ht="20.25" customHeight="1" x14ac:dyDescent="0.25">
      <c r="A2287" s="2"/>
      <c r="B2287" s="2"/>
      <c r="C2287" s="2"/>
      <c r="D2287" s="2">
        <f>COUNTIF(contact[[#This Row],[Bagossy]:[Szo
03:00 - 10:00]],"=~?")</f>
        <v>0</v>
      </c>
      <c r="E2287" s="2">
        <f>COUNTIF(contact[[#This Row],[Bagossy]:[Szo
03:00 - 10:00]],"=x")</f>
        <v>0</v>
      </c>
      <c r="F2287" s="2">
        <f>SUM(contact[[#This Row],[?]:[x]])</f>
        <v>0</v>
      </c>
      <c r="G22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7" s="3" t="s">
        <v>1050</v>
      </c>
      <c r="K2287" s="1" t="s">
        <v>2</v>
      </c>
      <c r="L2287" s="1" t="s">
        <v>2</v>
      </c>
      <c r="M2287" s="1" t="s">
        <v>2</v>
      </c>
      <c r="O2287" s="2"/>
      <c r="P2287" s="2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</row>
    <row r="2288" spans="1:32" s="1" customFormat="1" ht="20.25" customHeight="1" x14ac:dyDescent="0.25">
      <c r="A2288" s="2"/>
      <c r="B2288" s="2"/>
      <c r="C2288" s="2"/>
      <c r="D2288" s="2">
        <f>COUNTIF(contact[[#This Row],[Bagossy]:[Szo
03:00 - 10:00]],"=~?")</f>
        <v>0</v>
      </c>
      <c r="E2288" s="2">
        <f>COUNTIF(contact[[#This Row],[Bagossy]:[Szo
03:00 - 10:00]],"=x")</f>
        <v>0</v>
      </c>
      <c r="F2288" s="2">
        <f>SUM(contact[[#This Row],[?]:[x]])</f>
        <v>0</v>
      </c>
      <c r="G22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88" s="2"/>
      <c r="I2288" s="2"/>
      <c r="J2288" s="3" t="s">
        <v>3992</v>
      </c>
      <c r="K2288" s="1" t="s">
        <v>1596</v>
      </c>
      <c r="L2288" s="1" t="s">
        <v>2</v>
      </c>
      <c r="M2288" s="1" t="s">
        <v>2</v>
      </c>
      <c r="O2288" s="2"/>
      <c r="P2288" s="2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</row>
    <row r="2289" spans="1:32" s="1" customFormat="1" ht="20.25" customHeight="1" x14ac:dyDescent="0.25">
      <c r="A2289" s="2"/>
      <c r="B2289" s="2"/>
      <c r="C2289" s="2"/>
      <c r="D2289" s="2">
        <f>COUNTIF(contact[[#This Row],[Bagossy]:[Szo
03:00 - 10:00]],"=~?")</f>
        <v>0</v>
      </c>
      <c r="E2289" s="2">
        <f>COUNTIF(contact[[#This Row],[Bagossy]:[Szo
03:00 - 10:00]],"=x")</f>
        <v>0</v>
      </c>
      <c r="F2289" s="2">
        <f>SUM(contact[[#This Row],[?]:[x]])</f>
        <v>0</v>
      </c>
      <c r="G22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89" s="3" t="s">
        <v>4060</v>
      </c>
      <c r="K2289" s="1" t="s">
        <v>1772</v>
      </c>
      <c r="L2289" s="1" t="s">
        <v>2</v>
      </c>
      <c r="M2289" s="1" t="s">
        <v>2</v>
      </c>
      <c r="O2289" s="2"/>
      <c r="P2289" s="2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</row>
    <row r="2290" spans="1:32" s="1" customFormat="1" ht="20.25" customHeight="1" x14ac:dyDescent="0.25">
      <c r="A2290" s="2"/>
      <c r="B2290" s="2"/>
      <c r="C2290" s="2"/>
      <c r="D2290" s="2">
        <f>COUNTIF(contact[[#This Row],[Bagossy]:[Szo
03:00 - 10:00]],"=~?")</f>
        <v>0</v>
      </c>
      <c r="E2290" s="2">
        <f>COUNTIF(contact[[#This Row],[Bagossy]:[Szo
03:00 - 10:00]],"=x")</f>
        <v>0</v>
      </c>
      <c r="F2290" s="2">
        <f>SUM(contact[[#This Row],[?]:[x]])</f>
        <v>0</v>
      </c>
      <c r="G22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0" s="3" t="s">
        <v>2200</v>
      </c>
      <c r="K2290" s="1" t="s">
        <v>2</v>
      </c>
      <c r="L2290" s="1" t="s">
        <v>2</v>
      </c>
      <c r="M2290" s="1" t="s">
        <v>2</v>
      </c>
      <c r="O2290" s="2"/>
      <c r="P2290" s="2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</row>
    <row r="2291" spans="1:32" s="1" customFormat="1" ht="20.25" customHeight="1" x14ac:dyDescent="0.25">
      <c r="A2291" s="2"/>
      <c r="B2291" s="2"/>
      <c r="C2291" s="2"/>
      <c r="D2291" s="2">
        <f>COUNTIF(contact[[#This Row],[Bagossy]:[Szo
03:00 - 10:00]],"=~?")</f>
        <v>0</v>
      </c>
      <c r="E2291" s="2">
        <f>COUNTIF(contact[[#This Row],[Bagossy]:[Szo
03:00 - 10:00]],"=x")</f>
        <v>0</v>
      </c>
      <c r="F2291" s="2">
        <f>SUM(contact[[#This Row],[?]:[x]])</f>
        <v>0</v>
      </c>
      <c r="G22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1" s="3" t="s">
        <v>3314</v>
      </c>
      <c r="K2291" s="1" t="s">
        <v>743</v>
      </c>
      <c r="L2291" s="1" t="s">
        <v>2</v>
      </c>
      <c r="M2291" s="1" t="s">
        <v>2</v>
      </c>
      <c r="O2291" s="2"/>
      <c r="P2291" s="2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</row>
    <row r="2292" spans="1:32" s="1" customFormat="1" ht="20.25" customHeight="1" x14ac:dyDescent="0.25">
      <c r="A2292" s="2"/>
      <c r="B2292" s="2"/>
      <c r="C2292" s="2"/>
      <c r="D2292" s="2">
        <f>COUNTIF(contact[[#This Row],[Bagossy]:[Szo
03:00 - 10:00]],"=~?")</f>
        <v>0</v>
      </c>
      <c r="E2292" s="2">
        <f>COUNTIF(contact[[#This Row],[Bagossy]:[Szo
03:00 - 10:00]],"=x")</f>
        <v>0</v>
      </c>
      <c r="F2292" s="2">
        <f>SUM(contact[[#This Row],[?]:[x]])</f>
        <v>0</v>
      </c>
      <c r="G22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292" s="2"/>
      <c r="I2292" s="2"/>
      <c r="J2292" s="3" t="s">
        <v>3995</v>
      </c>
      <c r="K2292" s="1" t="s">
        <v>1058</v>
      </c>
      <c r="L2292" s="1" t="s">
        <v>2</v>
      </c>
      <c r="M2292" s="1" t="s">
        <v>2</v>
      </c>
      <c r="O2292" s="2"/>
      <c r="P2292" s="2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</row>
    <row r="2293" spans="1:32" s="1" customFormat="1" ht="20.25" customHeight="1" x14ac:dyDescent="0.25">
      <c r="A2293" s="2"/>
      <c r="B2293" s="2"/>
      <c r="C2293" s="2"/>
      <c r="D2293" s="2">
        <f>COUNTIF(contact[[#This Row],[Bagossy]:[Szo
03:00 - 10:00]],"=~?")</f>
        <v>0</v>
      </c>
      <c r="E2293" s="2">
        <f>COUNTIF(contact[[#This Row],[Bagossy]:[Szo
03:00 - 10:00]],"=x")</f>
        <v>0</v>
      </c>
      <c r="F2293" s="2">
        <f>SUM(contact[[#This Row],[?]:[x]])</f>
        <v>0</v>
      </c>
      <c r="G22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3" s="3" t="s">
        <v>2201</v>
      </c>
      <c r="K2293" s="1" t="s">
        <v>171</v>
      </c>
      <c r="L2293" s="1" t="s">
        <v>2</v>
      </c>
      <c r="M2293" s="1" t="s">
        <v>2</v>
      </c>
      <c r="O2293" s="2"/>
      <c r="P2293" s="2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</row>
    <row r="2294" spans="1:32" s="1" customFormat="1" ht="20.25" customHeight="1" x14ac:dyDescent="0.25">
      <c r="A2294" s="2"/>
      <c r="B2294" s="2"/>
      <c r="C2294" s="2"/>
      <c r="D2294" s="2">
        <f>COUNTIF(contact[[#This Row],[Bagossy]:[Szo
03:00 - 10:00]],"=~?")</f>
        <v>0</v>
      </c>
      <c r="E2294" s="2">
        <f>COUNTIF(contact[[#This Row],[Bagossy]:[Szo
03:00 - 10:00]],"=x")</f>
        <v>0</v>
      </c>
      <c r="F2294" s="2">
        <f>SUM(contact[[#This Row],[?]:[x]])</f>
        <v>0</v>
      </c>
      <c r="G22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4" s="3" t="s">
        <v>1053</v>
      </c>
      <c r="K2294" s="1" t="s">
        <v>2</v>
      </c>
      <c r="L2294" s="1" t="s">
        <v>2</v>
      </c>
      <c r="M2294" s="1" t="s">
        <v>2</v>
      </c>
      <c r="O2294" s="2"/>
      <c r="P2294" s="2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</row>
    <row r="2295" spans="1:32" s="1" customFormat="1" ht="20.25" customHeight="1" x14ac:dyDescent="0.25">
      <c r="A2295" s="2"/>
      <c r="B2295" s="2"/>
      <c r="C2295" s="2"/>
      <c r="D2295" s="2">
        <f>COUNTIF(contact[[#This Row],[Bagossy]:[Szo
03:00 - 10:00]],"=~?")</f>
        <v>0</v>
      </c>
      <c r="E2295" s="2">
        <f>COUNTIF(contact[[#This Row],[Bagossy]:[Szo
03:00 - 10:00]],"=x")</f>
        <v>0</v>
      </c>
      <c r="F2295" s="2">
        <f>SUM(contact[[#This Row],[?]:[x]])</f>
        <v>0</v>
      </c>
      <c r="G22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5" s="3" t="s">
        <v>3758</v>
      </c>
      <c r="K2295" s="1" t="s">
        <v>928</v>
      </c>
      <c r="L2295" s="1" t="s">
        <v>2</v>
      </c>
      <c r="M2295" s="1" t="s">
        <v>2</v>
      </c>
      <c r="O2295" s="2"/>
      <c r="P2295" s="2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</row>
    <row r="2296" spans="1:32" s="1" customFormat="1" ht="20.25" customHeight="1" x14ac:dyDescent="0.25">
      <c r="A2296" s="2"/>
      <c r="B2296" s="2"/>
      <c r="C2296" s="2"/>
      <c r="D2296" s="2">
        <f>COUNTIF(contact[[#This Row],[Bagossy]:[Szo
03:00 - 10:00]],"=~?")</f>
        <v>0</v>
      </c>
      <c r="E2296" s="2">
        <f>COUNTIF(contact[[#This Row],[Bagossy]:[Szo
03:00 - 10:00]],"=x")</f>
        <v>0</v>
      </c>
      <c r="F2296" s="2">
        <f>SUM(contact[[#This Row],[?]:[x]])</f>
        <v>0</v>
      </c>
      <c r="G22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6" s="3" t="s">
        <v>2762</v>
      </c>
      <c r="K2296" s="1" t="s">
        <v>2</v>
      </c>
      <c r="L2296" s="1" t="s">
        <v>2</v>
      </c>
      <c r="M2296" s="1" t="s">
        <v>2</v>
      </c>
      <c r="O2296" s="2"/>
      <c r="P2296" s="2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</row>
    <row r="2297" spans="1:32" s="1" customFormat="1" ht="20.25" customHeight="1" x14ac:dyDescent="0.25">
      <c r="A2297" s="2"/>
      <c r="B2297" s="2"/>
      <c r="C2297" s="2"/>
      <c r="D2297" s="2">
        <f>COUNTIF(contact[[#This Row],[Bagossy]:[Szo
03:00 - 10:00]],"=~?")</f>
        <v>0</v>
      </c>
      <c r="E2297" s="2">
        <f>COUNTIF(contact[[#This Row],[Bagossy]:[Szo
03:00 - 10:00]],"=x")</f>
        <v>0</v>
      </c>
      <c r="F2297" s="2">
        <f>SUM(contact[[#This Row],[?]:[x]])</f>
        <v>0</v>
      </c>
      <c r="G22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7" s="3" t="s">
        <v>3812</v>
      </c>
      <c r="K2297" s="1" t="s">
        <v>1719</v>
      </c>
      <c r="L2297" s="1" t="s">
        <v>2</v>
      </c>
      <c r="M2297" s="1" t="s">
        <v>2</v>
      </c>
      <c r="O2297" s="2"/>
      <c r="P2297" s="2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</row>
    <row r="2298" spans="1:32" s="1" customFormat="1" ht="20.25" customHeight="1" x14ac:dyDescent="0.25">
      <c r="A2298" s="2"/>
      <c r="B2298" s="2"/>
      <c r="C2298" s="2"/>
      <c r="D2298" s="2">
        <f>COUNTIF(contact[[#This Row],[Bagossy]:[Szo
03:00 - 10:00]],"=~?")</f>
        <v>0</v>
      </c>
      <c r="E2298" s="2">
        <f>COUNTIF(contact[[#This Row],[Bagossy]:[Szo
03:00 - 10:00]],"=x")</f>
        <v>0</v>
      </c>
      <c r="F2298" s="2">
        <f>SUM(contact[[#This Row],[?]:[x]])</f>
        <v>0</v>
      </c>
      <c r="G22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8" s="3" t="s">
        <v>3967</v>
      </c>
      <c r="K2298" s="1" t="s">
        <v>2</v>
      </c>
      <c r="L2298" s="1" t="s">
        <v>2</v>
      </c>
      <c r="M2298" s="1" t="s">
        <v>2</v>
      </c>
      <c r="O2298" s="2"/>
      <c r="P2298" s="2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</row>
    <row r="2299" spans="1:32" s="1" customFormat="1" ht="20.25" customHeight="1" x14ac:dyDescent="0.25">
      <c r="A2299" s="2"/>
      <c r="B2299" s="2"/>
      <c r="C2299" s="2"/>
      <c r="D2299" s="2">
        <f>COUNTIF(contact[[#This Row],[Bagossy]:[Szo
03:00 - 10:00]],"=~?")</f>
        <v>0</v>
      </c>
      <c r="E2299" s="2">
        <f>COUNTIF(contact[[#This Row],[Bagossy]:[Szo
03:00 - 10:00]],"=x")</f>
        <v>0</v>
      </c>
      <c r="F2299" s="2">
        <f>SUM(contact[[#This Row],[?]:[x]])</f>
        <v>0</v>
      </c>
      <c r="G22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299" s="3" t="s">
        <v>1059</v>
      </c>
      <c r="K2299" s="1" t="s">
        <v>2</v>
      </c>
      <c r="L2299" s="1" t="s">
        <v>2</v>
      </c>
      <c r="M2299" s="1" t="s">
        <v>2</v>
      </c>
      <c r="O2299" s="2"/>
      <c r="P2299" s="2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</row>
    <row r="2300" spans="1:32" s="1" customFormat="1" ht="20.25" customHeight="1" x14ac:dyDescent="0.25">
      <c r="A2300" s="2"/>
      <c r="B2300" s="2"/>
      <c r="C2300" s="2"/>
      <c r="D2300" s="2">
        <f>COUNTIF(contact[[#This Row],[Bagossy]:[Szo
03:00 - 10:00]],"=~?")</f>
        <v>0</v>
      </c>
      <c r="E2300" s="2">
        <f>COUNTIF(contact[[#This Row],[Bagossy]:[Szo
03:00 - 10:00]],"=x")</f>
        <v>0</v>
      </c>
      <c r="F2300" s="2">
        <f>SUM(contact[[#This Row],[?]:[x]])</f>
        <v>0</v>
      </c>
      <c r="G23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0" s="3" t="s">
        <v>2161</v>
      </c>
      <c r="K2300" s="1" t="s">
        <v>1353</v>
      </c>
      <c r="L2300" s="1" t="s">
        <v>2</v>
      </c>
      <c r="M2300" s="1" t="s">
        <v>2</v>
      </c>
      <c r="O2300" s="2"/>
      <c r="P2300" s="2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</row>
    <row r="2301" spans="1:32" s="1" customFormat="1" ht="20.25" customHeight="1" x14ac:dyDescent="0.25">
      <c r="A2301" s="2"/>
      <c r="B2301" s="2"/>
      <c r="C2301" s="2"/>
      <c r="D2301" s="2">
        <f>COUNTIF(contact[[#This Row],[Bagossy]:[Szo
03:00 - 10:00]],"=~?")</f>
        <v>0</v>
      </c>
      <c r="E2301" s="2">
        <f>COUNTIF(contact[[#This Row],[Bagossy]:[Szo
03:00 - 10:00]],"=x")</f>
        <v>0</v>
      </c>
      <c r="F2301" s="2">
        <f>SUM(contact[[#This Row],[?]:[x]])</f>
        <v>0</v>
      </c>
      <c r="G23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1" s="3" t="s">
        <v>2972</v>
      </c>
      <c r="K2301" s="1" t="s">
        <v>2</v>
      </c>
      <c r="L2301" s="1" t="s">
        <v>2</v>
      </c>
      <c r="M2301" s="1" t="s">
        <v>2</v>
      </c>
      <c r="O2301" s="2"/>
      <c r="P2301" s="2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</row>
    <row r="2302" spans="1:32" s="1" customFormat="1" ht="20.25" customHeight="1" x14ac:dyDescent="0.25">
      <c r="A2302" s="2"/>
      <c r="B2302" s="2"/>
      <c r="C2302" s="2"/>
      <c r="D2302" s="2">
        <f>COUNTIF(contact[[#This Row],[Bagossy]:[Szo
03:00 - 10:00]],"=~?")</f>
        <v>0</v>
      </c>
      <c r="E2302" s="2">
        <f>COUNTIF(contact[[#This Row],[Bagossy]:[Szo
03:00 - 10:00]],"=x")</f>
        <v>0</v>
      </c>
      <c r="F2302" s="2">
        <f>SUM(contact[[#This Row],[?]:[x]])</f>
        <v>0</v>
      </c>
      <c r="G23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2" s="3" t="s">
        <v>3958</v>
      </c>
      <c r="K2302" s="1" t="s">
        <v>1746</v>
      </c>
      <c r="L2302" s="1" t="s">
        <v>2</v>
      </c>
      <c r="M2302" s="1" t="s">
        <v>2</v>
      </c>
      <c r="O2302" s="2"/>
      <c r="P2302" s="2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</row>
    <row r="2303" spans="1:32" s="1" customFormat="1" ht="20.25" customHeight="1" x14ac:dyDescent="0.25">
      <c r="A2303" s="2"/>
      <c r="B2303" s="2"/>
      <c r="C2303" s="2"/>
      <c r="D2303" s="2">
        <f>COUNTIF(contact[[#This Row],[Bagossy]:[Szo
03:00 - 10:00]],"=~?")</f>
        <v>0</v>
      </c>
      <c r="E2303" s="2">
        <f>COUNTIF(contact[[#This Row],[Bagossy]:[Szo
03:00 - 10:00]],"=x")</f>
        <v>0</v>
      </c>
      <c r="F2303" s="2">
        <f>SUM(contact[[#This Row],[?]:[x]])</f>
        <v>0</v>
      </c>
      <c r="G23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3" s="3" t="s">
        <v>408</v>
      </c>
      <c r="K2303" s="1" t="s">
        <v>2</v>
      </c>
      <c r="L2303" s="1" t="s">
        <v>2</v>
      </c>
      <c r="M2303" s="1" t="s">
        <v>2</v>
      </c>
      <c r="O2303" s="2"/>
      <c r="P2303" s="2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</row>
    <row r="2304" spans="1:32" s="1" customFormat="1" ht="20.25" customHeight="1" x14ac:dyDescent="0.25">
      <c r="A2304" s="2"/>
      <c r="B2304" s="2"/>
      <c r="C2304" s="2"/>
      <c r="D2304" s="2">
        <f>COUNTIF(contact[[#This Row],[Bagossy]:[Szo
03:00 - 10:00]],"=~?")</f>
        <v>0</v>
      </c>
      <c r="E2304" s="2">
        <f>COUNTIF(contact[[#This Row],[Bagossy]:[Szo
03:00 - 10:00]],"=x")</f>
        <v>0</v>
      </c>
      <c r="F2304" s="2">
        <f>SUM(contact[[#This Row],[?]:[x]])</f>
        <v>0</v>
      </c>
      <c r="G23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4" s="3" t="s">
        <v>2610</v>
      </c>
      <c r="K2304" s="1" t="s">
        <v>409</v>
      </c>
      <c r="L2304" s="1" t="s">
        <v>2</v>
      </c>
      <c r="M2304" s="1" t="s">
        <v>2</v>
      </c>
      <c r="O2304" s="2"/>
      <c r="P2304" s="2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</row>
    <row r="2305" spans="1:32" s="1" customFormat="1" ht="20.25" customHeight="1" x14ac:dyDescent="0.25">
      <c r="A2305" s="2"/>
      <c r="B2305" s="2"/>
      <c r="C2305" s="2" t="s">
        <v>1285</v>
      </c>
      <c r="D2305" s="2">
        <f>COUNTIF(contact[[#This Row],[Bagossy]:[Szo
03:00 - 10:00]],"=~?")</f>
        <v>0</v>
      </c>
      <c r="E2305" s="2">
        <f>COUNTIF(contact[[#This Row],[Bagossy]:[Szo
03:00 - 10:00]],"=x")</f>
        <v>0</v>
      </c>
      <c r="F2305" s="2">
        <f>SUM(contact[[#This Row],[?]:[x]])</f>
        <v>0</v>
      </c>
      <c r="G23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05" s="2"/>
      <c r="I2305" s="2"/>
      <c r="J2305" s="3" t="s">
        <v>3996</v>
      </c>
      <c r="K2305" s="1" t="s">
        <v>808</v>
      </c>
      <c r="L2305" s="1" t="s">
        <v>2</v>
      </c>
      <c r="M2305" s="1" t="s">
        <v>2</v>
      </c>
      <c r="O2305" s="2"/>
      <c r="P2305" s="2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</row>
    <row r="2306" spans="1:32" s="1" customFormat="1" ht="20.25" customHeight="1" x14ac:dyDescent="0.25">
      <c r="A2306" s="2"/>
      <c r="B2306" s="2"/>
      <c r="C2306" s="2"/>
      <c r="D2306" s="2">
        <f>COUNTIF(contact[[#This Row],[Bagossy]:[Szo
03:00 - 10:00]],"=~?")</f>
        <v>0</v>
      </c>
      <c r="E2306" s="2">
        <f>COUNTIF(contact[[#This Row],[Bagossy]:[Szo
03:00 - 10:00]],"=x")</f>
        <v>0</v>
      </c>
      <c r="F2306" s="2">
        <f>SUM(contact[[#This Row],[?]:[x]])</f>
        <v>0</v>
      </c>
      <c r="G23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6" s="3" t="s">
        <v>4329</v>
      </c>
      <c r="K2306" s="1" t="s">
        <v>1193</v>
      </c>
      <c r="L2306" s="1" t="s">
        <v>2</v>
      </c>
      <c r="M2306" s="1" t="s">
        <v>2</v>
      </c>
      <c r="O2306" s="2"/>
      <c r="P2306" s="2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</row>
    <row r="2307" spans="1:32" s="1" customFormat="1" ht="20.25" customHeight="1" x14ac:dyDescent="0.25">
      <c r="A2307" s="2"/>
      <c r="B2307" s="2"/>
      <c r="C2307" s="2"/>
      <c r="D2307" s="2">
        <f>COUNTIF(contact[[#This Row],[Bagossy]:[Szo
03:00 - 10:00]],"=~?")</f>
        <v>0</v>
      </c>
      <c r="E2307" s="2">
        <f>COUNTIF(contact[[#This Row],[Bagossy]:[Szo
03:00 - 10:00]],"=x")</f>
        <v>0</v>
      </c>
      <c r="F2307" s="2">
        <f>SUM(contact[[#This Row],[?]:[x]])</f>
        <v>0</v>
      </c>
      <c r="G23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07" s="2"/>
      <c r="I2307" s="2"/>
      <c r="J2307" s="3" t="s">
        <v>3997</v>
      </c>
      <c r="K2307" s="1" t="s">
        <v>6</v>
      </c>
      <c r="L2307" s="1" t="s">
        <v>2</v>
      </c>
      <c r="M2307" s="1" t="s">
        <v>2</v>
      </c>
      <c r="O2307" s="2"/>
      <c r="P2307" s="2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</row>
    <row r="2308" spans="1:32" s="1" customFormat="1" ht="20.25" customHeight="1" x14ac:dyDescent="0.25">
      <c r="A2308" s="2"/>
      <c r="B2308" s="2"/>
      <c r="C2308" s="2"/>
      <c r="D2308" s="2">
        <f>COUNTIF(contact[[#This Row],[Bagossy]:[Szo
03:00 - 10:00]],"=~?")</f>
        <v>0</v>
      </c>
      <c r="E2308" s="2">
        <f>COUNTIF(contact[[#This Row],[Bagossy]:[Szo
03:00 - 10:00]],"=x")</f>
        <v>0</v>
      </c>
      <c r="F2308" s="2">
        <f>SUM(contact[[#This Row],[?]:[x]])</f>
        <v>0</v>
      </c>
      <c r="G23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8" s="3" t="s">
        <v>2468</v>
      </c>
      <c r="K2308" s="1" t="s">
        <v>2</v>
      </c>
      <c r="L2308" s="1" t="s">
        <v>2</v>
      </c>
      <c r="M2308" s="1" t="s">
        <v>2</v>
      </c>
      <c r="O2308" s="2"/>
      <c r="P2308" s="2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</row>
    <row r="2309" spans="1:32" s="1" customFormat="1" ht="20.25" customHeight="1" x14ac:dyDescent="0.25">
      <c r="A2309" s="2"/>
      <c r="B2309" s="2"/>
      <c r="C2309" s="2"/>
      <c r="D2309" s="2">
        <f>COUNTIF(contact[[#This Row],[Bagossy]:[Szo
03:00 - 10:00]],"=~?")</f>
        <v>0</v>
      </c>
      <c r="E2309" s="2">
        <f>COUNTIF(contact[[#This Row],[Bagossy]:[Szo
03:00 - 10:00]],"=x")</f>
        <v>0</v>
      </c>
      <c r="F2309" s="2">
        <f>SUM(contact[[#This Row],[?]:[x]])</f>
        <v>0</v>
      </c>
      <c r="G23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09" s="3" t="s">
        <v>2875</v>
      </c>
      <c r="K2309" s="1" t="s">
        <v>1327</v>
      </c>
      <c r="L2309" s="1" t="s">
        <v>2</v>
      </c>
      <c r="M2309" s="1" t="s">
        <v>2</v>
      </c>
      <c r="O2309" s="2"/>
      <c r="P2309" s="2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</row>
    <row r="2310" spans="1:32" s="1" customFormat="1" ht="20.25" customHeight="1" x14ac:dyDescent="0.25">
      <c r="A2310" s="2" t="s">
        <v>1285</v>
      </c>
      <c r="B2310" s="2" t="s">
        <v>1285</v>
      </c>
      <c r="C2310" s="2" t="s">
        <v>1285</v>
      </c>
      <c r="D2310" s="2">
        <f>COUNTIF(contact[[#This Row],[Bagossy]:[Szo
03:00 - 10:00]],"=~?")</f>
        <v>0</v>
      </c>
      <c r="E2310" s="2">
        <f>COUNTIF(contact[[#This Row],[Bagossy]:[Szo
03:00 - 10:00]],"=x")</f>
        <v>7</v>
      </c>
      <c r="F2310" s="2">
        <f>SUM(contact[[#This Row],[?]:[x]])</f>
        <v>7</v>
      </c>
      <c r="G2310" s="2">
        <f>COUNTIF(contact[[#This Row],[Sze
10:00 - 22:00]:[Cs
03:00 - 08:00]],"=x")+COUNTIF(contact[[#This Row],[P
08:00 - 12:00]:[P
03:00 - 08:00]],"=x")+COUNTIF(contact[[#This Row],[Szo
08:00 - 12:00]:[Szo
03:00 - 10:00]],"=x")</f>
        <v>7</v>
      </c>
      <c r="H2310" s="1" t="s">
        <v>4620</v>
      </c>
      <c r="J2310" s="3" t="s">
        <v>4630</v>
      </c>
      <c r="K2310" s="1" t="s">
        <v>4629</v>
      </c>
      <c r="O2310" s="2"/>
      <c r="P2310" s="2"/>
      <c r="Q2310" s="6" t="s">
        <v>1285</v>
      </c>
      <c r="R2310" s="6"/>
      <c r="S2310" s="6"/>
      <c r="T2310" s="6" t="s">
        <v>1285</v>
      </c>
      <c r="U2310" s="6" t="s">
        <v>1285</v>
      </c>
      <c r="V2310" s="6"/>
      <c r="W2310" s="6"/>
      <c r="X2310" s="6"/>
      <c r="Y2310" s="6" t="s">
        <v>1285</v>
      </c>
      <c r="Z2310" s="6" t="s">
        <v>1285</v>
      </c>
      <c r="AA2310" s="6"/>
      <c r="AB2310" s="6"/>
      <c r="AC2310" s="6"/>
      <c r="AD2310" s="6" t="s">
        <v>1285</v>
      </c>
      <c r="AE2310" s="6" t="s">
        <v>1285</v>
      </c>
      <c r="AF2310" s="6"/>
    </row>
    <row r="2311" spans="1:32" s="1" customFormat="1" ht="20.25" customHeight="1" x14ac:dyDescent="0.25">
      <c r="A2311" s="2"/>
      <c r="B2311" s="2"/>
      <c r="C2311" s="2"/>
      <c r="D2311" s="2">
        <f>COUNTIF(contact[[#This Row],[Bagossy]:[Szo
03:00 - 10:00]],"=~?")</f>
        <v>0</v>
      </c>
      <c r="E2311" s="2">
        <f>COUNTIF(contact[[#This Row],[Bagossy]:[Szo
03:00 - 10:00]],"=x")</f>
        <v>0</v>
      </c>
      <c r="F2311" s="2">
        <f>SUM(contact[[#This Row],[?]:[x]])</f>
        <v>0</v>
      </c>
      <c r="G23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1" s="3" t="s">
        <v>1077</v>
      </c>
      <c r="K2311" s="1" t="s">
        <v>2</v>
      </c>
      <c r="L2311" s="1" t="s">
        <v>2</v>
      </c>
      <c r="M2311" s="1" t="s">
        <v>2</v>
      </c>
      <c r="O2311" s="2"/>
      <c r="P2311" s="2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</row>
    <row r="2312" spans="1:32" s="1" customFormat="1" ht="20.25" customHeight="1" x14ac:dyDescent="0.25">
      <c r="A2312" s="2"/>
      <c r="B2312" s="2"/>
      <c r="C2312" s="2"/>
      <c r="D2312" s="2">
        <f>COUNTIF(contact[[#This Row],[Bagossy]:[Szo
03:00 - 10:00]],"=~?")</f>
        <v>0</v>
      </c>
      <c r="E2312" s="2">
        <f>COUNTIF(contact[[#This Row],[Bagossy]:[Szo
03:00 - 10:00]],"=x")</f>
        <v>0</v>
      </c>
      <c r="F2312" s="2">
        <f>SUM(contact[[#This Row],[?]:[x]])</f>
        <v>0</v>
      </c>
      <c r="G23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2" s="3" t="s">
        <v>1976</v>
      </c>
      <c r="K2312" s="1" t="s">
        <v>1304</v>
      </c>
      <c r="L2312" s="1" t="s">
        <v>2</v>
      </c>
      <c r="M2312" s="1" t="s">
        <v>2</v>
      </c>
      <c r="O2312" s="2"/>
      <c r="P2312" s="2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</row>
    <row r="2313" spans="1:32" s="1" customFormat="1" ht="20.25" customHeight="1" x14ac:dyDescent="0.25">
      <c r="A2313" s="2"/>
      <c r="B2313" s="2"/>
      <c r="C2313" s="2"/>
      <c r="D2313" s="2">
        <f>COUNTIF(contact[[#This Row],[Bagossy]:[Szo
03:00 - 10:00]],"=~?")</f>
        <v>0</v>
      </c>
      <c r="E2313" s="2">
        <f>COUNTIF(contact[[#This Row],[Bagossy]:[Szo
03:00 - 10:00]],"=x")</f>
        <v>0</v>
      </c>
      <c r="F2313" s="2">
        <f>SUM(contact[[#This Row],[?]:[x]])</f>
        <v>0</v>
      </c>
      <c r="G23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3" s="3" t="s">
        <v>4034</v>
      </c>
      <c r="K2313" s="1" t="s">
        <v>1072</v>
      </c>
      <c r="L2313" s="1" t="s">
        <v>2</v>
      </c>
      <c r="M2313" s="1" t="s">
        <v>2</v>
      </c>
      <c r="O2313" s="2"/>
      <c r="P2313" s="2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</row>
    <row r="2314" spans="1:32" s="1" customFormat="1" ht="20.25" customHeight="1" x14ac:dyDescent="0.25">
      <c r="A2314" s="2"/>
      <c r="B2314" s="2"/>
      <c r="C2314" s="2"/>
      <c r="D2314" s="2">
        <f>COUNTIF(contact[[#This Row],[Bagossy]:[Szo
03:00 - 10:00]],"=~?")</f>
        <v>0</v>
      </c>
      <c r="E2314" s="2">
        <f>COUNTIF(contact[[#This Row],[Bagossy]:[Szo
03:00 - 10:00]],"=x")</f>
        <v>0</v>
      </c>
      <c r="F2314" s="2">
        <f>SUM(contact[[#This Row],[?]:[x]])</f>
        <v>0</v>
      </c>
      <c r="G23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4" s="3" t="s">
        <v>4482</v>
      </c>
      <c r="K2314" s="1" t="s">
        <v>1327</v>
      </c>
      <c r="L2314" s="1" t="s">
        <v>2</v>
      </c>
      <c r="M2314" s="1" t="s">
        <v>2</v>
      </c>
      <c r="O2314" s="2"/>
      <c r="P2314" s="2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</row>
    <row r="2315" spans="1:32" s="1" customFormat="1" ht="20.25" customHeight="1" x14ac:dyDescent="0.25">
      <c r="A2315" s="2"/>
      <c r="B2315" s="2"/>
      <c r="C2315" s="2"/>
      <c r="D2315" s="2">
        <f>COUNTIF(contact[[#This Row],[Bagossy]:[Szo
03:00 - 10:00]],"=~?")</f>
        <v>0</v>
      </c>
      <c r="E2315" s="2">
        <f>COUNTIF(contact[[#This Row],[Bagossy]:[Szo
03:00 - 10:00]],"=x")</f>
        <v>0</v>
      </c>
      <c r="F2315" s="2">
        <f>SUM(contact[[#This Row],[?]:[x]])</f>
        <v>0</v>
      </c>
      <c r="G23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5" s="3" t="s">
        <v>3483</v>
      </c>
      <c r="K2315" s="1" t="s">
        <v>809</v>
      </c>
      <c r="L2315" s="1" t="s">
        <v>2</v>
      </c>
      <c r="M2315" s="1" t="s">
        <v>2</v>
      </c>
      <c r="O2315" s="2"/>
      <c r="P2315" s="2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</row>
    <row r="2316" spans="1:32" s="1" customFormat="1" ht="20.25" customHeight="1" x14ac:dyDescent="0.25">
      <c r="A2316" s="2"/>
      <c r="B2316" s="2"/>
      <c r="C2316" s="2"/>
      <c r="D2316" s="2">
        <f>COUNTIF(contact[[#This Row],[Bagossy]:[Szo
03:00 - 10:00]],"=~?")</f>
        <v>0</v>
      </c>
      <c r="E2316" s="2">
        <f>COUNTIF(contact[[#This Row],[Bagossy]:[Szo
03:00 - 10:00]],"=x")</f>
        <v>0</v>
      </c>
      <c r="F2316" s="2">
        <f>SUM(contact[[#This Row],[?]:[x]])</f>
        <v>0</v>
      </c>
      <c r="G23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6" s="3" t="s">
        <v>3392</v>
      </c>
      <c r="K2316" s="1" t="s">
        <v>1630</v>
      </c>
      <c r="L2316" s="1" t="s">
        <v>2</v>
      </c>
      <c r="M2316" s="1" t="s">
        <v>2</v>
      </c>
      <c r="O2316" s="2"/>
      <c r="P2316" s="2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</row>
    <row r="2317" spans="1:32" s="1" customFormat="1" ht="20.25" customHeight="1" x14ac:dyDescent="0.25">
      <c r="A2317" s="2"/>
      <c r="B2317" s="2"/>
      <c r="C2317" s="2"/>
      <c r="D2317" s="2">
        <f>COUNTIF(contact[[#This Row],[Bagossy]:[Szo
03:00 - 10:00]],"=~?")</f>
        <v>0</v>
      </c>
      <c r="E2317" s="2">
        <f>COUNTIF(contact[[#This Row],[Bagossy]:[Szo
03:00 - 10:00]],"=x")</f>
        <v>0</v>
      </c>
      <c r="F2317" s="2">
        <f>SUM(contact[[#This Row],[?]:[x]])</f>
        <v>0</v>
      </c>
      <c r="G23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7" s="3" t="s">
        <v>1085</v>
      </c>
      <c r="K2317" s="1" t="s">
        <v>2</v>
      </c>
      <c r="L2317" s="1" t="s">
        <v>2</v>
      </c>
      <c r="M2317" s="1" t="s">
        <v>2</v>
      </c>
      <c r="O2317" s="2"/>
      <c r="P2317" s="2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</row>
    <row r="2318" spans="1:32" s="1" customFormat="1" ht="20.25" customHeight="1" x14ac:dyDescent="0.25">
      <c r="A2318" s="2"/>
      <c r="B2318" s="2"/>
      <c r="C2318" s="2"/>
      <c r="D2318" s="2">
        <f>COUNTIF(contact[[#This Row],[Bagossy]:[Szo
03:00 - 10:00]],"=~?")</f>
        <v>0</v>
      </c>
      <c r="E2318" s="2">
        <f>COUNTIF(contact[[#This Row],[Bagossy]:[Szo
03:00 - 10:00]],"=x")</f>
        <v>0</v>
      </c>
      <c r="F2318" s="2">
        <f>SUM(contact[[#This Row],[?]:[x]])</f>
        <v>0</v>
      </c>
      <c r="G23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18" s="2"/>
      <c r="I2318" s="2"/>
      <c r="J2318" s="3" t="s">
        <v>3999</v>
      </c>
      <c r="K2318" s="1" t="s">
        <v>1757</v>
      </c>
      <c r="L2318" s="1" t="s">
        <v>2</v>
      </c>
      <c r="M2318" s="1" t="s">
        <v>2</v>
      </c>
      <c r="O2318" s="2"/>
      <c r="P2318" s="2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</row>
    <row r="2319" spans="1:32" s="1" customFormat="1" ht="20.25" customHeight="1" x14ac:dyDescent="0.25">
      <c r="A2319" s="2"/>
      <c r="B2319" s="2"/>
      <c r="C2319" s="2"/>
      <c r="D2319" s="2">
        <f>COUNTIF(contact[[#This Row],[Bagossy]:[Szo
03:00 - 10:00]],"=~?")</f>
        <v>0</v>
      </c>
      <c r="E2319" s="2">
        <f>COUNTIF(contact[[#This Row],[Bagossy]:[Szo
03:00 - 10:00]],"=x")</f>
        <v>0</v>
      </c>
      <c r="F2319" s="2">
        <f>SUM(contact[[#This Row],[?]:[x]])</f>
        <v>0</v>
      </c>
      <c r="G23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19" s="3" t="s">
        <v>1086</v>
      </c>
      <c r="K2319" s="1" t="s">
        <v>2</v>
      </c>
      <c r="L2319" s="1" t="s">
        <v>2</v>
      </c>
      <c r="M2319" s="1" t="s">
        <v>2</v>
      </c>
      <c r="O2319" s="2"/>
      <c r="P2319" s="2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</row>
    <row r="2320" spans="1:32" s="1" customFormat="1" ht="20.25" customHeight="1" x14ac:dyDescent="0.25">
      <c r="A2320" s="2"/>
      <c r="B2320" s="2"/>
      <c r="C2320" s="2"/>
      <c r="D2320" s="2">
        <f>COUNTIF(contact[[#This Row],[Bagossy]:[Szo
03:00 - 10:00]],"=~?")</f>
        <v>0</v>
      </c>
      <c r="E2320" s="2">
        <f>COUNTIF(contact[[#This Row],[Bagossy]:[Szo
03:00 - 10:00]],"=x")</f>
        <v>0</v>
      </c>
      <c r="F2320" s="2">
        <f>SUM(contact[[#This Row],[?]:[x]])</f>
        <v>0</v>
      </c>
      <c r="G23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20" s="2"/>
      <c r="I2320" s="2"/>
      <c r="J2320" s="3" t="s">
        <v>4000</v>
      </c>
      <c r="K2320" s="1" t="s">
        <v>172</v>
      </c>
      <c r="L2320" s="1" t="s">
        <v>2</v>
      </c>
      <c r="M2320" s="1" t="s">
        <v>2</v>
      </c>
      <c r="O2320" s="2"/>
      <c r="P2320" s="2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</row>
    <row r="2321" spans="1:32" s="1" customFormat="1" ht="20.25" customHeight="1" x14ac:dyDescent="0.25">
      <c r="A2321" s="2"/>
      <c r="B2321" s="2" t="s">
        <v>1285</v>
      </c>
      <c r="C2321" s="2" t="s">
        <v>1285</v>
      </c>
      <c r="D2321" s="2">
        <f>COUNTIF(contact[[#This Row],[Bagossy]:[Szo
03:00 - 10:00]],"=~?")</f>
        <v>0</v>
      </c>
      <c r="E2321" s="2">
        <f>COUNTIF(contact[[#This Row],[Bagossy]:[Szo
03:00 - 10:00]],"=x")</f>
        <v>0</v>
      </c>
      <c r="F2321" s="2">
        <f>SUM(contact[[#This Row],[?]:[x]])</f>
        <v>0</v>
      </c>
      <c r="G23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21" s="2"/>
      <c r="I2321" s="2"/>
      <c r="J2321" s="3" t="s">
        <v>4001</v>
      </c>
      <c r="K2321" s="1" t="s">
        <v>1758</v>
      </c>
      <c r="L2321" s="1" t="s">
        <v>2</v>
      </c>
      <c r="M2321" s="1" t="s">
        <v>2</v>
      </c>
      <c r="O2321" s="2"/>
      <c r="P2321" s="2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</row>
    <row r="2322" spans="1:32" s="1" customFormat="1" ht="20.25" customHeight="1" x14ac:dyDescent="0.25">
      <c r="A2322" s="2"/>
      <c r="B2322" s="2"/>
      <c r="C2322" s="2"/>
      <c r="D2322" s="2">
        <f>COUNTIF(contact[[#This Row],[Bagossy]:[Szo
03:00 - 10:00]],"=~?")</f>
        <v>0</v>
      </c>
      <c r="E2322" s="2">
        <f>COUNTIF(contact[[#This Row],[Bagossy]:[Szo
03:00 - 10:00]],"=x")</f>
        <v>0</v>
      </c>
      <c r="F2322" s="2">
        <f>SUM(contact[[#This Row],[?]:[x]])</f>
        <v>0</v>
      </c>
      <c r="G23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22" s="2"/>
      <c r="I2322" s="2"/>
      <c r="J2322" s="3" t="s">
        <v>4002</v>
      </c>
      <c r="K2322" s="1" t="s">
        <v>24</v>
      </c>
      <c r="L2322" s="1" t="s">
        <v>2</v>
      </c>
      <c r="M2322" s="1" t="s">
        <v>2</v>
      </c>
      <c r="O2322" s="2"/>
      <c r="P2322" s="2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</row>
    <row r="2323" spans="1:32" s="1" customFormat="1" ht="20.25" customHeight="1" x14ac:dyDescent="0.25">
      <c r="A2323" s="2"/>
      <c r="B2323" s="2"/>
      <c r="C2323" s="2"/>
      <c r="D2323" s="2">
        <f>COUNTIF(contact[[#This Row],[Bagossy]:[Szo
03:00 - 10:00]],"=~?")</f>
        <v>0</v>
      </c>
      <c r="E2323" s="2">
        <f>COUNTIF(contact[[#This Row],[Bagossy]:[Szo
03:00 - 10:00]],"=x")</f>
        <v>0</v>
      </c>
      <c r="F2323" s="2">
        <f>SUM(contact[[#This Row],[?]:[x]])</f>
        <v>0</v>
      </c>
      <c r="G23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23" s="3" t="s">
        <v>2876</v>
      </c>
      <c r="K2323" s="1" t="s">
        <v>2</v>
      </c>
      <c r="L2323" s="1" t="s">
        <v>2</v>
      </c>
      <c r="M2323" s="1" t="s">
        <v>2</v>
      </c>
      <c r="O2323" s="2"/>
      <c r="P2323" s="2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</row>
    <row r="2324" spans="1:32" s="1" customFormat="1" ht="20.25" customHeight="1" x14ac:dyDescent="0.25">
      <c r="A2324" s="2"/>
      <c r="B2324" s="2"/>
      <c r="C2324" s="2"/>
      <c r="D2324" s="2">
        <f>COUNTIF(contact[[#This Row],[Bagossy]:[Szo
03:00 - 10:00]],"=~?")</f>
        <v>0</v>
      </c>
      <c r="E2324" s="2">
        <f>COUNTIF(contact[[#This Row],[Bagossy]:[Szo
03:00 - 10:00]],"=x")</f>
        <v>0</v>
      </c>
      <c r="F2324" s="2">
        <f>SUM(contact[[#This Row],[?]:[x]])</f>
        <v>0</v>
      </c>
      <c r="G23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24" s="2"/>
      <c r="I2324" s="2"/>
      <c r="J2324" s="3" t="s">
        <v>4004</v>
      </c>
      <c r="K2324" s="1" t="s">
        <v>1759</v>
      </c>
      <c r="L2324" s="1" t="s">
        <v>2</v>
      </c>
      <c r="M2324" s="1" t="s">
        <v>2</v>
      </c>
      <c r="O2324" s="2"/>
      <c r="P2324" s="2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</row>
    <row r="2325" spans="1:32" s="1" customFormat="1" ht="20.25" customHeight="1" x14ac:dyDescent="0.25">
      <c r="A2325" s="2"/>
      <c r="B2325" s="2"/>
      <c r="C2325" s="2"/>
      <c r="D2325" s="2">
        <f>COUNTIF(contact[[#This Row],[Bagossy]:[Szo
03:00 - 10:00]],"=~?")</f>
        <v>0</v>
      </c>
      <c r="E2325" s="2">
        <f>COUNTIF(contact[[#This Row],[Bagossy]:[Szo
03:00 - 10:00]],"=x")</f>
        <v>0</v>
      </c>
      <c r="F2325" s="2">
        <f>SUM(contact[[#This Row],[?]:[x]])</f>
        <v>0</v>
      </c>
      <c r="G23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25" s="3" t="s">
        <v>1960</v>
      </c>
      <c r="K2325" s="1" t="s">
        <v>1299</v>
      </c>
      <c r="L2325" s="1" t="s">
        <v>2</v>
      </c>
      <c r="M2325" s="1" t="s">
        <v>2</v>
      </c>
      <c r="O2325" s="2"/>
      <c r="P2325" s="2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</row>
    <row r="2326" spans="1:32" s="1" customFormat="1" ht="20.25" customHeight="1" x14ac:dyDescent="0.25">
      <c r="A2326" s="2"/>
      <c r="B2326" s="2"/>
      <c r="C2326" s="2"/>
      <c r="D2326" s="2">
        <f>COUNTIF(contact[[#This Row],[Bagossy]:[Szo
03:00 - 10:00]],"=~?")</f>
        <v>0</v>
      </c>
      <c r="E2326" s="2">
        <f>COUNTIF(contact[[#This Row],[Bagossy]:[Szo
03:00 - 10:00]],"=x")</f>
        <v>0</v>
      </c>
      <c r="F2326" s="2">
        <f>SUM(contact[[#This Row],[?]:[x]])</f>
        <v>0</v>
      </c>
      <c r="G23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26" s="2"/>
      <c r="I2326" s="2"/>
      <c r="J2326" s="3" t="s">
        <v>4005</v>
      </c>
      <c r="K2326" s="1" t="s">
        <v>1620</v>
      </c>
      <c r="L2326" s="1" t="s">
        <v>2</v>
      </c>
      <c r="M2326" s="1" t="s">
        <v>2</v>
      </c>
      <c r="O2326" s="2"/>
      <c r="P2326" s="2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</row>
    <row r="2327" spans="1:32" s="1" customFormat="1" ht="20.25" customHeight="1" x14ac:dyDescent="0.25">
      <c r="A2327" s="2"/>
      <c r="B2327" s="2"/>
      <c r="C2327" s="2"/>
      <c r="D2327" s="2">
        <f>COUNTIF(contact[[#This Row],[Bagossy]:[Szo
03:00 - 10:00]],"=~?")</f>
        <v>0</v>
      </c>
      <c r="E2327" s="2">
        <f>COUNTIF(contact[[#This Row],[Bagossy]:[Szo
03:00 - 10:00]],"=x")</f>
        <v>0</v>
      </c>
      <c r="F2327" s="2">
        <f>SUM(contact[[#This Row],[?]:[x]])</f>
        <v>0</v>
      </c>
      <c r="G23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27" s="3" t="s">
        <v>564</v>
      </c>
      <c r="K2327" s="1" t="s">
        <v>2</v>
      </c>
      <c r="L2327" s="1" t="s">
        <v>2</v>
      </c>
      <c r="M2327" s="1" t="s">
        <v>2</v>
      </c>
      <c r="O2327" s="2"/>
      <c r="P2327" s="2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</row>
    <row r="2328" spans="1:32" s="1" customFormat="1" ht="20.25" customHeight="1" x14ac:dyDescent="0.25">
      <c r="A2328" s="2"/>
      <c r="B2328" s="2"/>
      <c r="C2328" s="2"/>
      <c r="D2328" s="2">
        <f>COUNTIF(contact[[#This Row],[Bagossy]:[Szo
03:00 - 10:00]],"=~?")</f>
        <v>0</v>
      </c>
      <c r="E2328" s="2">
        <f>COUNTIF(contact[[#This Row],[Bagossy]:[Szo
03:00 - 10:00]],"=x")</f>
        <v>0</v>
      </c>
      <c r="F2328" s="2">
        <f>SUM(contact[[#This Row],[?]:[x]])</f>
        <v>0</v>
      </c>
      <c r="G23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28" s="3" t="s">
        <v>3210</v>
      </c>
      <c r="K2328" s="1" t="s">
        <v>1327</v>
      </c>
      <c r="L2328" s="1" t="s">
        <v>2</v>
      </c>
      <c r="M2328" s="1" t="s">
        <v>2</v>
      </c>
      <c r="O2328" s="2"/>
      <c r="P2328" s="2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</row>
    <row r="2329" spans="1:32" s="1" customFormat="1" ht="20.25" customHeight="1" x14ac:dyDescent="0.25">
      <c r="A2329" s="2"/>
      <c r="B2329" s="2"/>
      <c r="C2329" s="2"/>
      <c r="D2329" s="2">
        <f>COUNTIF(contact[[#This Row],[Bagossy]:[Szo
03:00 - 10:00]],"=~?")</f>
        <v>0</v>
      </c>
      <c r="E2329" s="2">
        <f>COUNTIF(contact[[#This Row],[Bagossy]:[Szo
03:00 - 10:00]],"=x")</f>
        <v>0</v>
      </c>
      <c r="F2329" s="2">
        <f>SUM(contact[[#This Row],[?]:[x]])</f>
        <v>0</v>
      </c>
      <c r="G23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29" s="3" t="s">
        <v>4337</v>
      </c>
      <c r="K2329" s="1" t="s">
        <v>2</v>
      </c>
      <c r="L2329" s="1" t="s">
        <v>2</v>
      </c>
      <c r="M2329" s="1" t="s">
        <v>2</v>
      </c>
      <c r="O2329" s="2"/>
      <c r="P2329" s="2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</row>
    <row r="2330" spans="1:32" s="1" customFormat="1" ht="20.25" customHeight="1" x14ac:dyDescent="0.25">
      <c r="A2330" s="2"/>
      <c r="B2330" s="2"/>
      <c r="C2330" s="2"/>
      <c r="D2330" s="2">
        <f>COUNTIF(contact[[#This Row],[Bagossy]:[Szo
03:00 - 10:00]],"=~?")</f>
        <v>0</v>
      </c>
      <c r="E2330" s="2">
        <f>COUNTIF(contact[[#This Row],[Bagossy]:[Szo
03:00 - 10:00]],"=x")</f>
        <v>0</v>
      </c>
      <c r="F2330" s="2">
        <f>SUM(contact[[#This Row],[?]:[x]])</f>
        <v>0</v>
      </c>
      <c r="G23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0" s="3" t="s">
        <v>3985</v>
      </c>
      <c r="K2330" s="1" t="s">
        <v>1052</v>
      </c>
      <c r="L2330" s="1" t="s">
        <v>2</v>
      </c>
      <c r="M2330" s="1" t="s">
        <v>2</v>
      </c>
      <c r="O2330" s="2"/>
      <c r="P2330" s="2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</row>
    <row r="2331" spans="1:32" s="1" customFormat="1" ht="20.25" customHeight="1" x14ac:dyDescent="0.25">
      <c r="A2331" s="2"/>
      <c r="B2331" s="2"/>
      <c r="C2331" s="2"/>
      <c r="D2331" s="2">
        <f>COUNTIF(contact[[#This Row],[Bagossy]:[Szo
03:00 - 10:00]],"=~?")</f>
        <v>0</v>
      </c>
      <c r="E2331" s="2">
        <f>COUNTIF(contact[[#This Row],[Bagossy]:[Szo
03:00 - 10:00]],"=x")</f>
        <v>0</v>
      </c>
      <c r="F2331" s="2">
        <f>SUM(contact[[#This Row],[?]:[x]])</f>
        <v>0</v>
      </c>
      <c r="G23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1" s="3" t="s">
        <v>3211</v>
      </c>
      <c r="K2331" s="1" t="s">
        <v>1593</v>
      </c>
      <c r="L2331" s="1" t="s">
        <v>2</v>
      </c>
      <c r="M2331" s="1" t="s">
        <v>2</v>
      </c>
      <c r="O2331" s="2"/>
      <c r="P2331" s="2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</row>
    <row r="2332" spans="1:32" s="1" customFormat="1" ht="20.25" customHeight="1" x14ac:dyDescent="0.25">
      <c r="A2332" s="2"/>
      <c r="B2332" s="2"/>
      <c r="C2332" s="2"/>
      <c r="D2332" s="2">
        <f>COUNTIF(contact[[#This Row],[Bagossy]:[Szo
03:00 - 10:00]],"=~?")</f>
        <v>0</v>
      </c>
      <c r="E2332" s="2">
        <f>COUNTIF(contact[[#This Row],[Bagossy]:[Szo
03:00 - 10:00]],"=x")</f>
        <v>0</v>
      </c>
      <c r="F2332" s="2">
        <f>SUM(contact[[#This Row],[?]:[x]])</f>
        <v>0</v>
      </c>
      <c r="G23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2" s="3" t="s">
        <v>4585</v>
      </c>
      <c r="K2332" s="1" t="s">
        <v>1896</v>
      </c>
      <c r="L2332" s="1" t="s">
        <v>2</v>
      </c>
      <c r="M2332" s="1" t="s">
        <v>2</v>
      </c>
      <c r="O2332" s="2"/>
      <c r="P2332" s="2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</row>
    <row r="2333" spans="1:32" s="1" customFormat="1" ht="20.25" customHeight="1" x14ac:dyDescent="0.25">
      <c r="A2333" s="2"/>
      <c r="B2333" s="2"/>
      <c r="C2333" s="2"/>
      <c r="D2333" s="2">
        <f>COUNTIF(contact[[#This Row],[Bagossy]:[Szo
03:00 - 10:00]],"=~?")</f>
        <v>0</v>
      </c>
      <c r="E2333" s="2">
        <f>COUNTIF(contact[[#This Row],[Bagossy]:[Szo
03:00 - 10:00]],"=x")</f>
        <v>0</v>
      </c>
      <c r="F2333" s="2">
        <f>SUM(contact[[#This Row],[?]:[x]])</f>
        <v>0</v>
      </c>
      <c r="G23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3" s="3" t="s">
        <v>4238</v>
      </c>
      <c r="K2333" s="1" t="s">
        <v>1821</v>
      </c>
      <c r="L2333" s="1" t="s">
        <v>2</v>
      </c>
      <c r="M2333" s="1" t="s">
        <v>2</v>
      </c>
      <c r="O2333" s="2"/>
      <c r="P2333" s="2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</row>
    <row r="2334" spans="1:32" s="1" customFormat="1" ht="20.25" customHeight="1" x14ac:dyDescent="0.25">
      <c r="A2334" s="2"/>
      <c r="B2334" s="2"/>
      <c r="C2334" s="2"/>
      <c r="D2334" s="2">
        <f>COUNTIF(contact[[#This Row],[Bagossy]:[Szo
03:00 - 10:00]],"=~?")</f>
        <v>0</v>
      </c>
      <c r="E2334" s="2">
        <f>COUNTIF(contact[[#This Row],[Bagossy]:[Szo
03:00 - 10:00]],"=x")</f>
        <v>0</v>
      </c>
      <c r="F2334" s="2">
        <f>SUM(contact[[#This Row],[?]:[x]])</f>
        <v>0</v>
      </c>
      <c r="G23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4" s="3" t="s">
        <v>1087</v>
      </c>
      <c r="K2334" s="1" t="s">
        <v>2</v>
      </c>
      <c r="L2334" s="1" t="s">
        <v>2</v>
      </c>
      <c r="M2334" s="1" t="s">
        <v>2</v>
      </c>
      <c r="O2334" s="2"/>
      <c r="P2334" s="2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</row>
    <row r="2335" spans="1:32" s="1" customFormat="1" ht="20.25" customHeight="1" x14ac:dyDescent="0.25">
      <c r="A2335" s="2"/>
      <c r="B2335" s="2"/>
      <c r="C2335" s="2"/>
      <c r="D2335" s="2">
        <f>COUNTIF(contact[[#This Row],[Bagossy]:[Szo
03:00 - 10:00]],"=~?")</f>
        <v>0</v>
      </c>
      <c r="E2335" s="2">
        <f>COUNTIF(contact[[#This Row],[Bagossy]:[Szo
03:00 - 10:00]],"=x")</f>
        <v>0</v>
      </c>
      <c r="F2335" s="2">
        <f>SUM(contact[[#This Row],[?]:[x]])</f>
        <v>0</v>
      </c>
      <c r="G23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5" s="3" t="s">
        <v>3400</v>
      </c>
      <c r="K2335" s="1" t="s">
        <v>2</v>
      </c>
      <c r="L2335" s="1" t="s">
        <v>2</v>
      </c>
      <c r="M2335" s="1" t="s">
        <v>2</v>
      </c>
      <c r="O2335" s="2"/>
      <c r="P2335" s="2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</row>
    <row r="2336" spans="1:32" s="1" customFormat="1" ht="20.25" customHeight="1" x14ac:dyDescent="0.25">
      <c r="A2336" s="2"/>
      <c r="B2336" s="2"/>
      <c r="C2336" s="2"/>
      <c r="D2336" s="2">
        <f>COUNTIF(contact[[#This Row],[Bagossy]:[Szo
03:00 - 10:00]],"=~?")</f>
        <v>0</v>
      </c>
      <c r="E2336" s="2">
        <f>COUNTIF(contact[[#This Row],[Bagossy]:[Szo
03:00 - 10:00]],"=x")</f>
        <v>0</v>
      </c>
      <c r="F2336" s="2">
        <f>SUM(contact[[#This Row],[?]:[x]])</f>
        <v>0</v>
      </c>
      <c r="G23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6" s="3" t="s">
        <v>2544</v>
      </c>
      <c r="K2336" s="1" t="s">
        <v>1443</v>
      </c>
      <c r="L2336" s="1" t="s">
        <v>2</v>
      </c>
      <c r="M2336" s="1" t="s">
        <v>2</v>
      </c>
      <c r="O2336" s="2"/>
      <c r="P2336" s="2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</row>
    <row r="2337" spans="1:32" s="1" customFormat="1" ht="20.25" customHeight="1" x14ac:dyDescent="0.25">
      <c r="A2337" s="2"/>
      <c r="B2337" s="2"/>
      <c r="C2337" s="2"/>
      <c r="D2337" s="2">
        <f>COUNTIF(contact[[#This Row],[Bagossy]:[Szo
03:00 - 10:00]],"=~?")</f>
        <v>0</v>
      </c>
      <c r="E2337" s="2">
        <f>COUNTIF(contact[[#This Row],[Bagossy]:[Szo
03:00 - 10:00]],"=x")</f>
        <v>0</v>
      </c>
      <c r="F2337" s="2">
        <f>SUM(contact[[#This Row],[?]:[x]])</f>
        <v>0</v>
      </c>
      <c r="G23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7" s="3" t="s">
        <v>4259</v>
      </c>
      <c r="K2337" s="1" t="s">
        <v>1162</v>
      </c>
      <c r="L2337" s="1" t="s">
        <v>2</v>
      </c>
      <c r="M2337" s="1" t="s">
        <v>2</v>
      </c>
      <c r="O2337" s="2"/>
      <c r="P2337" s="2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</row>
    <row r="2338" spans="1:32" s="1" customFormat="1" ht="20.25" customHeight="1" x14ac:dyDescent="0.25">
      <c r="A2338" s="2"/>
      <c r="B2338" s="2"/>
      <c r="C2338" s="2"/>
      <c r="D2338" s="2">
        <f>COUNTIF(contact[[#This Row],[Bagossy]:[Szo
03:00 - 10:00]],"=~?")</f>
        <v>0</v>
      </c>
      <c r="E2338" s="2">
        <f>COUNTIF(contact[[#This Row],[Bagossy]:[Szo
03:00 - 10:00]],"=x")</f>
        <v>0</v>
      </c>
      <c r="F2338" s="2">
        <f>SUM(contact[[#This Row],[?]:[x]])</f>
        <v>0</v>
      </c>
      <c r="G23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8" s="3" t="s">
        <v>3582</v>
      </c>
      <c r="K2338" s="1" t="s">
        <v>325</v>
      </c>
      <c r="L2338" s="1" t="s">
        <v>2</v>
      </c>
      <c r="M2338" s="1" t="s">
        <v>2</v>
      </c>
      <c r="O2338" s="2"/>
      <c r="P2338" s="2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</row>
    <row r="2339" spans="1:32" s="1" customFormat="1" ht="20.25" customHeight="1" x14ac:dyDescent="0.25">
      <c r="A2339" s="2"/>
      <c r="B2339" s="2"/>
      <c r="C2339" s="2"/>
      <c r="D2339" s="2">
        <f>COUNTIF(contact[[#This Row],[Bagossy]:[Szo
03:00 - 10:00]],"=~?")</f>
        <v>0</v>
      </c>
      <c r="E2339" s="2">
        <f>COUNTIF(contact[[#This Row],[Bagossy]:[Szo
03:00 - 10:00]],"=x")</f>
        <v>0</v>
      </c>
      <c r="F2339" s="2">
        <f>SUM(contact[[#This Row],[?]:[x]])</f>
        <v>0</v>
      </c>
      <c r="G23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39" s="3" t="s">
        <v>3524</v>
      </c>
      <c r="K2339" s="1" t="s">
        <v>2</v>
      </c>
      <c r="L2339" s="1" t="s">
        <v>2</v>
      </c>
      <c r="M2339" s="1" t="s">
        <v>2</v>
      </c>
      <c r="O2339" s="2"/>
      <c r="P2339" s="2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</row>
    <row r="2340" spans="1:32" s="1" customFormat="1" ht="20.25" customHeight="1" x14ac:dyDescent="0.25">
      <c r="A2340" s="2"/>
      <c r="B2340" s="2"/>
      <c r="C2340" s="2"/>
      <c r="D2340" s="2">
        <f>COUNTIF(contact[[#This Row],[Bagossy]:[Szo
03:00 - 10:00]],"=~?")</f>
        <v>0</v>
      </c>
      <c r="E2340" s="2">
        <f>COUNTIF(contact[[#This Row],[Bagossy]:[Szo
03:00 - 10:00]],"=x")</f>
        <v>0</v>
      </c>
      <c r="F2340" s="2">
        <f>SUM(contact[[#This Row],[?]:[x]])</f>
        <v>0</v>
      </c>
      <c r="G23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0" s="3" t="s">
        <v>3401</v>
      </c>
      <c r="K2340" s="1" t="s">
        <v>1633</v>
      </c>
      <c r="L2340" s="1" t="s">
        <v>2</v>
      </c>
      <c r="M2340" s="1" t="s">
        <v>2</v>
      </c>
      <c r="O2340" s="2"/>
      <c r="P2340" s="2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</row>
    <row r="2341" spans="1:32" s="1" customFormat="1" ht="20.25" customHeight="1" x14ac:dyDescent="0.25">
      <c r="A2341" s="2"/>
      <c r="B2341" s="2"/>
      <c r="C2341" s="2"/>
      <c r="D2341" s="2">
        <f>COUNTIF(contact[[#This Row],[Bagossy]:[Szo
03:00 - 10:00]],"=~?")</f>
        <v>0</v>
      </c>
      <c r="E2341" s="2">
        <f>COUNTIF(contact[[#This Row],[Bagossy]:[Szo
03:00 - 10:00]],"=x")</f>
        <v>0</v>
      </c>
      <c r="F2341" s="2">
        <f>SUM(contact[[#This Row],[?]:[x]])</f>
        <v>0</v>
      </c>
      <c r="G23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1" s="3" t="s">
        <v>1940</v>
      </c>
      <c r="K2341" s="1" t="s">
        <v>25</v>
      </c>
      <c r="L2341" s="1" t="s">
        <v>2</v>
      </c>
      <c r="M2341" s="1" t="s">
        <v>2</v>
      </c>
      <c r="O2341" s="2"/>
      <c r="P2341" s="2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</row>
    <row r="2342" spans="1:32" s="1" customFormat="1" ht="20.25" customHeight="1" x14ac:dyDescent="0.25">
      <c r="A2342" s="2"/>
      <c r="B2342" s="2"/>
      <c r="C2342" s="2"/>
      <c r="D2342" s="2">
        <f>COUNTIF(contact[[#This Row],[Bagossy]:[Szo
03:00 - 10:00]],"=~?")</f>
        <v>0</v>
      </c>
      <c r="E2342" s="2">
        <f>COUNTIF(contact[[#This Row],[Bagossy]:[Szo
03:00 - 10:00]],"=x")</f>
        <v>0</v>
      </c>
      <c r="F2342" s="2">
        <f>SUM(contact[[#This Row],[?]:[x]])</f>
        <v>0</v>
      </c>
      <c r="G23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2" s="3" t="s">
        <v>2030</v>
      </c>
      <c r="K2342" s="1" t="s">
        <v>74</v>
      </c>
      <c r="L2342" s="1" t="s">
        <v>2</v>
      </c>
      <c r="M2342" s="1" t="s">
        <v>2</v>
      </c>
      <c r="O2342" s="2"/>
      <c r="P2342" s="2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</row>
    <row r="2343" spans="1:32" s="1" customFormat="1" ht="20.25" customHeight="1" x14ac:dyDescent="0.25">
      <c r="A2343" s="2"/>
      <c r="B2343" s="2"/>
      <c r="C2343" s="2"/>
      <c r="D2343" s="2">
        <f>COUNTIF(contact[[#This Row],[Bagossy]:[Szo
03:00 - 10:00]],"=~?")</f>
        <v>0</v>
      </c>
      <c r="E2343" s="2">
        <f>COUNTIF(contact[[#This Row],[Bagossy]:[Szo
03:00 - 10:00]],"=x")</f>
        <v>0</v>
      </c>
      <c r="F2343" s="2">
        <f>SUM(contact[[#This Row],[?]:[x]])</f>
        <v>0</v>
      </c>
      <c r="G23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43" s="2"/>
      <c r="I2343" s="2"/>
      <c r="J2343" s="3" t="s">
        <v>4017</v>
      </c>
      <c r="K2343" s="1" t="s">
        <v>365</v>
      </c>
      <c r="L2343" s="1" t="s">
        <v>2</v>
      </c>
      <c r="M2343" s="1" t="s">
        <v>2</v>
      </c>
      <c r="O2343" s="2"/>
      <c r="P2343" s="2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</row>
    <row r="2344" spans="1:32" s="1" customFormat="1" ht="20.25" customHeight="1" x14ac:dyDescent="0.25">
      <c r="A2344" s="2"/>
      <c r="B2344" s="2"/>
      <c r="C2344" s="2"/>
      <c r="D2344" s="2">
        <f>COUNTIF(contact[[#This Row],[Bagossy]:[Szo
03:00 - 10:00]],"=~?")</f>
        <v>0</v>
      </c>
      <c r="E2344" s="2">
        <f>COUNTIF(contact[[#This Row],[Bagossy]:[Szo
03:00 - 10:00]],"=x")</f>
        <v>0</v>
      </c>
      <c r="F2344" s="2">
        <f>SUM(contact[[#This Row],[?]:[x]])</f>
        <v>0</v>
      </c>
      <c r="G23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4" s="3" t="s">
        <v>1996</v>
      </c>
      <c r="K2344" s="1" t="s">
        <v>2</v>
      </c>
      <c r="L2344" s="1" t="s">
        <v>2</v>
      </c>
      <c r="M2344" s="1" t="s">
        <v>2</v>
      </c>
      <c r="O2344" s="2"/>
      <c r="P2344" s="2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</row>
    <row r="2345" spans="1:32" s="1" customFormat="1" ht="20.25" customHeight="1" x14ac:dyDescent="0.25">
      <c r="A2345" s="2"/>
      <c r="B2345" s="2"/>
      <c r="C2345" s="2"/>
      <c r="D2345" s="2">
        <f>COUNTIF(contact[[#This Row],[Bagossy]:[Szo
03:00 - 10:00]],"=~?")</f>
        <v>0</v>
      </c>
      <c r="E2345" s="2">
        <f>COUNTIF(contact[[#This Row],[Bagossy]:[Szo
03:00 - 10:00]],"=x")</f>
        <v>0</v>
      </c>
      <c r="F2345" s="2">
        <f>SUM(contact[[#This Row],[?]:[x]])</f>
        <v>0</v>
      </c>
      <c r="G23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45" s="2"/>
      <c r="I2345" s="2"/>
      <c r="J2345" s="3" t="s">
        <v>4018</v>
      </c>
      <c r="K2345" s="1" t="s">
        <v>1761</v>
      </c>
      <c r="L2345" s="1" t="s">
        <v>2</v>
      </c>
      <c r="M2345" s="1" t="s">
        <v>2</v>
      </c>
      <c r="O2345" s="2"/>
      <c r="P2345" s="2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</row>
    <row r="2346" spans="1:32" s="1" customFormat="1" ht="20.25" customHeight="1" x14ac:dyDescent="0.25">
      <c r="A2346" s="2"/>
      <c r="B2346" s="2"/>
      <c r="C2346" s="2"/>
      <c r="D2346" s="2">
        <f>COUNTIF(contact[[#This Row],[Bagossy]:[Szo
03:00 - 10:00]],"=~?")</f>
        <v>0</v>
      </c>
      <c r="E2346" s="2">
        <f>COUNTIF(contact[[#This Row],[Bagossy]:[Szo
03:00 - 10:00]],"=x")</f>
        <v>0</v>
      </c>
      <c r="F2346" s="2">
        <f>SUM(contact[[#This Row],[?]:[x]])</f>
        <v>0</v>
      </c>
      <c r="G23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6" s="3" t="s">
        <v>2501</v>
      </c>
      <c r="K2346" s="1" t="s">
        <v>2</v>
      </c>
      <c r="L2346" s="1" t="s">
        <v>2</v>
      </c>
      <c r="M2346" s="1" t="s">
        <v>2</v>
      </c>
      <c r="O2346" s="2"/>
      <c r="P2346" s="2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</row>
    <row r="2347" spans="1:32" s="1" customFormat="1" ht="20.25" customHeight="1" x14ac:dyDescent="0.25">
      <c r="A2347" s="2"/>
      <c r="B2347" s="2"/>
      <c r="C2347" s="2"/>
      <c r="D2347" s="2">
        <f>COUNTIF(contact[[#This Row],[Bagossy]:[Szo
03:00 - 10:00]],"=~?")</f>
        <v>0</v>
      </c>
      <c r="E2347" s="2">
        <f>COUNTIF(contact[[#This Row],[Bagossy]:[Szo
03:00 - 10:00]],"=x")</f>
        <v>0</v>
      </c>
      <c r="F2347" s="2">
        <f>SUM(contact[[#This Row],[?]:[x]])</f>
        <v>0</v>
      </c>
      <c r="G23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7" s="3" t="s">
        <v>3338</v>
      </c>
      <c r="K2347" s="1" t="s">
        <v>760</v>
      </c>
      <c r="L2347" s="1" t="s">
        <v>2</v>
      </c>
      <c r="M2347" s="1" t="s">
        <v>2</v>
      </c>
      <c r="O2347" s="2"/>
      <c r="P2347" s="2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</row>
    <row r="2348" spans="1:32" s="1" customFormat="1" ht="20.25" customHeight="1" x14ac:dyDescent="0.25">
      <c r="A2348" s="2"/>
      <c r="B2348" s="2"/>
      <c r="C2348" s="2"/>
      <c r="D2348" s="2">
        <f>COUNTIF(contact[[#This Row],[Bagossy]:[Szo
03:00 - 10:00]],"=~?")</f>
        <v>0</v>
      </c>
      <c r="E2348" s="2">
        <f>COUNTIF(contact[[#This Row],[Bagossy]:[Szo
03:00 - 10:00]],"=x")</f>
        <v>0</v>
      </c>
      <c r="F2348" s="2">
        <f>SUM(contact[[#This Row],[?]:[x]])</f>
        <v>0</v>
      </c>
      <c r="G23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8" s="3" t="s">
        <v>1941</v>
      </c>
      <c r="K2348" s="1" t="s">
        <v>2</v>
      </c>
      <c r="L2348" s="1" t="s">
        <v>2</v>
      </c>
      <c r="M2348" s="1" t="s">
        <v>2</v>
      </c>
      <c r="O2348" s="2"/>
      <c r="P2348" s="2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</row>
    <row r="2349" spans="1:32" s="1" customFormat="1" ht="20.25" customHeight="1" x14ac:dyDescent="0.25">
      <c r="A2349" s="2"/>
      <c r="B2349" s="2"/>
      <c r="C2349" s="2"/>
      <c r="D2349" s="2">
        <f>COUNTIF(contact[[#This Row],[Bagossy]:[Szo
03:00 - 10:00]],"=~?")</f>
        <v>0</v>
      </c>
      <c r="E2349" s="2">
        <f>COUNTIF(contact[[#This Row],[Bagossy]:[Szo
03:00 - 10:00]],"=x")</f>
        <v>0</v>
      </c>
      <c r="F2349" s="2">
        <f>SUM(contact[[#This Row],[?]:[x]])</f>
        <v>0</v>
      </c>
      <c r="G23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49" s="3" t="s">
        <v>2780</v>
      </c>
      <c r="K2349" s="1" t="s">
        <v>1327</v>
      </c>
      <c r="L2349" s="1" t="s">
        <v>2</v>
      </c>
      <c r="M2349" s="1" t="s">
        <v>2</v>
      </c>
      <c r="O2349" s="2"/>
      <c r="P2349" s="2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</row>
    <row r="2350" spans="1:32" s="1" customFormat="1" ht="20.25" customHeight="1" x14ac:dyDescent="0.25">
      <c r="A2350" s="2"/>
      <c r="B2350" s="2"/>
      <c r="C2350" s="2"/>
      <c r="D2350" s="2">
        <f>COUNTIF(contact[[#This Row],[Bagossy]:[Szo
03:00 - 10:00]],"=~?")</f>
        <v>0</v>
      </c>
      <c r="E2350" s="2">
        <f>COUNTIF(contact[[#This Row],[Bagossy]:[Szo
03:00 - 10:00]],"=x")</f>
        <v>0</v>
      </c>
      <c r="F2350" s="2">
        <f>SUM(contact[[#This Row],[?]:[x]])</f>
        <v>0</v>
      </c>
      <c r="G23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0" s="3" t="s">
        <v>3484</v>
      </c>
      <c r="K2350" s="1" t="s">
        <v>2</v>
      </c>
      <c r="L2350" s="1" t="s">
        <v>2</v>
      </c>
      <c r="M2350" s="1" t="s">
        <v>2</v>
      </c>
      <c r="O2350" s="2"/>
      <c r="P2350" s="2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</row>
    <row r="2351" spans="1:32" s="1" customFormat="1" ht="20.25" customHeight="1" x14ac:dyDescent="0.25">
      <c r="A2351" s="2"/>
      <c r="B2351" s="2"/>
      <c r="C2351" s="2"/>
      <c r="D2351" s="2">
        <f>COUNTIF(contact[[#This Row],[Bagossy]:[Szo
03:00 - 10:00]],"=~?")</f>
        <v>0</v>
      </c>
      <c r="E2351" s="2">
        <f>COUNTIF(contact[[#This Row],[Bagossy]:[Szo
03:00 - 10:00]],"=x")</f>
        <v>0</v>
      </c>
      <c r="F2351" s="2">
        <f>SUM(contact[[#This Row],[?]:[x]])</f>
        <v>0</v>
      </c>
      <c r="G23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1" s="3" t="s">
        <v>1092</v>
      </c>
      <c r="K2351" s="1" t="s">
        <v>2</v>
      </c>
      <c r="L2351" s="1" t="s">
        <v>2</v>
      </c>
      <c r="M2351" s="1" t="s">
        <v>2</v>
      </c>
      <c r="O2351" s="2"/>
      <c r="P2351" s="2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</row>
    <row r="2352" spans="1:32" s="1" customFormat="1" ht="20.25" customHeight="1" x14ac:dyDescent="0.25">
      <c r="A2352" s="2"/>
      <c r="B2352" s="2"/>
      <c r="C2352" s="2"/>
      <c r="D2352" s="2">
        <f>COUNTIF(contact[[#This Row],[Bagossy]:[Szo
03:00 - 10:00]],"=~?")</f>
        <v>0</v>
      </c>
      <c r="E2352" s="2">
        <f>COUNTIF(contact[[#This Row],[Bagossy]:[Szo
03:00 - 10:00]],"=x")</f>
        <v>0</v>
      </c>
      <c r="F2352" s="2">
        <f>SUM(contact[[#This Row],[?]:[x]])</f>
        <v>0</v>
      </c>
      <c r="G23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2" s="3" t="s">
        <v>1093</v>
      </c>
      <c r="K2352" s="1" t="s">
        <v>2</v>
      </c>
      <c r="L2352" s="1" t="s">
        <v>2</v>
      </c>
      <c r="M2352" s="1" t="s">
        <v>2</v>
      </c>
      <c r="O2352" s="2"/>
      <c r="P2352" s="2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</row>
    <row r="2353" spans="1:32" s="1" customFormat="1" ht="20.25" customHeight="1" x14ac:dyDescent="0.25">
      <c r="A2353" s="2"/>
      <c r="B2353" s="2"/>
      <c r="C2353" s="2"/>
      <c r="D2353" s="2">
        <f>COUNTIF(contact[[#This Row],[Bagossy]:[Szo
03:00 - 10:00]],"=~?")</f>
        <v>0</v>
      </c>
      <c r="E2353" s="2">
        <f>COUNTIF(contact[[#This Row],[Bagossy]:[Szo
03:00 - 10:00]],"=x")</f>
        <v>0</v>
      </c>
      <c r="F2353" s="2">
        <f>SUM(contact[[#This Row],[?]:[x]])</f>
        <v>0</v>
      </c>
      <c r="G23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3" s="3" t="s">
        <v>4306</v>
      </c>
      <c r="K2353" s="1" t="s">
        <v>2</v>
      </c>
      <c r="L2353" s="1" t="s">
        <v>2</v>
      </c>
      <c r="M2353" s="1" t="s">
        <v>2</v>
      </c>
      <c r="O2353" s="2"/>
      <c r="P2353" s="2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</row>
    <row r="2354" spans="1:32" s="1" customFormat="1" ht="20.25" customHeight="1" x14ac:dyDescent="0.25">
      <c r="A2354" s="2"/>
      <c r="B2354" s="2"/>
      <c r="C2354" s="2"/>
      <c r="D2354" s="2">
        <f>COUNTIF(contact[[#This Row],[Bagossy]:[Szo
03:00 - 10:00]],"=~?")</f>
        <v>0</v>
      </c>
      <c r="E2354" s="2">
        <f>COUNTIF(contact[[#This Row],[Bagossy]:[Szo
03:00 - 10:00]],"=x")</f>
        <v>0</v>
      </c>
      <c r="F2354" s="2">
        <f>SUM(contact[[#This Row],[?]:[x]])</f>
        <v>0</v>
      </c>
      <c r="G23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54" s="2"/>
      <c r="I2354" s="2"/>
      <c r="J2354" s="3" t="s">
        <v>4019</v>
      </c>
      <c r="K2354" s="1" t="s">
        <v>1762</v>
      </c>
      <c r="L2354" s="1" t="s">
        <v>2</v>
      </c>
      <c r="M2354" s="1" t="s">
        <v>2</v>
      </c>
      <c r="O2354" s="2"/>
      <c r="P2354" s="2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</row>
    <row r="2355" spans="1:32" s="1" customFormat="1" ht="20.25" customHeight="1" x14ac:dyDescent="0.25">
      <c r="A2355" s="2"/>
      <c r="B2355" s="2"/>
      <c r="C2355" s="2"/>
      <c r="D2355" s="2">
        <f>COUNTIF(contact[[#This Row],[Bagossy]:[Szo
03:00 - 10:00]],"=~?")</f>
        <v>0</v>
      </c>
      <c r="E2355" s="2">
        <f>COUNTIF(contact[[#This Row],[Bagossy]:[Szo
03:00 - 10:00]],"=x")</f>
        <v>0</v>
      </c>
      <c r="F2355" s="2">
        <f>SUM(contact[[#This Row],[?]:[x]])</f>
        <v>0</v>
      </c>
      <c r="G23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5" s="3" t="s">
        <v>2732</v>
      </c>
      <c r="K2355" s="1" t="s">
        <v>468</v>
      </c>
      <c r="L2355" s="1" t="s">
        <v>2</v>
      </c>
      <c r="M2355" s="1" t="s">
        <v>2</v>
      </c>
      <c r="O2355" s="2"/>
      <c r="P2355" s="2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</row>
    <row r="2356" spans="1:32" s="1" customFormat="1" ht="20.25" customHeight="1" x14ac:dyDescent="0.25">
      <c r="A2356" s="2"/>
      <c r="B2356" s="2"/>
      <c r="C2356" s="2"/>
      <c r="D2356" s="2">
        <f>COUNTIF(contact[[#This Row],[Bagossy]:[Szo
03:00 - 10:00]],"=~?")</f>
        <v>0</v>
      </c>
      <c r="E2356" s="2">
        <f>COUNTIF(contact[[#This Row],[Bagossy]:[Szo
03:00 - 10:00]],"=x")</f>
        <v>0</v>
      </c>
      <c r="F2356" s="2">
        <f>SUM(contact[[#This Row],[?]:[x]])</f>
        <v>0</v>
      </c>
      <c r="G23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6" s="3" t="s">
        <v>633</v>
      </c>
      <c r="K2356" s="1" t="s">
        <v>105</v>
      </c>
      <c r="L2356" s="1" t="s">
        <v>45</v>
      </c>
      <c r="M2356" s="1" t="s">
        <v>106</v>
      </c>
      <c r="O2356" s="2"/>
      <c r="P2356" s="2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</row>
    <row r="2357" spans="1:32" s="1" customFormat="1" ht="20.25" customHeight="1" x14ac:dyDescent="0.25">
      <c r="A2357" s="2"/>
      <c r="B2357" s="2"/>
      <c r="C2357" s="2"/>
      <c r="D2357" s="2">
        <f>COUNTIF(contact[[#This Row],[Bagossy]:[Szo
03:00 - 10:00]],"=~?")</f>
        <v>0</v>
      </c>
      <c r="E2357" s="2">
        <f>COUNTIF(contact[[#This Row],[Bagossy]:[Szo
03:00 - 10:00]],"=x")</f>
        <v>0</v>
      </c>
      <c r="F2357" s="2">
        <f>SUM(contact[[#This Row],[?]:[x]])</f>
        <v>0</v>
      </c>
      <c r="G23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7" s="3" t="s">
        <v>1094</v>
      </c>
      <c r="K2357" s="1" t="s">
        <v>2</v>
      </c>
      <c r="L2357" s="1" t="s">
        <v>2</v>
      </c>
      <c r="M2357" s="1" t="s">
        <v>2</v>
      </c>
      <c r="O2357" s="2"/>
      <c r="P2357" s="2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</row>
    <row r="2358" spans="1:32" s="1" customFormat="1" ht="20.25" customHeight="1" x14ac:dyDescent="0.25">
      <c r="A2358" s="2"/>
      <c r="B2358" s="2"/>
      <c r="C2358" s="2"/>
      <c r="D2358" s="2">
        <f>COUNTIF(contact[[#This Row],[Bagossy]:[Szo
03:00 - 10:00]],"=~?")</f>
        <v>0</v>
      </c>
      <c r="E2358" s="2">
        <f>COUNTIF(contact[[#This Row],[Bagossy]:[Szo
03:00 - 10:00]],"=x")</f>
        <v>0</v>
      </c>
      <c r="F2358" s="2">
        <f>SUM(contact[[#This Row],[?]:[x]])</f>
        <v>0</v>
      </c>
      <c r="G23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8" s="3" t="s">
        <v>2100</v>
      </c>
      <c r="K2358" s="1" t="s">
        <v>1336</v>
      </c>
      <c r="L2358" s="1" t="s">
        <v>2</v>
      </c>
      <c r="M2358" s="1" t="s">
        <v>2</v>
      </c>
      <c r="O2358" s="2"/>
      <c r="P2358" s="2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</row>
    <row r="2359" spans="1:32" s="1" customFormat="1" ht="20.25" customHeight="1" x14ac:dyDescent="0.25">
      <c r="A2359" s="2"/>
      <c r="B2359" s="2"/>
      <c r="C2359" s="2"/>
      <c r="D2359" s="2">
        <f>COUNTIF(contact[[#This Row],[Bagossy]:[Szo
03:00 - 10:00]],"=~?")</f>
        <v>0</v>
      </c>
      <c r="E2359" s="2">
        <f>COUNTIF(contact[[#This Row],[Bagossy]:[Szo
03:00 - 10:00]],"=x")</f>
        <v>0</v>
      </c>
      <c r="F2359" s="2">
        <f>SUM(contact[[#This Row],[?]:[x]])</f>
        <v>0</v>
      </c>
      <c r="G23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59" s="3" t="s">
        <v>2682</v>
      </c>
      <c r="K2359" s="1" t="s">
        <v>2</v>
      </c>
      <c r="L2359" s="1" t="s">
        <v>2</v>
      </c>
      <c r="M2359" s="1" t="s">
        <v>2</v>
      </c>
      <c r="O2359" s="2"/>
      <c r="P2359" s="2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</row>
    <row r="2360" spans="1:32" s="1" customFormat="1" ht="20.25" customHeight="1" x14ac:dyDescent="0.25">
      <c r="A2360" s="2"/>
      <c r="B2360" s="2"/>
      <c r="C2360" s="2"/>
      <c r="D2360" s="2">
        <f>COUNTIF(contact[[#This Row],[Bagossy]:[Szo
03:00 - 10:00]],"=~?")</f>
        <v>0</v>
      </c>
      <c r="E2360" s="2">
        <f>COUNTIF(contact[[#This Row],[Bagossy]:[Szo
03:00 - 10:00]],"=x")</f>
        <v>0</v>
      </c>
      <c r="F2360" s="2">
        <f>SUM(contact[[#This Row],[?]:[x]])</f>
        <v>0</v>
      </c>
      <c r="G23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0" s="3" t="s">
        <v>2456</v>
      </c>
      <c r="K2360" s="1" t="s">
        <v>317</v>
      </c>
      <c r="L2360" s="1" t="s">
        <v>2</v>
      </c>
      <c r="M2360" s="1" t="s">
        <v>2</v>
      </c>
      <c r="O2360" s="2"/>
      <c r="P2360" s="2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</row>
    <row r="2361" spans="1:32" s="1" customFormat="1" ht="20.25" customHeight="1" x14ac:dyDescent="0.25">
      <c r="A2361" s="2"/>
      <c r="B2361" s="2"/>
      <c r="C2361" s="2"/>
      <c r="D2361" s="2">
        <f>COUNTIF(contact[[#This Row],[Bagossy]:[Szo
03:00 - 10:00]],"=~?")</f>
        <v>0</v>
      </c>
      <c r="E2361" s="2">
        <f>COUNTIF(contact[[#This Row],[Bagossy]:[Szo
03:00 - 10:00]],"=x")</f>
        <v>0</v>
      </c>
      <c r="F2361" s="2">
        <f>SUM(contact[[#This Row],[?]:[x]])</f>
        <v>0</v>
      </c>
      <c r="G23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1" s="3" t="s">
        <v>3896</v>
      </c>
      <c r="K2361" s="1" t="s">
        <v>1003</v>
      </c>
      <c r="L2361" s="1" t="s">
        <v>2</v>
      </c>
      <c r="M2361" s="1" t="s">
        <v>2</v>
      </c>
      <c r="O2361" s="2"/>
      <c r="P2361" s="2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</row>
    <row r="2362" spans="1:32" s="1" customFormat="1" ht="20.25" customHeight="1" x14ac:dyDescent="0.25">
      <c r="A2362" s="2"/>
      <c r="B2362" s="2"/>
      <c r="C2362" s="2"/>
      <c r="D2362" s="2">
        <f>COUNTIF(contact[[#This Row],[Bagossy]:[Szo
03:00 - 10:00]],"=~?")</f>
        <v>0</v>
      </c>
      <c r="E2362" s="2">
        <f>COUNTIF(contact[[#This Row],[Bagossy]:[Szo
03:00 - 10:00]],"=x")</f>
        <v>0</v>
      </c>
      <c r="F2362" s="2">
        <f>SUM(contact[[#This Row],[?]:[x]])</f>
        <v>0</v>
      </c>
      <c r="G23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2" s="3" t="s">
        <v>4035</v>
      </c>
      <c r="K2362" s="1" t="s">
        <v>1073</v>
      </c>
      <c r="L2362" s="1" t="s">
        <v>2</v>
      </c>
      <c r="M2362" s="1" t="s">
        <v>2</v>
      </c>
      <c r="O2362" s="2"/>
      <c r="P2362" s="2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</row>
    <row r="2363" spans="1:32" s="1" customFormat="1" ht="20.25" customHeight="1" x14ac:dyDescent="0.25">
      <c r="A2363" s="2"/>
      <c r="B2363" s="2"/>
      <c r="C2363" s="2"/>
      <c r="D2363" s="2">
        <f>COUNTIF(contact[[#This Row],[Bagossy]:[Szo
03:00 - 10:00]],"=~?")</f>
        <v>0</v>
      </c>
      <c r="E2363" s="2">
        <f>COUNTIF(contact[[#This Row],[Bagossy]:[Szo
03:00 - 10:00]],"=x")</f>
        <v>0</v>
      </c>
      <c r="F2363" s="2">
        <f>SUM(contact[[#This Row],[?]:[x]])</f>
        <v>0</v>
      </c>
      <c r="G23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3" s="3" t="s">
        <v>3979</v>
      </c>
      <c r="K2363" s="1" t="s">
        <v>1751</v>
      </c>
      <c r="L2363" s="1" t="s">
        <v>2</v>
      </c>
      <c r="M2363" s="1" t="s">
        <v>2</v>
      </c>
      <c r="O2363" s="2"/>
      <c r="P2363" s="2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</row>
    <row r="2364" spans="1:32" s="1" customFormat="1" ht="20.25" customHeight="1" x14ac:dyDescent="0.25">
      <c r="A2364" s="2"/>
      <c r="B2364" s="2"/>
      <c r="C2364" s="2"/>
      <c r="D2364" s="2">
        <f>COUNTIF(contact[[#This Row],[Bagossy]:[Szo
03:00 - 10:00]],"=~?")</f>
        <v>0</v>
      </c>
      <c r="E2364" s="2">
        <f>COUNTIF(contact[[#This Row],[Bagossy]:[Szo
03:00 - 10:00]],"=x")</f>
        <v>0</v>
      </c>
      <c r="F2364" s="2">
        <f>SUM(contact[[#This Row],[?]:[x]])</f>
        <v>0</v>
      </c>
      <c r="G23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4" s="3" t="s">
        <v>2311</v>
      </c>
      <c r="K2364" s="1" t="s">
        <v>237</v>
      </c>
      <c r="L2364" s="1" t="s">
        <v>2</v>
      </c>
      <c r="M2364" s="1" t="s">
        <v>2</v>
      </c>
      <c r="O2364" s="2"/>
      <c r="P2364" s="2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</row>
    <row r="2365" spans="1:32" s="1" customFormat="1" ht="20.25" customHeight="1" x14ac:dyDescent="0.25">
      <c r="A2365" s="2"/>
      <c r="B2365" s="2"/>
      <c r="C2365" s="2"/>
      <c r="D2365" s="2">
        <f>COUNTIF(contact[[#This Row],[Bagossy]:[Szo
03:00 - 10:00]],"=~?")</f>
        <v>0</v>
      </c>
      <c r="E2365" s="2">
        <f>COUNTIF(contact[[#This Row],[Bagossy]:[Szo
03:00 - 10:00]],"=x")</f>
        <v>0</v>
      </c>
      <c r="F2365" s="2">
        <f>SUM(contact[[#This Row],[?]:[x]])</f>
        <v>0</v>
      </c>
      <c r="G23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65" s="2"/>
      <c r="I2365" s="2"/>
      <c r="J2365" s="3" t="s">
        <v>4023</v>
      </c>
      <c r="K2365" s="1" t="s">
        <v>24</v>
      </c>
      <c r="L2365" s="1" t="s">
        <v>2</v>
      </c>
      <c r="M2365" s="1" t="s">
        <v>2</v>
      </c>
      <c r="O2365" s="2"/>
      <c r="P2365" s="2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</row>
    <row r="2366" spans="1:32" s="1" customFormat="1" ht="20.25" customHeight="1" x14ac:dyDescent="0.25">
      <c r="A2366" s="2"/>
      <c r="B2366" s="2"/>
      <c r="C2366" s="2"/>
      <c r="D2366" s="2">
        <f>COUNTIF(contact[[#This Row],[Bagossy]:[Szo
03:00 - 10:00]],"=~?")</f>
        <v>0</v>
      </c>
      <c r="E2366" s="2">
        <f>COUNTIF(contact[[#This Row],[Bagossy]:[Szo
03:00 - 10:00]],"=x")</f>
        <v>0</v>
      </c>
      <c r="F2366" s="2">
        <f>SUM(contact[[#This Row],[?]:[x]])</f>
        <v>0</v>
      </c>
      <c r="G23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6" s="3" t="s">
        <v>4483</v>
      </c>
      <c r="K2366" s="1" t="s">
        <v>1875</v>
      </c>
      <c r="L2366" s="1" t="s">
        <v>2</v>
      </c>
      <c r="M2366" s="1" t="s">
        <v>2</v>
      </c>
      <c r="O2366" s="2"/>
      <c r="P2366" s="2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</row>
    <row r="2367" spans="1:32" s="1" customFormat="1" ht="20.25" customHeight="1" x14ac:dyDescent="0.25">
      <c r="A2367" s="2"/>
      <c r="B2367" s="2"/>
      <c r="C2367" s="2"/>
      <c r="D2367" s="2">
        <f>COUNTIF(contact[[#This Row],[Bagossy]:[Szo
03:00 - 10:00]],"=~?")</f>
        <v>0</v>
      </c>
      <c r="E2367" s="2">
        <f>COUNTIF(contact[[#This Row],[Bagossy]:[Szo
03:00 - 10:00]],"=x")</f>
        <v>0</v>
      </c>
      <c r="F2367" s="2">
        <f>SUM(contact[[#This Row],[?]:[x]])</f>
        <v>0</v>
      </c>
      <c r="G23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7" s="3" t="s">
        <v>4089</v>
      </c>
      <c r="K2367" s="1" t="s">
        <v>1051</v>
      </c>
      <c r="L2367" s="1" t="s">
        <v>2</v>
      </c>
      <c r="M2367" s="1" t="s">
        <v>2</v>
      </c>
      <c r="O2367" s="2"/>
      <c r="P2367" s="2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</row>
    <row r="2368" spans="1:32" s="1" customFormat="1" ht="20.25" customHeight="1" x14ac:dyDescent="0.25">
      <c r="A2368" s="2"/>
      <c r="B2368" s="2"/>
      <c r="C2368" s="2"/>
      <c r="D2368" s="2">
        <f>COUNTIF(contact[[#This Row],[Bagossy]:[Szo
03:00 - 10:00]],"=~?")</f>
        <v>0</v>
      </c>
      <c r="E2368" s="2">
        <f>COUNTIF(contact[[#This Row],[Bagossy]:[Szo
03:00 - 10:00]],"=x")</f>
        <v>0</v>
      </c>
      <c r="F2368" s="2">
        <f>SUM(contact[[#This Row],[?]:[x]])</f>
        <v>0</v>
      </c>
      <c r="G23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8" s="3" t="s">
        <v>3899</v>
      </c>
      <c r="K2368" s="1" t="s">
        <v>2</v>
      </c>
      <c r="L2368" s="1" t="s">
        <v>2</v>
      </c>
      <c r="M2368" s="1" t="s">
        <v>2</v>
      </c>
      <c r="O2368" s="2"/>
      <c r="P2368" s="2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</row>
    <row r="2369" spans="1:32" s="1" customFormat="1" ht="20.25" customHeight="1" x14ac:dyDescent="0.25">
      <c r="A2369" s="2"/>
      <c r="B2369" s="2"/>
      <c r="C2369" s="2"/>
      <c r="D2369" s="2">
        <f>COUNTIF(contact[[#This Row],[Bagossy]:[Szo
03:00 - 10:00]],"=~?")</f>
        <v>0</v>
      </c>
      <c r="E2369" s="2">
        <f>COUNTIF(contact[[#This Row],[Bagossy]:[Szo
03:00 - 10:00]],"=x")</f>
        <v>0</v>
      </c>
      <c r="F2369" s="2">
        <f>SUM(contact[[#This Row],[?]:[x]])</f>
        <v>0</v>
      </c>
      <c r="G23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69" s="3" t="s">
        <v>3586</v>
      </c>
      <c r="K2369" s="1" t="s">
        <v>1313</v>
      </c>
      <c r="L2369" s="1" t="s">
        <v>2</v>
      </c>
      <c r="M2369" s="1" t="s">
        <v>2</v>
      </c>
      <c r="O2369" s="2"/>
      <c r="P2369" s="2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</row>
    <row r="2370" spans="1:32" s="1" customFormat="1" ht="20.25" customHeight="1" x14ac:dyDescent="0.25">
      <c r="A2370" s="2"/>
      <c r="B2370" s="2"/>
      <c r="C2370" s="2"/>
      <c r="D2370" s="2">
        <f>COUNTIF(contact[[#This Row],[Bagossy]:[Szo
03:00 - 10:00]],"=~?")</f>
        <v>0</v>
      </c>
      <c r="E2370" s="2">
        <f>COUNTIF(contact[[#This Row],[Bagossy]:[Szo
03:00 - 10:00]],"=x")</f>
        <v>0</v>
      </c>
      <c r="F2370" s="2">
        <f>SUM(contact[[#This Row],[?]:[x]])</f>
        <v>0</v>
      </c>
      <c r="G23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0" s="3" t="s">
        <v>2877</v>
      </c>
      <c r="K2370" s="1" t="s">
        <v>1506</v>
      </c>
      <c r="L2370" s="1" t="s">
        <v>2</v>
      </c>
      <c r="M2370" s="1" t="s">
        <v>2</v>
      </c>
      <c r="O2370" s="2"/>
      <c r="P2370" s="2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</row>
    <row r="2371" spans="1:32" s="1" customFormat="1" ht="20.25" customHeight="1" x14ac:dyDescent="0.25">
      <c r="A2371" s="2"/>
      <c r="B2371" s="2"/>
      <c r="C2371" s="2"/>
      <c r="D2371" s="2">
        <f>COUNTIF(contact[[#This Row],[Bagossy]:[Szo
03:00 - 10:00]],"=~?")</f>
        <v>0</v>
      </c>
      <c r="E2371" s="2">
        <f>COUNTIF(contact[[#This Row],[Bagossy]:[Szo
03:00 - 10:00]],"=x")</f>
        <v>0</v>
      </c>
      <c r="F2371" s="2">
        <f>SUM(contact[[#This Row],[?]:[x]])</f>
        <v>0</v>
      </c>
      <c r="G23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1" s="3" t="s">
        <v>1961</v>
      </c>
      <c r="K2371" s="1" t="s">
        <v>568</v>
      </c>
      <c r="L2371" s="1" t="s">
        <v>2</v>
      </c>
      <c r="M2371" s="1" t="s">
        <v>2</v>
      </c>
      <c r="O2371" s="2"/>
      <c r="P2371" s="2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</row>
    <row r="2372" spans="1:32" s="1" customFormat="1" ht="20.25" customHeight="1" x14ac:dyDescent="0.25">
      <c r="A2372" s="2"/>
      <c r="B2372" s="2"/>
      <c r="C2372" s="2"/>
      <c r="D2372" s="2">
        <f>COUNTIF(contact[[#This Row],[Bagossy]:[Szo
03:00 - 10:00]],"=~?")</f>
        <v>0</v>
      </c>
      <c r="E2372" s="2">
        <f>COUNTIF(contact[[#This Row],[Bagossy]:[Szo
03:00 - 10:00]],"=x")</f>
        <v>0</v>
      </c>
      <c r="F2372" s="2">
        <f>SUM(contact[[#This Row],[?]:[x]])</f>
        <v>0</v>
      </c>
      <c r="G23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2" s="3" t="s">
        <v>1096</v>
      </c>
      <c r="K2372" s="1" t="s">
        <v>2</v>
      </c>
      <c r="L2372" s="1" t="s">
        <v>2</v>
      </c>
      <c r="M2372" s="1" t="s">
        <v>2</v>
      </c>
      <c r="O2372" s="2"/>
      <c r="P2372" s="2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</row>
    <row r="2373" spans="1:32" s="1" customFormat="1" ht="20.25" customHeight="1" x14ac:dyDescent="0.25">
      <c r="A2373" s="2"/>
      <c r="B2373" s="2"/>
      <c r="C2373" s="2"/>
      <c r="D2373" s="2">
        <f>COUNTIF(contact[[#This Row],[Bagossy]:[Szo
03:00 - 10:00]],"=~?")</f>
        <v>0</v>
      </c>
      <c r="E2373" s="2">
        <f>COUNTIF(contact[[#This Row],[Bagossy]:[Szo
03:00 - 10:00]],"=x")</f>
        <v>0</v>
      </c>
      <c r="F2373" s="2">
        <f>SUM(contact[[#This Row],[?]:[x]])</f>
        <v>0</v>
      </c>
      <c r="G23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3" s="3" t="s">
        <v>2395</v>
      </c>
      <c r="K2373" s="1" t="s">
        <v>2</v>
      </c>
      <c r="L2373" s="1" t="s">
        <v>2</v>
      </c>
      <c r="M2373" s="1" t="s">
        <v>2</v>
      </c>
      <c r="O2373" s="2"/>
      <c r="P2373" s="2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</row>
    <row r="2374" spans="1:32" s="1" customFormat="1" ht="20.25" customHeight="1" x14ac:dyDescent="0.25">
      <c r="A2374" s="2"/>
      <c r="B2374" s="2"/>
      <c r="C2374" s="2"/>
      <c r="D2374" s="2">
        <f>COUNTIF(contact[[#This Row],[Bagossy]:[Szo
03:00 - 10:00]],"=~?")</f>
        <v>0</v>
      </c>
      <c r="E2374" s="2">
        <f>COUNTIF(contact[[#This Row],[Bagossy]:[Szo
03:00 - 10:00]],"=x")</f>
        <v>0</v>
      </c>
      <c r="F2374" s="2">
        <f>SUM(contact[[#This Row],[?]:[x]])</f>
        <v>0</v>
      </c>
      <c r="G23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4" s="3" t="s">
        <v>3485</v>
      </c>
      <c r="K2374" s="1" t="s">
        <v>810</v>
      </c>
      <c r="L2374" s="1" t="s">
        <v>2</v>
      </c>
      <c r="M2374" s="1" t="s">
        <v>2</v>
      </c>
      <c r="O2374" s="2"/>
      <c r="P2374" s="2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</row>
    <row r="2375" spans="1:32" s="1" customFormat="1" ht="20.25" customHeight="1" x14ac:dyDescent="0.25">
      <c r="A2375" s="2"/>
      <c r="B2375" s="2"/>
      <c r="C2375" s="2"/>
      <c r="D2375" s="2">
        <f>COUNTIF(contact[[#This Row],[Bagossy]:[Szo
03:00 - 10:00]],"=~?")</f>
        <v>0</v>
      </c>
      <c r="E2375" s="2">
        <f>COUNTIF(contact[[#This Row],[Bagossy]:[Szo
03:00 - 10:00]],"=x")</f>
        <v>0</v>
      </c>
      <c r="F2375" s="2">
        <f>SUM(contact[[#This Row],[?]:[x]])</f>
        <v>0</v>
      </c>
      <c r="G23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5" s="3" t="s">
        <v>3108</v>
      </c>
      <c r="K2375" s="1" t="s">
        <v>648</v>
      </c>
      <c r="L2375" s="1" t="s">
        <v>2</v>
      </c>
      <c r="M2375" s="1" t="s">
        <v>2</v>
      </c>
      <c r="O2375" s="2"/>
      <c r="P2375" s="2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</row>
    <row r="2376" spans="1:32" s="1" customFormat="1" ht="20.25" customHeight="1" x14ac:dyDescent="0.25">
      <c r="A2376" s="2"/>
      <c r="B2376" s="2"/>
      <c r="C2376" s="2"/>
      <c r="D2376" s="2">
        <f>COUNTIF(contact[[#This Row],[Bagossy]:[Szo
03:00 - 10:00]],"=~?")</f>
        <v>0</v>
      </c>
      <c r="E2376" s="2">
        <f>COUNTIF(contact[[#This Row],[Bagossy]:[Szo
03:00 - 10:00]],"=x")</f>
        <v>0</v>
      </c>
      <c r="F2376" s="2">
        <f>SUM(contact[[#This Row],[?]:[x]])</f>
        <v>0</v>
      </c>
      <c r="G23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6" s="3" t="s">
        <v>3759</v>
      </c>
      <c r="K2376" s="1" t="s">
        <v>929</v>
      </c>
      <c r="L2376" s="1" t="s">
        <v>2</v>
      </c>
      <c r="M2376" s="1" t="s">
        <v>2</v>
      </c>
      <c r="O2376" s="2"/>
      <c r="P2376" s="2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</row>
    <row r="2377" spans="1:32" s="1" customFormat="1" ht="20.25" customHeight="1" x14ac:dyDescent="0.25">
      <c r="A2377" s="2"/>
      <c r="B2377" s="2"/>
      <c r="C2377" s="2"/>
      <c r="D2377" s="2">
        <f>COUNTIF(contact[[#This Row],[Bagossy]:[Szo
03:00 - 10:00]],"=~?")</f>
        <v>0</v>
      </c>
      <c r="E2377" s="2">
        <f>COUNTIF(contact[[#This Row],[Bagossy]:[Szo
03:00 - 10:00]],"=x")</f>
        <v>0</v>
      </c>
      <c r="F2377" s="2">
        <f>SUM(contact[[#This Row],[?]:[x]])</f>
        <v>0</v>
      </c>
      <c r="G23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7" s="3" t="s">
        <v>2878</v>
      </c>
      <c r="K2377" s="1" t="s">
        <v>2</v>
      </c>
      <c r="L2377" s="1" t="s">
        <v>2</v>
      </c>
      <c r="M2377" s="1" t="s">
        <v>2</v>
      </c>
      <c r="O2377" s="2"/>
      <c r="P2377" s="2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</row>
    <row r="2378" spans="1:32" s="1" customFormat="1" ht="20.25" customHeight="1" x14ac:dyDescent="0.25">
      <c r="A2378" s="2"/>
      <c r="B2378" s="2"/>
      <c r="C2378" s="2"/>
      <c r="D2378" s="2">
        <f>COUNTIF(contact[[#This Row],[Bagossy]:[Szo
03:00 - 10:00]],"=~?")</f>
        <v>0</v>
      </c>
      <c r="E2378" s="2">
        <f>COUNTIF(contact[[#This Row],[Bagossy]:[Szo
03:00 - 10:00]],"=x")</f>
        <v>0</v>
      </c>
      <c r="F2378" s="2">
        <f>SUM(contact[[#This Row],[?]:[x]])</f>
        <v>0</v>
      </c>
      <c r="G23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78" s="3" t="s">
        <v>3178</v>
      </c>
      <c r="K2378" s="1" t="s">
        <v>2</v>
      </c>
      <c r="L2378" s="1" t="s">
        <v>2</v>
      </c>
      <c r="M2378" s="1" t="s">
        <v>2</v>
      </c>
      <c r="O2378" s="2"/>
      <c r="P2378" s="2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</row>
    <row r="2379" spans="1:32" s="1" customFormat="1" ht="20.25" customHeight="1" x14ac:dyDescent="0.25">
      <c r="A2379" s="2"/>
      <c r="B2379" s="2"/>
      <c r="C2379" s="2"/>
      <c r="D2379" s="2">
        <f>COUNTIF(contact[[#This Row],[Bagossy]:[Szo
03:00 - 10:00]],"=~?")</f>
        <v>0</v>
      </c>
      <c r="E2379" s="2">
        <f>COUNTIF(contact[[#This Row],[Bagossy]:[Szo
03:00 - 10:00]],"=x")</f>
        <v>0</v>
      </c>
      <c r="F2379" s="2">
        <f>SUM(contact[[#This Row],[?]:[x]])</f>
        <v>0</v>
      </c>
      <c r="G23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79" s="2"/>
      <c r="I2379" s="2"/>
      <c r="J2379" s="3" t="s">
        <v>4024</v>
      </c>
      <c r="K2379" s="1" t="s">
        <v>26</v>
      </c>
      <c r="L2379" s="1" t="s">
        <v>2</v>
      </c>
      <c r="M2379" s="1" t="s">
        <v>2</v>
      </c>
      <c r="O2379" s="2"/>
      <c r="P2379" s="2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</row>
    <row r="2380" spans="1:32" s="1" customFormat="1" ht="20.25" customHeight="1" x14ac:dyDescent="0.25">
      <c r="A2380" s="2"/>
      <c r="B2380" s="2"/>
      <c r="C2380" s="2"/>
      <c r="D2380" s="2">
        <f>COUNTIF(contact[[#This Row],[Bagossy]:[Szo
03:00 - 10:00]],"=~?")</f>
        <v>0</v>
      </c>
      <c r="E2380" s="2">
        <f>COUNTIF(contact[[#This Row],[Bagossy]:[Szo
03:00 - 10:00]],"=x")</f>
        <v>0</v>
      </c>
      <c r="F2380" s="2">
        <f>SUM(contact[[#This Row],[?]:[x]])</f>
        <v>0</v>
      </c>
      <c r="G23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0" s="3" t="s">
        <v>2286</v>
      </c>
      <c r="K2380" s="1" t="s">
        <v>1383</v>
      </c>
      <c r="L2380" s="1" t="s">
        <v>2</v>
      </c>
      <c r="M2380" s="1" t="s">
        <v>2</v>
      </c>
      <c r="O2380" s="2"/>
      <c r="P2380" s="2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</row>
    <row r="2381" spans="1:32" s="1" customFormat="1" ht="20.25" customHeight="1" x14ac:dyDescent="0.25">
      <c r="A2381" s="2"/>
      <c r="B2381" s="2"/>
      <c r="C2381" s="2"/>
      <c r="D2381" s="2">
        <f>COUNTIF(contact[[#This Row],[Bagossy]:[Szo
03:00 - 10:00]],"=~?")</f>
        <v>0</v>
      </c>
      <c r="E2381" s="2">
        <f>COUNTIF(contact[[#This Row],[Bagossy]:[Szo
03:00 - 10:00]],"=x")</f>
        <v>0</v>
      </c>
      <c r="F2381" s="2">
        <f>SUM(contact[[#This Row],[?]:[x]])</f>
        <v>0</v>
      </c>
      <c r="G23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81" s="2"/>
      <c r="I2381" s="2"/>
      <c r="J2381" s="3" t="s">
        <v>4026</v>
      </c>
      <c r="K2381" s="1" t="s">
        <v>6</v>
      </c>
      <c r="L2381" s="1" t="s">
        <v>2</v>
      </c>
      <c r="M2381" s="1" t="s">
        <v>2</v>
      </c>
      <c r="O2381" s="2"/>
      <c r="P2381" s="2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</row>
    <row r="2382" spans="1:32" s="1" customFormat="1" ht="20.25" customHeight="1" x14ac:dyDescent="0.25">
      <c r="A2382" s="2"/>
      <c r="B2382" s="2"/>
      <c r="C2382" s="2"/>
      <c r="D2382" s="2">
        <f>COUNTIF(contact[[#This Row],[Bagossy]:[Szo
03:00 - 10:00]],"=~?")</f>
        <v>0</v>
      </c>
      <c r="E2382" s="2">
        <f>COUNTIF(contact[[#This Row],[Bagossy]:[Szo
03:00 - 10:00]],"=x")</f>
        <v>0</v>
      </c>
      <c r="F2382" s="2">
        <f>SUM(contact[[#This Row],[?]:[x]])</f>
        <v>0</v>
      </c>
      <c r="G23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2" s="3" t="s">
        <v>3057</v>
      </c>
      <c r="K2382" s="1" t="s">
        <v>1553</v>
      </c>
      <c r="L2382" s="1" t="s">
        <v>2</v>
      </c>
      <c r="M2382" s="1" t="s">
        <v>2</v>
      </c>
      <c r="O2382" s="2"/>
      <c r="P2382" s="2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</row>
    <row r="2383" spans="1:32" s="1" customFormat="1" ht="20.25" customHeight="1" x14ac:dyDescent="0.25">
      <c r="A2383" s="2"/>
      <c r="B2383" s="2"/>
      <c r="C2383" s="2"/>
      <c r="D2383" s="2">
        <f>COUNTIF(contact[[#This Row],[Bagossy]:[Szo
03:00 - 10:00]],"=~?")</f>
        <v>0</v>
      </c>
      <c r="E2383" s="2">
        <f>COUNTIF(contact[[#This Row],[Bagossy]:[Szo
03:00 - 10:00]],"=x")</f>
        <v>0</v>
      </c>
      <c r="F2383" s="2">
        <f>SUM(contact[[#This Row],[?]:[x]])</f>
        <v>0</v>
      </c>
      <c r="G23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3" s="3" t="s">
        <v>3402</v>
      </c>
      <c r="K2383" s="1" t="s">
        <v>781</v>
      </c>
      <c r="L2383" s="1" t="s">
        <v>2</v>
      </c>
      <c r="M2383" s="1" t="s">
        <v>2</v>
      </c>
      <c r="O2383" s="2"/>
      <c r="P2383" s="2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</row>
    <row r="2384" spans="1:32" s="1" customFormat="1" ht="20.25" customHeight="1" x14ac:dyDescent="0.25">
      <c r="A2384" s="2" t="s">
        <v>1285</v>
      </c>
      <c r="B2384" s="2" t="s">
        <v>1285</v>
      </c>
      <c r="C2384" s="2" t="s">
        <v>1285</v>
      </c>
      <c r="D2384" s="2">
        <f>COUNTIF(contact[[#This Row],[Bagossy]:[Szo
03:00 - 10:00]],"=~?")</f>
        <v>1</v>
      </c>
      <c r="E2384" s="2">
        <f>COUNTIF(contact[[#This Row],[Bagossy]:[Szo
03:00 - 10:00]],"=x")</f>
        <v>8</v>
      </c>
      <c r="F2384" s="2">
        <f>SUM(contact[[#This Row],[?]:[x]])</f>
        <v>9</v>
      </c>
      <c r="G2384" s="2">
        <f>COUNTIF(contact[[#This Row],[Sze
10:00 - 22:00]:[Cs
03:00 - 08:00]],"=x")+COUNTIF(contact[[#This Row],[P
08:00 - 12:00]:[P
03:00 - 08:00]],"=x")+COUNTIF(contact[[#This Row],[Szo
08:00 - 12:00]:[Szo
03:00 - 10:00]],"=x")</f>
        <v>7</v>
      </c>
      <c r="H2384" s="2" t="s">
        <v>4623</v>
      </c>
      <c r="I2384" s="2" t="s">
        <v>1285</v>
      </c>
      <c r="J2384" s="3" t="s">
        <v>4028</v>
      </c>
      <c r="K2384" s="1" t="s">
        <v>1765</v>
      </c>
      <c r="L2384" s="1" t="s">
        <v>2</v>
      </c>
      <c r="M2384" s="1" t="s">
        <v>2</v>
      </c>
      <c r="N2384" s="2" t="s">
        <v>4612</v>
      </c>
      <c r="O2384" s="2" t="s">
        <v>1285</v>
      </c>
      <c r="P2384" s="2"/>
      <c r="Q2384" s="6"/>
      <c r="R2384" s="6"/>
      <c r="S2384" s="6" t="s">
        <v>1285</v>
      </c>
      <c r="T2384" s="6" t="s">
        <v>1285</v>
      </c>
      <c r="U2384" s="6" t="s">
        <v>1285</v>
      </c>
      <c r="V2384" s="6"/>
      <c r="W2384" s="6"/>
      <c r="X2384" s="6"/>
      <c r="Y2384" s="6" t="s">
        <v>1285</v>
      </c>
      <c r="Z2384" s="6" t="s">
        <v>1285</v>
      </c>
      <c r="AA2384" s="6"/>
      <c r="AB2384" s="6"/>
      <c r="AC2384" s="6" t="s">
        <v>4616</v>
      </c>
      <c r="AD2384" s="6" t="s">
        <v>1285</v>
      </c>
      <c r="AE2384" s="6" t="s">
        <v>1285</v>
      </c>
      <c r="AF2384" s="6"/>
    </row>
    <row r="2385" spans="1:32" s="1" customFormat="1" ht="20.25" customHeight="1" x14ac:dyDescent="0.25">
      <c r="A2385" s="2"/>
      <c r="B2385" s="2"/>
      <c r="C2385" s="2" t="s">
        <v>1285</v>
      </c>
      <c r="D2385" s="2">
        <f>COUNTIF(contact[[#This Row],[Bagossy]:[Szo
03:00 - 10:00]],"=~?")</f>
        <v>0</v>
      </c>
      <c r="E2385" s="2">
        <f>COUNTIF(contact[[#This Row],[Bagossy]:[Szo
03:00 - 10:00]],"=x")</f>
        <v>0</v>
      </c>
      <c r="F2385" s="2">
        <f>SUM(contact[[#This Row],[?]:[x]])</f>
        <v>0</v>
      </c>
      <c r="G23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85" s="2" t="s">
        <v>4616</v>
      </c>
      <c r="I2385" s="2"/>
      <c r="J2385" s="3" t="s">
        <v>1097</v>
      </c>
      <c r="K2385" s="1" t="s">
        <v>6</v>
      </c>
      <c r="L2385" s="1" t="s">
        <v>2</v>
      </c>
      <c r="M2385" s="1" t="s">
        <v>2</v>
      </c>
      <c r="O2385" s="2"/>
      <c r="P2385" s="2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</row>
    <row r="2386" spans="1:32" s="1" customFormat="1" ht="20.25" customHeight="1" x14ac:dyDescent="0.25">
      <c r="A2386" s="2"/>
      <c r="B2386" s="2"/>
      <c r="C2386" s="2"/>
      <c r="D2386" s="2">
        <f>COUNTIF(contact[[#This Row],[Bagossy]:[Szo
03:00 - 10:00]],"=~?")</f>
        <v>0</v>
      </c>
      <c r="E2386" s="2">
        <f>COUNTIF(contact[[#This Row],[Bagossy]:[Szo
03:00 - 10:00]],"=x")</f>
        <v>0</v>
      </c>
      <c r="F2386" s="2">
        <f>SUM(contact[[#This Row],[?]:[x]])</f>
        <v>0</v>
      </c>
      <c r="G23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6" s="3" t="s">
        <v>2339</v>
      </c>
      <c r="K2386" s="1" t="s">
        <v>1394</v>
      </c>
      <c r="L2386" s="1" t="s">
        <v>2</v>
      </c>
      <c r="M2386" s="1" t="s">
        <v>2</v>
      </c>
      <c r="O2386" s="2"/>
      <c r="P2386" s="2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</row>
    <row r="2387" spans="1:32" s="1" customFormat="1" ht="20.25" customHeight="1" x14ac:dyDescent="0.25">
      <c r="A2387" s="2"/>
      <c r="B2387" s="2"/>
      <c r="C2387" s="2"/>
      <c r="D2387" s="2">
        <f>COUNTIF(contact[[#This Row],[Bagossy]:[Szo
03:00 - 10:00]],"=~?")</f>
        <v>0</v>
      </c>
      <c r="E2387" s="2">
        <f>COUNTIF(contact[[#This Row],[Bagossy]:[Szo
03:00 - 10:00]],"=x")</f>
        <v>0</v>
      </c>
      <c r="F2387" s="2">
        <f>SUM(contact[[#This Row],[?]:[x]])</f>
        <v>0</v>
      </c>
      <c r="G23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7" s="3" t="s">
        <v>1217</v>
      </c>
      <c r="K2387" s="1" t="s">
        <v>97</v>
      </c>
      <c r="L2387" s="1" t="s">
        <v>2</v>
      </c>
      <c r="M2387" s="1" t="s">
        <v>2</v>
      </c>
      <c r="O2387" s="2"/>
      <c r="P2387" s="2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</row>
    <row r="2388" spans="1:32" s="1" customFormat="1" ht="20.25" customHeight="1" x14ac:dyDescent="0.25">
      <c r="A2388" s="2"/>
      <c r="B2388" s="2"/>
      <c r="C2388" s="2"/>
      <c r="D2388" s="2">
        <f>COUNTIF(contact[[#This Row],[Bagossy]:[Szo
03:00 - 10:00]],"=~?")</f>
        <v>0</v>
      </c>
      <c r="E2388" s="2">
        <f>COUNTIF(contact[[#This Row],[Bagossy]:[Szo
03:00 - 10:00]],"=x")</f>
        <v>0</v>
      </c>
      <c r="F2388" s="2">
        <f>SUM(contact[[#This Row],[?]:[x]])</f>
        <v>0</v>
      </c>
      <c r="G23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8" s="3" t="s">
        <v>2300</v>
      </c>
      <c r="K2388" s="1" t="s">
        <v>2</v>
      </c>
      <c r="L2388" s="1" t="s">
        <v>2</v>
      </c>
      <c r="M2388" s="1" t="s">
        <v>2</v>
      </c>
      <c r="O2388" s="2"/>
      <c r="P2388" s="2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</row>
    <row r="2389" spans="1:32" s="1" customFormat="1" ht="20.25" customHeight="1" x14ac:dyDescent="0.25">
      <c r="A2389" s="2"/>
      <c r="B2389" s="2"/>
      <c r="C2389" s="2"/>
      <c r="D2389" s="2">
        <f>COUNTIF(contact[[#This Row],[Bagossy]:[Szo
03:00 - 10:00]],"=~?")</f>
        <v>0</v>
      </c>
      <c r="E2389" s="2">
        <f>COUNTIF(contact[[#This Row],[Bagossy]:[Szo
03:00 - 10:00]],"=x")</f>
        <v>0</v>
      </c>
      <c r="F2389" s="2">
        <f>SUM(contact[[#This Row],[?]:[x]])</f>
        <v>0</v>
      </c>
      <c r="G23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89" s="3" t="s">
        <v>3543</v>
      </c>
      <c r="K2389" s="1" t="s">
        <v>2</v>
      </c>
      <c r="L2389" s="1" t="s">
        <v>2</v>
      </c>
      <c r="M2389" s="1" t="s">
        <v>2</v>
      </c>
      <c r="O2389" s="2"/>
      <c r="P2389" s="2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</row>
    <row r="2390" spans="1:32" s="1" customFormat="1" ht="20.25" customHeight="1" x14ac:dyDescent="0.25">
      <c r="A2390" s="2"/>
      <c r="B2390" s="2"/>
      <c r="C2390" s="2"/>
      <c r="D2390" s="2">
        <f>COUNTIF(contact[[#This Row],[Bagossy]:[Szo
03:00 - 10:00]],"=~?")</f>
        <v>0</v>
      </c>
      <c r="E2390" s="2">
        <f>COUNTIF(contact[[#This Row],[Bagossy]:[Szo
03:00 - 10:00]],"=x")</f>
        <v>0</v>
      </c>
      <c r="F2390" s="2">
        <f>SUM(contact[[#This Row],[?]:[x]])</f>
        <v>0</v>
      </c>
      <c r="G23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90" s="3" t="s">
        <v>4139</v>
      </c>
      <c r="K2390" s="1" t="s">
        <v>2</v>
      </c>
      <c r="L2390" s="1" t="s">
        <v>2</v>
      </c>
      <c r="M2390" s="1" t="s">
        <v>2</v>
      </c>
      <c r="O2390" s="2"/>
      <c r="P2390" s="2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</row>
    <row r="2391" spans="1:32" s="1" customFormat="1" ht="20.25" customHeight="1" x14ac:dyDescent="0.25">
      <c r="A2391" s="2"/>
      <c r="B2391" s="2"/>
      <c r="C2391" s="2"/>
      <c r="D2391" s="2">
        <f>COUNTIF(contact[[#This Row],[Bagossy]:[Szo
03:00 - 10:00]],"=~?")</f>
        <v>0</v>
      </c>
      <c r="E2391" s="2">
        <f>COUNTIF(contact[[#This Row],[Bagossy]:[Szo
03:00 - 10:00]],"=x")</f>
        <v>0</v>
      </c>
      <c r="F2391" s="2">
        <f>SUM(contact[[#This Row],[?]:[x]])</f>
        <v>0</v>
      </c>
      <c r="G23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91" s="3" t="s">
        <v>4299</v>
      </c>
      <c r="K2391" s="1" t="s">
        <v>1835</v>
      </c>
      <c r="L2391" s="1" t="s">
        <v>2</v>
      </c>
      <c r="M2391" s="1" t="s">
        <v>2</v>
      </c>
      <c r="O2391" s="2"/>
      <c r="P2391" s="2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</row>
    <row r="2392" spans="1:32" s="1" customFormat="1" ht="20.25" customHeight="1" x14ac:dyDescent="0.25">
      <c r="A2392" s="2"/>
      <c r="B2392" s="2"/>
      <c r="C2392" s="2"/>
      <c r="D2392" s="2">
        <f>COUNTIF(contact[[#This Row],[Bagossy]:[Szo
03:00 - 10:00]],"=~?")</f>
        <v>0</v>
      </c>
      <c r="E2392" s="2">
        <f>COUNTIF(contact[[#This Row],[Bagossy]:[Szo
03:00 - 10:00]],"=x")</f>
        <v>0</v>
      </c>
      <c r="F2392" s="2">
        <f>SUM(contact[[#This Row],[?]:[x]])</f>
        <v>0</v>
      </c>
      <c r="G23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92" s="2"/>
      <c r="I2392" s="2"/>
      <c r="J2392" s="3" t="s">
        <v>4036</v>
      </c>
      <c r="K2392" s="1" t="s">
        <v>1767</v>
      </c>
      <c r="L2392" s="1" t="s">
        <v>2</v>
      </c>
      <c r="M2392" s="1" t="s">
        <v>2</v>
      </c>
      <c r="O2392" s="2"/>
      <c r="P2392" s="2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</row>
    <row r="2393" spans="1:32" s="1" customFormat="1" ht="20.25" customHeight="1" x14ac:dyDescent="0.25">
      <c r="A2393" s="2"/>
      <c r="B2393" s="2"/>
      <c r="C2393" s="2" t="s">
        <v>1285</v>
      </c>
      <c r="D2393" s="2">
        <f>COUNTIF(contact[[#This Row],[Bagossy]:[Szo
03:00 - 10:00]],"=~?")</f>
        <v>0</v>
      </c>
      <c r="E2393" s="2">
        <f>COUNTIF(contact[[#This Row],[Bagossy]:[Szo
03:00 - 10:00]],"=x")</f>
        <v>0</v>
      </c>
      <c r="F2393" s="2">
        <f>SUM(contact[[#This Row],[?]:[x]])</f>
        <v>0</v>
      </c>
      <c r="G23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93" s="2"/>
      <c r="I2393" s="2"/>
      <c r="J2393" s="3" t="s">
        <v>4040</v>
      </c>
      <c r="K2393" s="1" t="s">
        <v>27</v>
      </c>
      <c r="L2393" s="1" t="s">
        <v>2</v>
      </c>
      <c r="M2393" s="1" t="s">
        <v>2</v>
      </c>
      <c r="O2393" s="2"/>
      <c r="P2393" s="2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</row>
    <row r="2394" spans="1:32" s="1" customFormat="1" ht="20.25" customHeight="1" x14ac:dyDescent="0.25">
      <c r="A2394" s="2"/>
      <c r="B2394" s="2"/>
      <c r="C2394" s="2" t="s">
        <v>1285</v>
      </c>
      <c r="D2394" s="2">
        <f>COUNTIF(contact[[#This Row],[Bagossy]:[Szo
03:00 - 10:00]],"=~?")</f>
        <v>0</v>
      </c>
      <c r="E2394" s="2">
        <f>COUNTIF(contact[[#This Row],[Bagossy]:[Szo
03:00 - 10:00]],"=x")</f>
        <v>0</v>
      </c>
      <c r="F2394" s="2">
        <f>SUM(contact[[#This Row],[?]:[x]])</f>
        <v>0</v>
      </c>
      <c r="G23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94" s="2"/>
      <c r="I2394" s="2"/>
      <c r="J2394" s="3" t="s">
        <v>4044</v>
      </c>
      <c r="K2394" s="1" t="s">
        <v>6</v>
      </c>
      <c r="L2394" s="1" t="s">
        <v>2</v>
      </c>
      <c r="M2394" s="1" t="s">
        <v>2</v>
      </c>
      <c r="O2394" s="2"/>
      <c r="P2394" s="2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</row>
    <row r="2395" spans="1:32" s="1" customFormat="1" ht="20.25" customHeight="1" x14ac:dyDescent="0.25">
      <c r="A2395" s="2"/>
      <c r="B2395" s="2"/>
      <c r="C2395" s="2"/>
      <c r="D2395" s="2">
        <f>COUNTIF(contact[[#This Row],[Bagossy]:[Szo
03:00 - 10:00]],"=~?")</f>
        <v>0</v>
      </c>
      <c r="E2395" s="2">
        <f>COUNTIF(contact[[#This Row],[Bagossy]:[Szo
03:00 - 10:00]],"=x")</f>
        <v>0</v>
      </c>
      <c r="F2395" s="2">
        <f>SUM(contact[[#This Row],[?]:[x]])</f>
        <v>0</v>
      </c>
      <c r="G23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95" s="3" t="s">
        <v>4557</v>
      </c>
      <c r="K2395" s="1" t="s">
        <v>1271</v>
      </c>
      <c r="L2395" s="1" t="s">
        <v>2</v>
      </c>
      <c r="M2395" s="1" t="s">
        <v>2</v>
      </c>
      <c r="O2395" s="2"/>
      <c r="P2395" s="2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</row>
    <row r="2396" spans="1:32" s="1" customFormat="1" ht="20.25" customHeight="1" x14ac:dyDescent="0.25">
      <c r="A2396" s="2"/>
      <c r="B2396" s="2"/>
      <c r="C2396" s="2" t="s">
        <v>1285</v>
      </c>
      <c r="D2396" s="2">
        <f>COUNTIF(contact[[#This Row],[Bagossy]:[Szo
03:00 - 10:00]],"=~?")</f>
        <v>0</v>
      </c>
      <c r="E2396" s="2">
        <f>COUNTIF(contact[[#This Row],[Bagossy]:[Szo
03:00 - 10:00]],"=x")</f>
        <v>0</v>
      </c>
      <c r="F2396" s="2">
        <f>SUM(contact[[#This Row],[?]:[x]])</f>
        <v>0</v>
      </c>
      <c r="G23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396" s="2"/>
      <c r="I2396" s="2"/>
      <c r="J2396" s="3" t="s">
        <v>4049</v>
      </c>
      <c r="K2396" s="1" t="s">
        <v>1771</v>
      </c>
      <c r="L2396" s="1" t="s">
        <v>2</v>
      </c>
      <c r="M2396" s="1" t="s">
        <v>2</v>
      </c>
      <c r="O2396" s="2"/>
      <c r="P2396" s="2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</row>
    <row r="2397" spans="1:32" s="1" customFormat="1" ht="20.25" customHeight="1" x14ac:dyDescent="0.25">
      <c r="A2397" s="2"/>
      <c r="B2397" s="2"/>
      <c r="C2397" s="2"/>
      <c r="D2397" s="2">
        <f>COUNTIF(contact[[#This Row],[Bagossy]:[Szo
03:00 - 10:00]],"=~?")</f>
        <v>0</v>
      </c>
      <c r="E2397" s="2">
        <f>COUNTIF(contact[[#This Row],[Bagossy]:[Szo
03:00 - 10:00]],"=x")</f>
        <v>0</v>
      </c>
      <c r="F2397" s="2">
        <f>SUM(contact[[#This Row],[?]:[x]])</f>
        <v>0</v>
      </c>
      <c r="G23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97" s="3" t="s">
        <v>2457</v>
      </c>
      <c r="K2397" s="1" t="s">
        <v>318</v>
      </c>
      <c r="L2397" s="1" t="s">
        <v>2</v>
      </c>
      <c r="M2397" s="1" t="s">
        <v>2</v>
      </c>
      <c r="O2397" s="2"/>
      <c r="P2397" s="2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</row>
    <row r="2398" spans="1:32" s="1" customFormat="1" ht="20.25" customHeight="1" x14ac:dyDescent="0.25">
      <c r="A2398" s="2"/>
      <c r="B2398" s="2"/>
      <c r="C2398" s="2"/>
      <c r="D2398" s="2">
        <f>COUNTIF(contact[[#This Row],[Bagossy]:[Szo
03:00 - 10:00]],"=~?")</f>
        <v>0</v>
      </c>
      <c r="E2398" s="2">
        <f>COUNTIF(contact[[#This Row],[Bagossy]:[Szo
03:00 - 10:00]],"=x")</f>
        <v>0</v>
      </c>
      <c r="F2398" s="2">
        <f>SUM(contact[[#This Row],[?]:[x]])</f>
        <v>0</v>
      </c>
      <c r="G23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98" s="3" t="s">
        <v>1997</v>
      </c>
      <c r="K2398" s="1" t="s">
        <v>2</v>
      </c>
      <c r="L2398" s="1" t="s">
        <v>2</v>
      </c>
      <c r="M2398" s="1" t="s">
        <v>2</v>
      </c>
      <c r="O2398" s="2"/>
      <c r="P2398" s="2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</row>
    <row r="2399" spans="1:32" s="1" customFormat="1" ht="20.25" customHeight="1" x14ac:dyDescent="0.25">
      <c r="A2399" s="2"/>
      <c r="B2399" s="2"/>
      <c r="C2399" s="2"/>
      <c r="D2399" s="2">
        <f>COUNTIF(contact[[#This Row],[Bagossy]:[Szo
03:00 - 10:00]],"=~?")</f>
        <v>0</v>
      </c>
      <c r="E2399" s="2">
        <f>COUNTIF(contact[[#This Row],[Bagossy]:[Szo
03:00 - 10:00]],"=x")</f>
        <v>0</v>
      </c>
      <c r="F2399" s="2">
        <f>SUM(contact[[#This Row],[?]:[x]])</f>
        <v>0</v>
      </c>
      <c r="G23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399" s="3" t="s">
        <v>2804</v>
      </c>
      <c r="K2399" s="1" t="s">
        <v>504</v>
      </c>
      <c r="L2399" s="1" t="s">
        <v>2</v>
      </c>
      <c r="M2399" s="1" t="s">
        <v>2</v>
      </c>
      <c r="O2399" s="2"/>
      <c r="P2399" s="2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</row>
    <row r="2400" spans="1:32" s="1" customFormat="1" ht="20.25" customHeight="1" x14ac:dyDescent="0.25">
      <c r="A2400" s="2"/>
      <c r="B2400" s="2"/>
      <c r="C2400" s="2"/>
      <c r="D2400" s="2">
        <f>COUNTIF(contact[[#This Row],[Bagossy]:[Szo
03:00 - 10:00]],"=~?")</f>
        <v>0</v>
      </c>
      <c r="E2400" s="2">
        <f>COUNTIF(contact[[#This Row],[Bagossy]:[Szo
03:00 - 10:00]],"=x")</f>
        <v>0</v>
      </c>
      <c r="F2400" s="2">
        <f>SUM(contact[[#This Row],[?]:[x]])</f>
        <v>0</v>
      </c>
      <c r="G24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00" s="2"/>
      <c r="I2400" s="2"/>
      <c r="J2400" s="3" t="s">
        <v>4057</v>
      </c>
      <c r="K2400" s="1" t="s">
        <v>6</v>
      </c>
      <c r="L2400" s="1" t="s">
        <v>2</v>
      </c>
      <c r="M2400" s="1" t="s">
        <v>2</v>
      </c>
      <c r="O2400" s="2"/>
      <c r="P2400" s="2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</row>
    <row r="2401" spans="1:32" s="1" customFormat="1" ht="20.25" customHeight="1" x14ac:dyDescent="0.25">
      <c r="A2401" s="2"/>
      <c r="B2401" s="2"/>
      <c r="C2401" s="2"/>
      <c r="D2401" s="2">
        <f>COUNTIF(contact[[#This Row],[Bagossy]:[Szo
03:00 - 10:00]],"=~?")</f>
        <v>0</v>
      </c>
      <c r="E2401" s="2">
        <f>COUNTIF(contact[[#This Row],[Bagossy]:[Szo
03:00 - 10:00]],"=x")</f>
        <v>0</v>
      </c>
      <c r="F2401" s="2">
        <f>SUM(contact[[#This Row],[?]:[x]])</f>
        <v>0</v>
      </c>
      <c r="G24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1" s="3" t="s">
        <v>3425</v>
      </c>
      <c r="K2401" s="1" t="s">
        <v>1641</v>
      </c>
      <c r="L2401" s="1" t="s">
        <v>2</v>
      </c>
      <c r="M2401" s="1" t="s">
        <v>2</v>
      </c>
      <c r="O2401" s="2"/>
      <c r="P2401" s="2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</row>
    <row r="2402" spans="1:32" s="1" customFormat="1" ht="20.25" customHeight="1" x14ac:dyDescent="0.25">
      <c r="A2402" s="2"/>
      <c r="B2402" s="2"/>
      <c r="C2402" s="2"/>
      <c r="D2402" s="2">
        <f>COUNTIF(contact[[#This Row],[Bagossy]:[Szo
03:00 - 10:00]],"=~?")</f>
        <v>0</v>
      </c>
      <c r="E2402" s="2">
        <f>COUNTIF(contact[[#This Row],[Bagossy]:[Szo
03:00 - 10:00]],"=x")</f>
        <v>0</v>
      </c>
      <c r="F2402" s="2">
        <f>SUM(contact[[#This Row],[?]:[x]])</f>
        <v>0</v>
      </c>
      <c r="G24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2" s="3" t="s">
        <v>3487</v>
      </c>
      <c r="K2402" s="1" t="s">
        <v>1656</v>
      </c>
      <c r="L2402" s="1" t="s">
        <v>2</v>
      </c>
      <c r="M2402" s="1" t="s">
        <v>2</v>
      </c>
      <c r="O2402" s="2"/>
      <c r="P2402" s="2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</row>
    <row r="2403" spans="1:32" s="1" customFormat="1" ht="20.25" customHeight="1" x14ac:dyDescent="0.25">
      <c r="A2403" s="2"/>
      <c r="B2403" s="2"/>
      <c r="C2403" s="2"/>
      <c r="D2403" s="2">
        <f>COUNTIF(contact[[#This Row],[Bagossy]:[Szo
03:00 - 10:00]],"=~?")</f>
        <v>0</v>
      </c>
      <c r="E2403" s="2">
        <f>COUNTIF(contact[[#This Row],[Bagossy]:[Szo
03:00 - 10:00]],"=x")</f>
        <v>0</v>
      </c>
      <c r="F2403" s="2">
        <f>SUM(contact[[#This Row],[?]:[x]])</f>
        <v>0</v>
      </c>
      <c r="G24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3" s="3" t="s">
        <v>3530</v>
      </c>
      <c r="K2403" s="1" t="s">
        <v>212</v>
      </c>
      <c r="L2403" s="1" t="s">
        <v>2</v>
      </c>
      <c r="M2403" s="1" t="s">
        <v>2</v>
      </c>
      <c r="O2403" s="2"/>
      <c r="P2403" s="2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</row>
    <row r="2404" spans="1:32" s="1" customFormat="1" ht="20.25" customHeight="1" x14ac:dyDescent="0.25">
      <c r="A2404" s="2"/>
      <c r="B2404" s="2"/>
      <c r="C2404" s="2"/>
      <c r="D2404" s="2">
        <f>COUNTIF(contact[[#This Row],[Bagossy]:[Szo
03:00 - 10:00]],"=~?")</f>
        <v>0</v>
      </c>
      <c r="E2404" s="2">
        <f>COUNTIF(contact[[#This Row],[Bagossy]:[Szo
03:00 - 10:00]],"=x")</f>
        <v>0</v>
      </c>
      <c r="F2404" s="2">
        <f>SUM(contact[[#This Row],[?]:[x]])</f>
        <v>0</v>
      </c>
      <c r="G24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4" s="3" t="s">
        <v>3530</v>
      </c>
      <c r="K2404" s="1" t="s">
        <v>827</v>
      </c>
      <c r="L2404" s="1" t="s">
        <v>2</v>
      </c>
      <c r="M2404" s="1" t="s">
        <v>2</v>
      </c>
      <c r="O2404" s="2"/>
      <c r="P2404" s="2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</row>
    <row r="2405" spans="1:32" s="1" customFormat="1" ht="20.25" customHeight="1" x14ac:dyDescent="0.25">
      <c r="A2405" s="2"/>
      <c r="B2405" s="2"/>
      <c r="C2405" s="2"/>
      <c r="D2405" s="2">
        <f>COUNTIF(contact[[#This Row],[Bagossy]:[Szo
03:00 - 10:00]],"=~?")</f>
        <v>0</v>
      </c>
      <c r="E2405" s="2">
        <f>COUNTIF(contact[[#This Row],[Bagossy]:[Szo
03:00 - 10:00]],"=x")</f>
        <v>0</v>
      </c>
      <c r="F2405" s="2">
        <f>SUM(contact[[#This Row],[?]:[x]])</f>
        <v>0</v>
      </c>
      <c r="G24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5" s="3" t="s">
        <v>4013</v>
      </c>
      <c r="K2405" s="1" t="s">
        <v>1064</v>
      </c>
      <c r="L2405" s="1" t="s">
        <v>2</v>
      </c>
      <c r="M2405" s="1" t="s">
        <v>2</v>
      </c>
      <c r="O2405" s="2"/>
      <c r="P2405" s="2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</row>
    <row r="2406" spans="1:32" s="1" customFormat="1" ht="20.25" customHeight="1" x14ac:dyDescent="0.25">
      <c r="A2406" s="2"/>
      <c r="B2406" s="2"/>
      <c r="C2406" s="2"/>
      <c r="D2406" s="2">
        <f>COUNTIF(contact[[#This Row],[Bagossy]:[Szo
03:00 - 10:00]],"=~?")</f>
        <v>0</v>
      </c>
      <c r="E2406" s="2">
        <f>COUNTIF(contact[[#This Row],[Bagossy]:[Szo
03:00 - 10:00]],"=x")</f>
        <v>0</v>
      </c>
      <c r="F2406" s="2">
        <f>SUM(contact[[#This Row],[?]:[x]])</f>
        <v>0</v>
      </c>
      <c r="G24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6" s="3" t="s">
        <v>4103</v>
      </c>
      <c r="K2406" s="1" t="s">
        <v>1785</v>
      </c>
      <c r="L2406" s="1" t="s">
        <v>2</v>
      </c>
      <c r="M2406" s="1" t="s">
        <v>2</v>
      </c>
      <c r="O2406" s="2"/>
      <c r="P2406" s="2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</row>
    <row r="2407" spans="1:32" s="1" customFormat="1" ht="20.25" customHeight="1" x14ac:dyDescent="0.25">
      <c r="A2407" s="2"/>
      <c r="B2407" s="2"/>
      <c r="C2407" s="2"/>
      <c r="D2407" s="2">
        <f>COUNTIF(contact[[#This Row],[Bagossy]:[Szo
03:00 - 10:00]],"=~?")</f>
        <v>0</v>
      </c>
      <c r="E2407" s="2">
        <f>COUNTIF(contact[[#This Row],[Bagossy]:[Szo
03:00 - 10:00]],"=x")</f>
        <v>0</v>
      </c>
      <c r="F2407" s="2">
        <f>SUM(contact[[#This Row],[?]:[x]])</f>
        <v>0</v>
      </c>
      <c r="G24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7" s="3" t="s">
        <v>3931</v>
      </c>
      <c r="K2407" s="1" t="s">
        <v>1013</v>
      </c>
      <c r="L2407" s="1" t="s">
        <v>2</v>
      </c>
      <c r="M2407" s="1" t="s">
        <v>2</v>
      </c>
      <c r="O2407" s="2"/>
      <c r="P2407" s="2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</row>
    <row r="2408" spans="1:32" s="1" customFormat="1" ht="20.25" customHeight="1" x14ac:dyDescent="0.25">
      <c r="A2408" s="2"/>
      <c r="B2408" s="2"/>
      <c r="C2408" s="2"/>
      <c r="D2408" s="2">
        <f>COUNTIF(contact[[#This Row],[Bagossy]:[Szo
03:00 - 10:00]],"=~?")</f>
        <v>0</v>
      </c>
      <c r="E2408" s="2">
        <f>COUNTIF(contact[[#This Row],[Bagossy]:[Szo
03:00 - 10:00]],"=x")</f>
        <v>0</v>
      </c>
      <c r="F2408" s="2">
        <f>SUM(contact[[#This Row],[?]:[x]])</f>
        <v>0</v>
      </c>
      <c r="G24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8" s="3" t="s">
        <v>3403</v>
      </c>
      <c r="K2408" s="1" t="s">
        <v>1634</v>
      </c>
      <c r="L2408" s="1" t="s">
        <v>2</v>
      </c>
      <c r="M2408" s="1" t="s">
        <v>2</v>
      </c>
      <c r="O2408" s="2"/>
      <c r="P2408" s="2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</row>
    <row r="2409" spans="1:32" s="1" customFormat="1" ht="20.25" customHeight="1" x14ac:dyDescent="0.25">
      <c r="A2409" s="2"/>
      <c r="B2409" s="2"/>
      <c r="C2409" s="2"/>
      <c r="D2409" s="2">
        <f>COUNTIF(contact[[#This Row],[Bagossy]:[Szo
03:00 - 10:00]],"=~?")</f>
        <v>0</v>
      </c>
      <c r="E2409" s="2">
        <f>COUNTIF(contact[[#This Row],[Bagossy]:[Szo
03:00 - 10:00]],"=x")</f>
        <v>0</v>
      </c>
      <c r="F2409" s="2">
        <f>SUM(contact[[#This Row],[?]:[x]])</f>
        <v>0</v>
      </c>
      <c r="G24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09" s="3" t="s">
        <v>1944</v>
      </c>
      <c r="K2409" s="1" t="s">
        <v>2</v>
      </c>
      <c r="L2409" s="1" t="s">
        <v>2</v>
      </c>
      <c r="M2409" s="1" t="s">
        <v>2</v>
      </c>
      <c r="O2409" s="2"/>
      <c r="P2409" s="2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</row>
    <row r="2410" spans="1:32" s="1" customFormat="1" ht="20.25" customHeight="1" x14ac:dyDescent="0.25">
      <c r="A2410" s="2"/>
      <c r="B2410" s="2"/>
      <c r="C2410" s="2" t="s">
        <v>1285</v>
      </c>
      <c r="D2410" s="2">
        <f>COUNTIF(contact[[#This Row],[Bagossy]:[Szo
03:00 - 10:00]],"=~?")</f>
        <v>0</v>
      </c>
      <c r="E2410" s="2">
        <f>COUNTIF(contact[[#This Row],[Bagossy]:[Szo
03:00 - 10:00]],"=x")</f>
        <v>0</v>
      </c>
      <c r="F2410" s="2">
        <f>SUM(contact[[#This Row],[?]:[x]])</f>
        <v>0</v>
      </c>
      <c r="G24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10" s="2"/>
      <c r="I2410" s="2"/>
      <c r="J2410" s="3" t="s">
        <v>4068</v>
      </c>
      <c r="K2410" s="1" t="s">
        <v>1775</v>
      </c>
      <c r="L2410" s="1" t="s">
        <v>2</v>
      </c>
      <c r="M2410" s="1" t="s">
        <v>2</v>
      </c>
      <c r="O2410" s="2"/>
      <c r="P2410" s="2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</row>
    <row r="2411" spans="1:32" s="1" customFormat="1" ht="20.25" customHeight="1" x14ac:dyDescent="0.25">
      <c r="A2411" s="2"/>
      <c r="B2411" s="2"/>
      <c r="C2411" s="2"/>
      <c r="D2411" s="2">
        <f>COUNTIF(contact[[#This Row],[Bagossy]:[Szo
03:00 - 10:00]],"=~?")</f>
        <v>0</v>
      </c>
      <c r="E2411" s="2">
        <f>COUNTIF(contact[[#This Row],[Bagossy]:[Szo
03:00 - 10:00]],"=x")</f>
        <v>0</v>
      </c>
      <c r="F2411" s="2">
        <f>SUM(contact[[#This Row],[?]:[x]])</f>
        <v>0</v>
      </c>
      <c r="G24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1" s="3" t="s">
        <v>2273</v>
      </c>
      <c r="K2411" s="1" t="s">
        <v>1379</v>
      </c>
      <c r="L2411" s="1" t="s">
        <v>2</v>
      </c>
      <c r="M2411" s="1" t="s">
        <v>2</v>
      </c>
      <c r="O2411" s="2"/>
      <c r="P2411" s="2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</row>
    <row r="2412" spans="1:32" s="1" customFormat="1" ht="20.25" customHeight="1" x14ac:dyDescent="0.25">
      <c r="A2412" s="2"/>
      <c r="B2412" s="2"/>
      <c r="C2412" s="2"/>
      <c r="D2412" s="2">
        <f>COUNTIF(contact[[#This Row],[Bagossy]:[Szo
03:00 - 10:00]],"=~?")</f>
        <v>0</v>
      </c>
      <c r="E2412" s="2">
        <f>COUNTIF(contact[[#This Row],[Bagossy]:[Szo
03:00 - 10:00]],"=x")</f>
        <v>0</v>
      </c>
      <c r="F2412" s="2">
        <f>SUM(contact[[#This Row],[?]:[x]])</f>
        <v>0</v>
      </c>
      <c r="G24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2" s="3" t="s">
        <v>2710</v>
      </c>
      <c r="K2412" s="1" t="s">
        <v>2</v>
      </c>
      <c r="L2412" s="1" t="s">
        <v>2</v>
      </c>
      <c r="M2412" s="1" t="s">
        <v>2</v>
      </c>
      <c r="O2412" s="2"/>
      <c r="P2412" s="2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</row>
    <row r="2413" spans="1:32" s="1" customFormat="1" ht="20.25" customHeight="1" x14ac:dyDescent="0.25">
      <c r="A2413" s="2"/>
      <c r="B2413" s="2"/>
      <c r="C2413" s="2"/>
      <c r="D2413" s="2">
        <f>COUNTIF(contact[[#This Row],[Bagossy]:[Szo
03:00 - 10:00]],"=~?")</f>
        <v>0</v>
      </c>
      <c r="E2413" s="2">
        <f>COUNTIF(contact[[#This Row],[Bagossy]:[Szo
03:00 - 10:00]],"=x")</f>
        <v>0</v>
      </c>
      <c r="F2413" s="2">
        <f>SUM(contact[[#This Row],[?]:[x]])</f>
        <v>0</v>
      </c>
      <c r="G24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13" s="2"/>
      <c r="I2413" s="2"/>
      <c r="J2413" s="3" t="s">
        <v>4071</v>
      </c>
      <c r="K2413" s="1" t="s">
        <v>6</v>
      </c>
      <c r="L2413" s="1" t="s">
        <v>250</v>
      </c>
      <c r="M2413" s="1" t="s">
        <v>538</v>
      </c>
      <c r="O2413" s="2"/>
      <c r="P2413" s="2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</row>
    <row r="2414" spans="1:32" s="1" customFormat="1" ht="20.25" customHeight="1" x14ac:dyDescent="0.25">
      <c r="A2414" s="2"/>
      <c r="B2414" s="2"/>
      <c r="C2414" s="2"/>
      <c r="D2414" s="2">
        <f>COUNTIF(contact[[#This Row],[Bagossy]:[Szo
03:00 - 10:00]],"=~?")</f>
        <v>0</v>
      </c>
      <c r="E2414" s="2">
        <f>COUNTIF(contact[[#This Row],[Bagossy]:[Szo
03:00 - 10:00]],"=x")</f>
        <v>0</v>
      </c>
      <c r="F2414" s="2">
        <f>SUM(contact[[#This Row],[?]:[x]])</f>
        <v>0</v>
      </c>
      <c r="G24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4" s="3" t="s">
        <v>3252</v>
      </c>
      <c r="K2414" s="1" t="s">
        <v>30</v>
      </c>
      <c r="L2414" s="1" t="s">
        <v>2</v>
      </c>
      <c r="M2414" s="1" t="s">
        <v>2</v>
      </c>
      <c r="O2414" s="2"/>
      <c r="P2414" s="2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</row>
    <row r="2415" spans="1:32" s="1" customFormat="1" ht="20.25" customHeight="1" x14ac:dyDescent="0.25">
      <c r="A2415" s="2"/>
      <c r="B2415" s="2"/>
      <c r="C2415" s="2"/>
      <c r="D2415" s="2">
        <f>COUNTIF(contact[[#This Row],[Bagossy]:[Szo
03:00 - 10:00]],"=~?")</f>
        <v>0</v>
      </c>
      <c r="E2415" s="2">
        <f>COUNTIF(contact[[#This Row],[Bagossy]:[Szo
03:00 - 10:00]],"=x")</f>
        <v>0</v>
      </c>
      <c r="F2415" s="2">
        <f>SUM(contact[[#This Row],[?]:[x]])</f>
        <v>0</v>
      </c>
      <c r="G24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5" s="3" t="s">
        <v>2716</v>
      </c>
      <c r="K2415" s="1" t="s">
        <v>458</v>
      </c>
      <c r="L2415" s="1" t="s">
        <v>2</v>
      </c>
      <c r="M2415" s="1" t="s">
        <v>2</v>
      </c>
      <c r="O2415" s="2"/>
      <c r="P2415" s="2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</row>
    <row r="2416" spans="1:32" s="1" customFormat="1" ht="20.25" customHeight="1" x14ac:dyDescent="0.25">
      <c r="A2416" s="2"/>
      <c r="B2416" s="2"/>
      <c r="C2416" s="2"/>
      <c r="D2416" s="2">
        <f>COUNTIF(contact[[#This Row],[Bagossy]:[Szo
03:00 - 10:00]],"=~?")</f>
        <v>0</v>
      </c>
      <c r="E2416" s="2">
        <f>COUNTIF(contact[[#This Row],[Bagossy]:[Szo
03:00 - 10:00]],"=x")</f>
        <v>0</v>
      </c>
      <c r="F2416" s="2">
        <f>SUM(contact[[#This Row],[?]:[x]])</f>
        <v>0</v>
      </c>
      <c r="G24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6" s="3" t="s">
        <v>1977</v>
      </c>
      <c r="K2416" s="1" t="s">
        <v>1305</v>
      </c>
      <c r="L2416" s="1" t="s">
        <v>2</v>
      </c>
      <c r="M2416" s="1" t="s">
        <v>2</v>
      </c>
      <c r="O2416" s="2"/>
      <c r="P2416" s="2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</row>
    <row r="2417" spans="1:32" s="1" customFormat="1" ht="20.25" customHeight="1" x14ac:dyDescent="0.25">
      <c r="A2417" s="2"/>
      <c r="B2417" s="2"/>
      <c r="C2417" s="2"/>
      <c r="D2417" s="2">
        <f>COUNTIF(contact[[#This Row],[Bagossy]:[Szo
03:00 - 10:00]],"=~?")</f>
        <v>0</v>
      </c>
      <c r="E2417" s="2">
        <f>COUNTIF(contact[[#This Row],[Bagossy]:[Szo
03:00 - 10:00]],"=x")</f>
        <v>0</v>
      </c>
      <c r="F2417" s="2">
        <f>SUM(contact[[#This Row],[?]:[x]])</f>
        <v>0</v>
      </c>
      <c r="G24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7" s="3" t="s">
        <v>3021</v>
      </c>
      <c r="K2417" s="1" t="s">
        <v>1542</v>
      </c>
      <c r="L2417" s="1" t="s">
        <v>2</v>
      </c>
      <c r="M2417" s="1" t="s">
        <v>2</v>
      </c>
      <c r="O2417" s="2"/>
      <c r="P2417" s="2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</row>
    <row r="2418" spans="1:32" s="1" customFormat="1" ht="20.25" customHeight="1" x14ac:dyDescent="0.25">
      <c r="A2418" s="2"/>
      <c r="B2418" s="2"/>
      <c r="C2418" s="2"/>
      <c r="D2418" s="2">
        <f>COUNTIF(contact[[#This Row],[Bagossy]:[Szo
03:00 - 10:00]],"=~?")</f>
        <v>0</v>
      </c>
      <c r="E2418" s="2">
        <f>COUNTIF(contact[[#This Row],[Bagossy]:[Szo
03:00 - 10:00]],"=x")</f>
        <v>0</v>
      </c>
      <c r="F2418" s="2">
        <f>SUM(contact[[#This Row],[?]:[x]])</f>
        <v>0</v>
      </c>
      <c r="G24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8" s="3" t="s">
        <v>3900</v>
      </c>
      <c r="K2418" s="1" t="s">
        <v>2</v>
      </c>
      <c r="L2418" s="1" t="s">
        <v>2</v>
      </c>
      <c r="M2418" s="1" t="s">
        <v>2</v>
      </c>
      <c r="O2418" s="2"/>
      <c r="P2418" s="2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</row>
    <row r="2419" spans="1:32" s="1" customFormat="1" ht="20.25" customHeight="1" x14ac:dyDescent="0.25">
      <c r="A2419" s="2"/>
      <c r="B2419" s="2"/>
      <c r="C2419" s="2"/>
      <c r="D2419" s="2">
        <f>COUNTIF(contact[[#This Row],[Bagossy]:[Szo
03:00 - 10:00]],"=~?")</f>
        <v>0</v>
      </c>
      <c r="E2419" s="2">
        <f>COUNTIF(contact[[#This Row],[Bagossy]:[Szo
03:00 - 10:00]],"=x")</f>
        <v>0</v>
      </c>
      <c r="F2419" s="2">
        <f>SUM(contact[[#This Row],[?]:[x]])</f>
        <v>0</v>
      </c>
      <c r="G24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19" s="3" t="s">
        <v>4055</v>
      </c>
      <c r="K2419" s="1" t="s">
        <v>1081</v>
      </c>
      <c r="L2419" s="1" t="s">
        <v>2</v>
      </c>
      <c r="M2419" s="1" t="s">
        <v>2</v>
      </c>
      <c r="O2419" s="2"/>
      <c r="P2419" s="2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</row>
    <row r="2420" spans="1:32" s="1" customFormat="1" ht="20.25" customHeight="1" x14ac:dyDescent="0.25">
      <c r="A2420" s="2"/>
      <c r="B2420" s="2"/>
      <c r="C2420" s="2"/>
      <c r="D2420" s="2">
        <f>COUNTIF(contact[[#This Row],[Bagossy]:[Szo
03:00 - 10:00]],"=~?")</f>
        <v>0</v>
      </c>
      <c r="E2420" s="2">
        <f>COUNTIF(contact[[#This Row],[Bagossy]:[Szo
03:00 - 10:00]],"=x")</f>
        <v>0</v>
      </c>
      <c r="F2420" s="2">
        <f>SUM(contact[[#This Row],[?]:[x]])</f>
        <v>0</v>
      </c>
      <c r="G24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20" s="3" t="s">
        <v>2896</v>
      </c>
      <c r="K2420" s="1" t="s">
        <v>1327</v>
      </c>
      <c r="L2420" s="1" t="s">
        <v>2</v>
      </c>
      <c r="M2420" s="1" t="s">
        <v>2</v>
      </c>
      <c r="O2420" s="2"/>
      <c r="P2420" s="2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</row>
    <row r="2421" spans="1:32" s="1" customFormat="1" ht="20.25" customHeight="1" x14ac:dyDescent="0.25">
      <c r="A2421" s="2"/>
      <c r="B2421" s="2"/>
      <c r="C2421" s="2"/>
      <c r="D2421" s="2">
        <f>COUNTIF(contact[[#This Row],[Bagossy]:[Szo
03:00 - 10:00]],"=~?")</f>
        <v>0</v>
      </c>
      <c r="E2421" s="2">
        <f>COUNTIF(contact[[#This Row],[Bagossy]:[Szo
03:00 - 10:00]],"=x")</f>
        <v>0</v>
      </c>
      <c r="F2421" s="2">
        <f>SUM(contact[[#This Row],[?]:[x]])</f>
        <v>0</v>
      </c>
      <c r="G24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21" s="3" t="s">
        <v>2746</v>
      </c>
      <c r="K2421" s="1" t="s">
        <v>2</v>
      </c>
      <c r="L2421" s="1" t="s">
        <v>2</v>
      </c>
      <c r="M2421" s="1" t="s">
        <v>2</v>
      </c>
      <c r="O2421" s="2"/>
      <c r="P2421" s="2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</row>
    <row r="2422" spans="1:32" s="1" customFormat="1" ht="20.25" customHeight="1" x14ac:dyDescent="0.25">
      <c r="A2422" s="2"/>
      <c r="B2422" s="2"/>
      <c r="C2422" s="2"/>
      <c r="D2422" s="2">
        <f>COUNTIF(contact[[#This Row],[Bagossy]:[Szo
03:00 - 10:00]],"=~?")</f>
        <v>0</v>
      </c>
      <c r="E2422" s="2">
        <f>COUNTIF(contact[[#This Row],[Bagossy]:[Szo
03:00 - 10:00]],"=x")</f>
        <v>0</v>
      </c>
      <c r="F2422" s="2">
        <f>SUM(contact[[#This Row],[?]:[x]])</f>
        <v>0</v>
      </c>
      <c r="G24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22" s="3" t="s">
        <v>1962</v>
      </c>
      <c r="K2422" s="1" t="s">
        <v>1300</v>
      </c>
      <c r="L2422" s="1" t="s">
        <v>2</v>
      </c>
      <c r="M2422" s="1" t="s">
        <v>2</v>
      </c>
      <c r="O2422" s="2"/>
      <c r="P2422" s="2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</row>
    <row r="2423" spans="1:32" s="1" customFormat="1" ht="20.25" customHeight="1" x14ac:dyDescent="0.25">
      <c r="A2423" s="2"/>
      <c r="B2423" s="2"/>
      <c r="C2423" s="2"/>
      <c r="D2423" s="2">
        <f>COUNTIF(contact[[#This Row],[Bagossy]:[Szo
03:00 - 10:00]],"=~?")</f>
        <v>0</v>
      </c>
      <c r="E2423" s="2">
        <f>COUNTIF(contact[[#This Row],[Bagossy]:[Szo
03:00 - 10:00]],"=x")</f>
        <v>0</v>
      </c>
      <c r="F2423" s="2">
        <f>SUM(contact[[#This Row],[?]:[x]])</f>
        <v>0</v>
      </c>
      <c r="G24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23" s="2"/>
      <c r="I2423" s="2"/>
      <c r="J2423" s="3" t="s">
        <v>4072</v>
      </c>
      <c r="K2423" s="1" t="s">
        <v>6</v>
      </c>
      <c r="L2423" s="1" t="s">
        <v>2</v>
      </c>
      <c r="M2423" s="1" t="s">
        <v>2</v>
      </c>
      <c r="O2423" s="2"/>
      <c r="P2423" s="2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</row>
    <row r="2424" spans="1:32" s="1" customFormat="1" ht="20.25" customHeight="1" x14ac:dyDescent="0.25">
      <c r="A2424" s="2"/>
      <c r="B2424" s="2"/>
      <c r="C2424" s="2"/>
      <c r="D2424" s="2">
        <f>COUNTIF(contact[[#This Row],[Bagossy]:[Szo
03:00 - 10:00]],"=~?")</f>
        <v>0</v>
      </c>
      <c r="E2424" s="2">
        <f>COUNTIF(contact[[#This Row],[Bagossy]:[Szo
03:00 - 10:00]],"=x")</f>
        <v>0</v>
      </c>
      <c r="F2424" s="2">
        <f>SUM(contact[[#This Row],[?]:[x]])</f>
        <v>0</v>
      </c>
      <c r="G24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24" s="3" t="s">
        <v>2245</v>
      </c>
      <c r="K2424" s="1" t="s">
        <v>202</v>
      </c>
      <c r="L2424" s="1" t="s">
        <v>2</v>
      </c>
      <c r="M2424" s="1" t="s">
        <v>2</v>
      </c>
      <c r="O2424" s="2"/>
      <c r="P2424" s="2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</row>
    <row r="2425" spans="1:32" s="1" customFormat="1" ht="20.25" customHeight="1" x14ac:dyDescent="0.25">
      <c r="A2425" s="2"/>
      <c r="B2425" s="2"/>
      <c r="C2425" s="2"/>
      <c r="D2425" s="2">
        <f>COUNTIF(contact[[#This Row],[Bagossy]:[Szo
03:00 - 10:00]],"=~?")</f>
        <v>0</v>
      </c>
      <c r="E2425" s="2">
        <f>COUNTIF(contact[[#This Row],[Bagossy]:[Szo
03:00 - 10:00]],"=x")</f>
        <v>0</v>
      </c>
      <c r="F2425" s="2">
        <f>SUM(contact[[#This Row],[?]:[x]])</f>
        <v>0</v>
      </c>
      <c r="G24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25" s="2"/>
      <c r="I2425" s="2"/>
      <c r="J2425" s="3" t="s">
        <v>4074</v>
      </c>
      <c r="K2425" s="1" t="s">
        <v>1776</v>
      </c>
      <c r="L2425" s="1" t="s">
        <v>2</v>
      </c>
      <c r="M2425" s="1" t="s">
        <v>2</v>
      </c>
      <c r="O2425" s="2"/>
      <c r="P2425" s="2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</row>
    <row r="2426" spans="1:32" s="1" customFormat="1" ht="20.25" customHeight="1" x14ac:dyDescent="0.25">
      <c r="A2426" s="2"/>
      <c r="B2426" s="2"/>
      <c r="C2426" s="2"/>
      <c r="D2426" s="2">
        <f>COUNTIF(contact[[#This Row],[Bagossy]:[Szo
03:00 - 10:00]],"=~?")</f>
        <v>0</v>
      </c>
      <c r="E2426" s="2">
        <f>COUNTIF(contact[[#This Row],[Bagossy]:[Szo
03:00 - 10:00]],"=x")</f>
        <v>0</v>
      </c>
      <c r="F2426" s="2">
        <f>SUM(contact[[#This Row],[?]:[x]])</f>
        <v>0</v>
      </c>
      <c r="G24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26" s="2"/>
      <c r="I2426" s="2"/>
      <c r="J2426" s="3" t="s">
        <v>4079</v>
      </c>
      <c r="K2426" s="1" t="s">
        <v>1777</v>
      </c>
      <c r="L2426" s="1" t="s">
        <v>2</v>
      </c>
      <c r="M2426" s="1" t="s">
        <v>2</v>
      </c>
      <c r="O2426" s="2"/>
      <c r="P2426" s="2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</row>
    <row r="2427" spans="1:32" s="1" customFormat="1" ht="20.25" customHeight="1" x14ac:dyDescent="0.25">
      <c r="A2427" s="2"/>
      <c r="B2427" s="2"/>
      <c r="C2427" s="2"/>
      <c r="D2427" s="2">
        <f>COUNTIF(contact[[#This Row],[Bagossy]:[Szo
03:00 - 10:00]],"=~?")</f>
        <v>0</v>
      </c>
      <c r="E2427" s="2">
        <f>COUNTIF(contact[[#This Row],[Bagossy]:[Szo
03:00 - 10:00]],"=x")</f>
        <v>0</v>
      </c>
      <c r="F2427" s="2">
        <f>SUM(contact[[#This Row],[?]:[x]])</f>
        <v>0</v>
      </c>
      <c r="G24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27" s="3" t="s">
        <v>4241</v>
      </c>
      <c r="K2427" s="1" t="s">
        <v>391</v>
      </c>
      <c r="L2427" s="1" t="s">
        <v>2</v>
      </c>
      <c r="M2427" s="1" t="s">
        <v>2</v>
      </c>
      <c r="O2427" s="2"/>
      <c r="P2427" s="2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</row>
    <row r="2428" spans="1:32" s="1" customFormat="1" ht="20.25" customHeight="1" x14ac:dyDescent="0.25">
      <c r="A2428" s="2"/>
      <c r="B2428" s="2"/>
      <c r="C2428" s="2"/>
      <c r="D2428" s="2">
        <f>COUNTIF(contact[[#This Row],[Bagossy]:[Szo
03:00 - 10:00]],"=~?")</f>
        <v>0</v>
      </c>
      <c r="E2428" s="2">
        <f>COUNTIF(contact[[#This Row],[Bagossy]:[Szo
03:00 - 10:00]],"=x")</f>
        <v>0</v>
      </c>
      <c r="F2428" s="2">
        <f>SUM(contact[[#This Row],[?]:[x]])</f>
        <v>0</v>
      </c>
      <c r="G24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28" s="3" t="s">
        <v>3488</v>
      </c>
      <c r="K2428" s="1" t="s">
        <v>1657</v>
      </c>
      <c r="L2428" s="1" t="s">
        <v>2</v>
      </c>
      <c r="M2428" s="1" t="s">
        <v>2</v>
      </c>
      <c r="O2428" s="2"/>
      <c r="P2428" s="2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</row>
    <row r="2429" spans="1:32" s="1" customFormat="1" ht="20.25" customHeight="1" x14ac:dyDescent="0.25">
      <c r="A2429" s="2"/>
      <c r="B2429" s="2"/>
      <c r="C2429" s="2"/>
      <c r="D2429" s="2">
        <f>COUNTIF(contact[[#This Row],[Bagossy]:[Szo
03:00 - 10:00]],"=~?")</f>
        <v>0</v>
      </c>
      <c r="E2429" s="2">
        <f>COUNTIF(contact[[#This Row],[Bagossy]:[Szo
03:00 - 10:00]],"=x")</f>
        <v>0</v>
      </c>
      <c r="F2429" s="2">
        <f>SUM(contact[[#This Row],[?]:[x]])</f>
        <v>0</v>
      </c>
      <c r="G24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29" s="3" t="s">
        <v>3193</v>
      </c>
      <c r="K2429" s="1" t="s">
        <v>2</v>
      </c>
      <c r="L2429" s="1" t="s">
        <v>2</v>
      </c>
      <c r="M2429" s="1" t="s">
        <v>2</v>
      </c>
      <c r="O2429" s="2"/>
      <c r="P2429" s="2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</row>
    <row r="2430" spans="1:32" s="1" customFormat="1" ht="20.25" customHeight="1" x14ac:dyDescent="0.25">
      <c r="A2430" s="2"/>
      <c r="B2430" s="2"/>
      <c r="C2430" s="2"/>
      <c r="D2430" s="2">
        <f>COUNTIF(contact[[#This Row],[Bagossy]:[Szo
03:00 - 10:00]],"=~?")</f>
        <v>0</v>
      </c>
      <c r="E2430" s="2">
        <f>COUNTIF(contact[[#This Row],[Bagossy]:[Szo
03:00 - 10:00]],"=x")</f>
        <v>0</v>
      </c>
      <c r="F2430" s="2">
        <f>SUM(contact[[#This Row],[?]:[x]])</f>
        <v>0</v>
      </c>
      <c r="G24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0" s="3" t="s">
        <v>2546</v>
      </c>
      <c r="K2430" s="1" t="s">
        <v>366</v>
      </c>
      <c r="L2430" s="1" t="s">
        <v>2</v>
      </c>
      <c r="M2430" s="1" t="s">
        <v>2</v>
      </c>
      <c r="O2430" s="2"/>
      <c r="P2430" s="2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</row>
    <row r="2431" spans="1:32" s="1" customFormat="1" ht="20.25" customHeight="1" x14ac:dyDescent="0.25">
      <c r="A2431" s="2"/>
      <c r="B2431" s="2"/>
      <c r="C2431" s="2"/>
      <c r="D2431" s="2">
        <f>COUNTIF(contact[[#This Row],[Bagossy]:[Szo
03:00 - 10:00]],"=~?")</f>
        <v>0</v>
      </c>
      <c r="E2431" s="2">
        <f>COUNTIF(contact[[#This Row],[Bagossy]:[Szo
03:00 - 10:00]],"=x")</f>
        <v>0</v>
      </c>
      <c r="F2431" s="2">
        <f>SUM(contact[[#This Row],[?]:[x]])</f>
        <v>0</v>
      </c>
      <c r="G24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1" s="3" t="s">
        <v>2116</v>
      </c>
      <c r="K2431" s="1" t="s">
        <v>121</v>
      </c>
      <c r="L2431" s="1" t="s">
        <v>2</v>
      </c>
      <c r="M2431" s="1" t="s">
        <v>2</v>
      </c>
      <c r="O2431" s="2"/>
      <c r="P2431" s="2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</row>
    <row r="2432" spans="1:32" s="1" customFormat="1" ht="20.25" customHeight="1" x14ac:dyDescent="0.25">
      <c r="A2432" s="2"/>
      <c r="B2432" s="2"/>
      <c r="C2432" s="2"/>
      <c r="D2432" s="2">
        <f>COUNTIF(contact[[#This Row],[Bagossy]:[Szo
03:00 - 10:00]],"=~?")</f>
        <v>0</v>
      </c>
      <c r="E2432" s="2">
        <f>COUNTIF(contact[[#This Row],[Bagossy]:[Szo
03:00 - 10:00]],"=x")</f>
        <v>0</v>
      </c>
      <c r="F2432" s="2">
        <f>SUM(contact[[#This Row],[?]:[x]])</f>
        <v>0</v>
      </c>
      <c r="G24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2" s="3" t="s">
        <v>2301</v>
      </c>
      <c r="K2432" s="1" t="s">
        <v>2</v>
      </c>
      <c r="L2432" s="1" t="s">
        <v>2</v>
      </c>
      <c r="M2432" s="1" t="s">
        <v>2</v>
      </c>
      <c r="O2432" s="2"/>
      <c r="P2432" s="2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</row>
    <row r="2433" spans="1:32" s="1" customFormat="1" ht="20.25" customHeight="1" x14ac:dyDescent="0.25">
      <c r="A2433" s="2"/>
      <c r="B2433" s="2"/>
      <c r="C2433" s="2"/>
      <c r="D2433" s="2">
        <f>COUNTIF(contact[[#This Row],[Bagossy]:[Szo
03:00 - 10:00]],"=~?")</f>
        <v>0</v>
      </c>
      <c r="E2433" s="2">
        <f>COUNTIF(contact[[#This Row],[Bagossy]:[Szo
03:00 - 10:00]],"=x")</f>
        <v>0</v>
      </c>
      <c r="F2433" s="2">
        <f>SUM(contact[[#This Row],[?]:[x]])</f>
        <v>0</v>
      </c>
      <c r="G24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33" s="2"/>
      <c r="I2433" s="2"/>
      <c r="J2433" s="3" t="s">
        <v>4082</v>
      </c>
      <c r="K2433" s="1" t="s">
        <v>1778</v>
      </c>
      <c r="L2433" s="1" t="s">
        <v>2</v>
      </c>
      <c r="M2433" s="1" t="s">
        <v>2</v>
      </c>
      <c r="O2433" s="2"/>
      <c r="P2433" s="2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</row>
    <row r="2434" spans="1:32" s="1" customFormat="1" ht="20.25" customHeight="1" x14ac:dyDescent="0.25">
      <c r="A2434" s="2"/>
      <c r="B2434" s="2"/>
      <c r="C2434" s="2"/>
      <c r="D2434" s="2">
        <f>COUNTIF(contact[[#This Row],[Bagossy]:[Szo
03:00 - 10:00]],"=~?")</f>
        <v>0</v>
      </c>
      <c r="E2434" s="2">
        <f>COUNTIF(contact[[#This Row],[Bagossy]:[Szo
03:00 - 10:00]],"=x")</f>
        <v>0</v>
      </c>
      <c r="F2434" s="2">
        <f>SUM(contact[[#This Row],[?]:[x]])</f>
        <v>0</v>
      </c>
      <c r="G24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4" s="3" t="s">
        <v>4484</v>
      </c>
      <c r="K2434" s="1" t="s">
        <v>1876</v>
      </c>
      <c r="L2434" s="1" t="s">
        <v>2</v>
      </c>
      <c r="M2434" s="1" t="s">
        <v>2</v>
      </c>
      <c r="O2434" s="2"/>
      <c r="P2434" s="2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</row>
    <row r="2435" spans="1:32" s="1" customFormat="1" ht="20.25" customHeight="1" x14ac:dyDescent="0.25">
      <c r="A2435" s="2"/>
      <c r="B2435" s="2"/>
      <c r="C2435" s="2"/>
      <c r="D2435" s="2">
        <f>COUNTIF(contact[[#This Row],[Bagossy]:[Szo
03:00 - 10:00]],"=~?")</f>
        <v>0</v>
      </c>
      <c r="E2435" s="2">
        <f>COUNTIF(contact[[#This Row],[Bagossy]:[Szo
03:00 - 10:00]],"=x")</f>
        <v>0</v>
      </c>
      <c r="F2435" s="2">
        <f>SUM(contact[[#This Row],[?]:[x]])</f>
        <v>0</v>
      </c>
      <c r="G24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5" s="3" t="s">
        <v>3426</v>
      </c>
      <c r="K2435" s="1" t="s">
        <v>788</v>
      </c>
      <c r="L2435" s="1" t="s">
        <v>2</v>
      </c>
      <c r="M2435" s="1" t="s">
        <v>2</v>
      </c>
      <c r="O2435" s="2"/>
      <c r="P2435" s="2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</row>
    <row r="2436" spans="1:32" s="1" customFormat="1" ht="20.25" customHeight="1" x14ac:dyDescent="0.25">
      <c r="A2436" s="2"/>
      <c r="B2436" s="2"/>
      <c r="C2436" s="2"/>
      <c r="D2436" s="2">
        <f>COUNTIF(contact[[#This Row],[Bagossy]:[Szo
03:00 - 10:00]],"=~?")</f>
        <v>0</v>
      </c>
      <c r="E2436" s="2">
        <f>COUNTIF(contact[[#This Row],[Bagossy]:[Szo
03:00 - 10:00]],"=x")</f>
        <v>0</v>
      </c>
      <c r="F2436" s="2">
        <f>SUM(contact[[#This Row],[?]:[x]])</f>
        <v>0</v>
      </c>
      <c r="G24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6" s="3" t="s">
        <v>3813</v>
      </c>
      <c r="K2436" s="1" t="s">
        <v>607</v>
      </c>
      <c r="L2436" s="1" t="s">
        <v>2</v>
      </c>
      <c r="M2436" s="1" t="s">
        <v>2</v>
      </c>
      <c r="O2436" s="2"/>
      <c r="P2436" s="2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</row>
    <row r="2437" spans="1:32" s="1" customFormat="1" ht="20.25" customHeight="1" x14ac:dyDescent="0.25">
      <c r="A2437" s="2"/>
      <c r="B2437" s="2"/>
      <c r="C2437" s="2"/>
      <c r="D2437" s="2">
        <f>COUNTIF(contact[[#This Row],[Bagossy]:[Szo
03:00 - 10:00]],"=~?")</f>
        <v>0</v>
      </c>
      <c r="E2437" s="2">
        <f>COUNTIF(contact[[#This Row],[Bagossy]:[Szo
03:00 - 10:00]],"=x")</f>
        <v>0</v>
      </c>
      <c r="F2437" s="2">
        <f>SUM(contact[[#This Row],[?]:[x]])</f>
        <v>0</v>
      </c>
      <c r="G24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7" s="3" t="s">
        <v>3901</v>
      </c>
      <c r="K2437" s="1" t="s">
        <v>1738</v>
      </c>
      <c r="L2437" s="1" t="s">
        <v>2</v>
      </c>
      <c r="M2437" s="1" t="s">
        <v>2</v>
      </c>
      <c r="O2437" s="2"/>
      <c r="P2437" s="2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</row>
    <row r="2438" spans="1:32" s="1" customFormat="1" ht="20.25" customHeight="1" x14ac:dyDescent="0.25">
      <c r="A2438" s="2"/>
      <c r="B2438" s="2"/>
      <c r="C2438" s="2"/>
      <c r="D2438" s="2">
        <f>COUNTIF(contact[[#This Row],[Bagossy]:[Szo
03:00 - 10:00]],"=~?")</f>
        <v>0</v>
      </c>
      <c r="E2438" s="2">
        <f>COUNTIF(contact[[#This Row],[Bagossy]:[Szo
03:00 - 10:00]],"=x")</f>
        <v>0</v>
      </c>
      <c r="F2438" s="2">
        <f>SUM(contact[[#This Row],[?]:[x]])</f>
        <v>0</v>
      </c>
      <c r="G24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8" s="3" t="s">
        <v>4312</v>
      </c>
      <c r="K2438" s="1" t="s">
        <v>2</v>
      </c>
      <c r="L2438" s="1" t="s">
        <v>2</v>
      </c>
      <c r="M2438" s="1" t="s">
        <v>2</v>
      </c>
      <c r="O2438" s="2"/>
      <c r="P2438" s="2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</row>
    <row r="2439" spans="1:32" s="1" customFormat="1" ht="20.25" customHeight="1" x14ac:dyDescent="0.25">
      <c r="A2439" s="2"/>
      <c r="B2439" s="2"/>
      <c r="C2439" s="2"/>
      <c r="D2439" s="2">
        <f>COUNTIF(contact[[#This Row],[Bagossy]:[Szo
03:00 - 10:00]],"=~?")</f>
        <v>0</v>
      </c>
      <c r="E2439" s="2">
        <f>COUNTIF(contact[[#This Row],[Bagossy]:[Szo
03:00 - 10:00]],"=x")</f>
        <v>0</v>
      </c>
      <c r="F2439" s="2">
        <f>SUM(contact[[#This Row],[?]:[x]])</f>
        <v>0</v>
      </c>
      <c r="G24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39" s="3" t="s">
        <v>1099</v>
      </c>
      <c r="K2439" s="1" t="s">
        <v>2</v>
      </c>
      <c r="L2439" s="1" t="s">
        <v>2</v>
      </c>
      <c r="M2439" s="1" t="s">
        <v>2</v>
      </c>
      <c r="O2439" s="2"/>
      <c r="P2439" s="2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</row>
    <row r="2440" spans="1:32" s="1" customFormat="1" ht="20.25" customHeight="1" x14ac:dyDescent="0.25">
      <c r="A2440" s="2"/>
      <c r="B2440" s="2"/>
      <c r="C2440" s="2"/>
      <c r="D2440" s="2">
        <f>COUNTIF(contact[[#This Row],[Bagossy]:[Szo
03:00 - 10:00]],"=~?")</f>
        <v>0</v>
      </c>
      <c r="E2440" s="2">
        <f>COUNTIF(contact[[#This Row],[Bagossy]:[Szo
03:00 - 10:00]],"=x")</f>
        <v>0</v>
      </c>
      <c r="F2440" s="2">
        <f>SUM(contact[[#This Row],[?]:[x]])</f>
        <v>0</v>
      </c>
      <c r="G24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0" s="3" t="s">
        <v>2481</v>
      </c>
      <c r="K2440" s="1" t="s">
        <v>1421</v>
      </c>
      <c r="L2440" s="1" t="s">
        <v>2</v>
      </c>
      <c r="M2440" s="1" t="s">
        <v>2</v>
      </c>
      <c r="O2440" s="2"/>
      <c r="P2440" s="2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</row>
    <row r="2441" spans="1:32" s="1" customFormat="1" ht="20.25" customHeight="1" x14ac:dyDescent="0.25">
      <c r="A2441" s="2"/>
      <c r="B2441" s="2"/>
      <c r="C2441" s="2"/>
      <c r="D2441" s="2">
        <f>COUNTIF(contact[[#This Row],[Bagossy]:[Szo
03:00 - 10:00]],"=~?")</f>
        <v>0</v>
      </c>
      <c r="E2441" s="2">
        <f>COUNTIF(contact[[#This Row],[Bagossy]:[Szo
03:00 - 10:00]],"=x")</f>
        <v>0</v>
      </c>
      <c r="F2441" s="2">
        <f>SUM(contact[[#This Row],[?]:[x]])</f>
        <v>0</v>
      </c>
      <c r="G24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1" s="3" t="s">
        <v>4015</v>
      </c>
      <c r="K2441" s="1" t="s">
        <v>2</v>
      </c>
      <c r="L2441" s="1" t="s">
        <v>2</v>
      </c>
      <c r="M2441" s="1" t="s">
        <v>2</v>
      </c>
      <c r="O2441" s="2"/>
      <c r="P2441" s="2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</row>
    <row r="2442" spans="1:32" s="1" customFormat="1" ht="20.25" customHeight="1" x14ac:dyDescent="0.25">
      <c r="A2442" s="2"/>
      <c r="B2442" s="2"/>
      <c r="C2442" s="2"/>
      <c r="D2442" s="2">
        <f>COUNTIF(contact[[#This Row],[Bagossy]:[Szo
03:00 - 10:00]],"=~?")</f>
        <v>0</v>
      </c>
      <c r="E2442" s="2">
        <f>COUNTIF(contact[[#This Row],[Bagossy]:[Szo
03:00 - 10:00]],"=x")</f>
        <v>0</v>
      </c>
      <c r="F2442" s="2">
        <f>SUM(contact[[#This Row],[?]:[x]])</f>
        <v>0</v>
      </c>
      <c r="G24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2" s="3" t="s">
        <v>3332</v>
      </c>
      <c r="K2442" s="1" t="s">
        <v>751</v>
      </c>
      <c r="L2442" s="1" t="s">
        <v>2</v>
      </c>
      <c r="M2442" s="1" t="s">
        <v>2</v>
      </c>
      <c r="O2442" s="2"/>
      <c r="P2442" s="2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</row>
    <row r="2443" spans="1:32" s="1" customFormat="1" ht="20.25" customHeight="1" x14ac:dyDescent="0.25">
      <c r="A2443" s="2"/>
      <c r="B2443" s="2"/>
      <c r="C2443" s="2"/>
      <c r="D2443" s="2">
        <f>COUNTIF(contact[[#This Row],[Bagossy]:[Szo
03:00 - 10:00]],"=~?")</f>
        <v>0</v>
      </c>
      <c r="E2443" s="2">
        <f>COUNTIF(contact[[#This Row],[Bagossy]:[Szo
03:00 - 10:00]],"=x")</f>
        <v>0</v>
      </c>
      <c r="F2443" s="2">
        <f>SUM(contact[[#This Row],[?]:[x]])</f>
        <v>0</v>
      </c>
      <c r="G24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43" s="2"/>
      <c r="I2443" s="2"/>
      <c r="J2443" s="3" t="s">
        <v>4086</v>
      </c>
      <c r="K2443" s="1" t="s">
        <v>29</v>
      </c>
      <c r="L2443" s="1" t="s">
        <v>2</v>
      </c>
      <c r="M2443" s="1" t="s">
        <v>2</v>
      </c>
      <c r="O2443" s="2"/>
      <c r="P2443" s="2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</row>
    <row r="2444" spans="1:32" s="1" customFormat="1" ht="20.25" customHeight="1" x14ac:dyDescent="0.25">
      <c r="A2444" s="2"/>
      <c r="B2444" s="2"/>
      <c r="C2444" s="2"/>
      <c r="D2444" s="2">
        <f>COUNTIF(contact[[#This Row],[Bagossy]:[Szo
03:00 - 10:00]],"=~?")</f>
        <v>0</v>
      </c>
      <c r="E2444" s="2">
        <f>COUNTIF(contact[[#This Row],[Bagossy]:[Szo
03:00 - 10:00]],"=x")</f>
        <v>0</v>
      </c>
      <c r="F2444" s="2">
        <f>SUM(contact[[#This Row],[?]:[x]])</f>
        <v>0</v>
      </c>
      <c r="G24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4" s="3" t="s">
        <v>3360</v>
      </c>
      <c r="K2444" s="1" t="s">
        <v>391</v>
      </c>
      <c r="L2444" s="1" t="s">
        <v>2</v>
      </c>
      <c r="M2444" s="1" t="s">
        <v>2</v>
      </c>
      <c r="O2444" s="2"/>
      <c r="P2444" s="2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</row>
    <row r="2445" spans="1:32" s="1" customFormat="1" ht="20.25" customHeight="1" x14ac:dyDescent="0.25">
      <c r="A2445" s="2"/>
      <c r="B2445" s="2"/>
      <c r="C2445" s="2"/>
      <c r="D2445" s="2">
        <f>COUNTIF(contact[[#This Row],[Bagossy]:[Szo
03:00 - 10:00]],"=~?")</f>
        <v>0</v>
      </c>
      <c r="E2445" s="2">
        <f>COUNTIF(contact[[#This Row],[Bagossy]:[Szo
03:00 - 10:00]],"=x")</f>
        <v>0</v>
      </c>
      <c r="F2445" s="2">
        <f>SUM(contact[[#This Row],[?]:[x]])</f>
        <v>0</v>
      </c>
      <c r="G24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5" s="3" t="s">
        <v>3309</v>
      </c>
      <c r="K2445" s="1" t="s">
        <v>1425</v>
      </c>
      <c r="L2445" s="1" t="s">
        <v>2</v>
      </c>
      <c r="M2445" s="1" t="s">
        <v>2</v>
      </c>
      <c r="O2445" s="2"/>
      <c r="P2445" s="2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</row>
    <row r="2446" spans="1:32" s="1" customFormat="1" ht="20.25" customHeight="1" x14ac:dyDescent="0.25">
      <c r="A2446" s="2"/>
      <c r="B2446" s="2"/>
      <c r="C2446" s="2"/>
      <c r="D2446" s="2">
        <f>COUNTIF(contact[[#This Row],[Bagossy]:[Szo
03:00 - 10:00]],"=~?")</f>
        <v>0</v>
      </c>
      <c r="E2446" s="2">
        <f>COUNTIF(contact[[#This Row],[Bagossy]:[Szo
03:00 - 10:00]],"=x")</f>
        <v>0</v>
      </c>
      <c r="F2446" s="2">
        <f>SUM(contact[[#This Row],[?]:[x]])</f>
        <v>0</v>
      </c>
      <c r="G24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6" s="3" t="s">
        <v>3802</v>
      </c>
      <c r="K2446" s="1" t="s">
        <v>2</v>
      </c>
      <c r="L2446" s="1" t="s">
        <v>2</v>
      </c>
      <c r="M2446" s="1" t="s">
        <v>2</v>
      </c>
      <c r="O2446" s="2"/>
      <c r="P2446" s="2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</row>
    <row r="2447" spans="1:32" s="1" customFormat="1" ht="20.25" customHeight="1" x14ac:dyDescent="0.25">
      <c r="A2447" s="2"/>
      <c r="B2447" s="2"/>
      <c r="C2447" s="2"/>
      <c r="D2447" s="2">
        <f>COUNTIF(contact[[#This Row],[Bagossy]:[Szo
03:00 - 10:00]],"=~?")</f>
        <v>0</v>
      </c>
      <c r="E2447" s="2">
        <f>COUNTIF(contact[[#This Row],[Bagossy]:[Szo
03:00 - 10:00]],"=x")</f>
        <v>0</v>
      </c>
      <c r="F2447" s="2">
        <f>SUM(contact[[#This Row],[?]:[x]])</f>
        <v>0</v>
      </c>
      <c r="G24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7" s="3" t="s">
        <v>2973</v>
      </c>
      <c r="K2447" s="1" t="s">
        <v>1530</v>
      </c>
      <c r="L2447" s="1" t="s">
        <v>2</v>
      </c>
      <c r="M2447" s="1" t="s">
        <v>2</v>
      </c>
      <c r="O2447" s="2"/>
      <c r="P2447" s="2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</row>
    <row r="2448" spans="1:32" s="1" customFormat="1" ht="20.25" customHeight="1" x14ac:dyDescent="0.25">
      <c r="A2448" s="2"/>
      <c r="B2448" s="2"/>
      <c r="C2448" s="2"/>
      <c r="D2448" s="2">
        <f>COUNTIF(contact[[#This Row],[Bagossy]:[Szo
03:00 - 10:00]],"=~?")</f>
        <v>0</v>
      </c>
      <c r="E2448" s="2">
        <f>COUNTIF(contact[[#This Row],[Bagossy]:[Szo
03:00 - 10:00]],"=x")</f>
        <v>0</v>
      </c>
      <c r="F2448" s="2">
        <f>SUM(contact[[#This Row],[?]:[x]])</f>
        <v>0</v>
      </c>
      <c r="G24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8" s="3" t="s">
        <v>3544</v>
      </c>
      <c r="K2448" s="1" t="s">
        <v>2</v>
      </c>
      <c r="L2448" s="1" t="s">
        <v>2</v>
      </c>
      <c r="M2448" s="1" t="s">
        <v>2</v>
      </c>
      <c r="O2448" s="2"/>
      <c r="P2448" s="2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</row>
    <row r="2449" spans="1:32" s="1" customFormat="1" ht="20.25" customHeight="1" x14ac:dyDescent="0.25">
      <c r="A2449" s="2"/>
      <c r="B2449" s="2"/>
      <c r="C2449" s="2"/>
      <c r="D2449" s="2">
        <f>COUNTIF(contact[[#This Row],[Bagossy]:[Szo
03:00 - 10:00]],"=~?")</f>
        <v>0</v>
      </c>
      <c r="E2449" s="2">
        <f>COUNTIF(contact[[#This Row],[Bagossy]:[Szo
03:00 - 10:00]],"=x")</f>
        <v>0</v>
      </c>
      <c r="F2449" s="2">
        <f>SUM(contact[[#This Row],[?]:[x]])</f>
        <v>0</v>
      </c>
      <c r="G24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49" s="3" t="s">
        <v>1100</v>
      </c>
      <c r="K2449" s="1" t="s">
        <v>2</v>
      </c>
      <c r="L2449" s="1" t="s">
        <v>2</v>
      </c>
      <c r="M2449" s="1" t="s">
        <v>2</v>
      </c>
      <c r="O2449" s="2"/>
      <c r="P2449" s="2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</row>
    <row r="2450" spans="1:32" s="1" customFormat="1" ht="20.25" customHeight="1" x14ac:dyDescent="0.25">
      <c r="A2450" s="2"/>
      <c r="B2450" s="2"/>
      <c r="C2450" s="2"/>
      <c r="D2450" s="2">
        <f>COUNTIF(contact[[#This Row],[Bagossy]:[Szo
03:00 - 10:00]],"=~?")</f>
        <v>0</v>
      </c>
      <c r="E2450" s="2">
        <f>COUNTIF(contact[[#This Row],[Bagossy]:[Szo
03:00 - 10:00]],"=x")</f>
        <v>0</v>
      </c>
      <c r="F2450" s="2">
        <f>SUM(contact[[#This Row],[?]:[x]])</f>
        <v>0</v>
      </c>
      <c r="G24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0" s="3" t="s">
        <v>2041</v>
      </c>
      <c r="K2450" s="1" t="s">
        <v>2</v>
      </c>
      <c r="L2450" s="1" t="s">
        <v>2</v>
      </c>
      <c r="M2450" s="1" t="s">
        <v>2</v>
      </c>
      <c r="O2450" s="2"/>
      <c r="P2450" s="2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</row>
    <row r="2451" spans="1:32" s="1" customFormat="1" ht="20.25" customHeight="1" x14ac:dyDescent="0.25">
      <c r="A2451" s="2"/>
      <c r="B2451" s="2"/>
      <c r="C2451" s="2"/>
      <c r="D2451" s="2">
        <f>COUNTIF(contact[[#This Row],[Bagossy]:[Szo
03:00 - 10:00]],"=~?")</f>
        <v>0</v>
      </c>
      <c r="E2451" s="2">
        <f>COUNTIF(contact[[#This Row],[Bagossy]:[Szo
03:00 - 10:00]],"=x")</f>
        <v>0</v>
      </c>
      <c r="F2451" s="2">
        <f>SUM(contact[[#This Row],[?]:[x]])</f>
        <v>0</v>
      </c>
      <c r="G24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1" s="3" t="s">
        <v>4242</v>
      </c>
      <c r="K2451" s="1" t="s">
        <v>1327</v>
      </c>
      <c r="L2451" s="1" t="s">
        <v>2</v>
      </c>
      <c r="M2451" s="1" t="s">
        <v>2</v>
      </c>
      <c r="O2451" s="2"/>
      <c r="P2451" s="2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</row>
    <row r="2452" spans="1:32" s="1" customFormat="1" ht="20.25" customHeight="1" x14ac:dyDescent="0.25">
      <c r="A2452" s="2"/>
      <c r="B2452" s="2"/>
      <c r="C2452" s="2"/>
      <c r="D2452" s="2">
        <f>COUNTIF(contact[[#This Row],[Bagossy]:[Szo
03:00 - 10:00]],"=~?")</f>
        <v>0</v>
      </c>
      <c r="E2452" s="2">
        <f>COUNTIF(contact[[#This Row],[Bagossy]:[Szo
03:00 - 10:00]],"=x")</f>
        <v>0</v>
      </c>
      <c r="F2452" s="2">
        <f>SUM(contact[[#This Row],[?]:[x]])</f>
        <v>0</v>
      </c>
      <c r="G24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2" s="3" t="s">
        <v>4140</v>
      </c>
      <c r="K2452" s="1" t="s">
        <v>989</v>
      </c>
      <c r="L2452" s="1" t="s">
        <v>2</v>
      </c>
      <c r="M2452" s="1" t="s">
        <v>2</v>
      </c>
      <c r="O2452" s="2"/>
      <c r="P2452" s="2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</row>
    <row r="2453" spans="1:32" s="1" customFormat="1" ht="20.25" customHeight="1" x14ac:dyDescent="0.25">
      <c r="A2453" s="2"/>
      <c r="B2453" s="2"/>
      <c r="C2453" s="2"/>
      <c r="D2453" s="2">
        <f>COUNTIF(contact[[#This Row],[Bagossy]:[Szo
03:00 - 10:00]],"=~?")</f>
        <v>0</v>
      </c>
      <c r="E2453" s="2">
        <f>COUNTIF(contact[[#This Row],[Bagossy]:[Szo
03:00 - 10:00]],"=x")</f>
        <v>0</v>
      </c>
      <c r="F2453" s="2">
        <f>SUM(contact[[#This Row],[?]:[x]])</f>
        <v>0</v>
      </c>
      <c r="G24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3" s="3" t="s">
        <v>4386</v>
      </c>
      <c r="K2453" s="1" t="s">
        <v>2</v>
      </c>
      <c r="L2453" s="1" t="s">
        <v>2</v>
      </c>
      <c r="M2453" s="1" t="s">
        <v>2</v>
      </c>
      <c r="O2453" s="2"/>
      <c r="P2453" s="2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</row>
    <row r="2454" spans="1:32" s="1" customFormat="1" ht="20.25" customHeight="1" x14ac:dyDescent="0.25">
      <c r="A2454" s="2"/>
      <c r="B2454" s="2"/>
      <c r="C2454" s="2"/>
      <c r="D2454" s="2">
        <f>COUNTIF(contact[[#This Row],[Bagossy]:[Szo
03:00 - 10:00]],"=~?")</f>
        <v>0</v>
      </c>
      <c r="E2454" s="2">
        <f>COUNTIF(contact[[#This Row],[Bagossy]:[Szo
03:00 - 10:00]],"=x")</f>
        <v>0</v>
      </c>
      <c r="F2454" s="2">
        <f>SUM(contact[[#This Row],[?]:[x]])</f>
        <v>0</v>
      </c>
      <c r="G24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4" s="3" t="s">
        <v>2502</v>
      </c>
      <c r="K2454" s="1" t="s">
        <v>345</v>
      </c>
      <c r="L2454" s="1" t="s">
        <v>2</v>
      </c>
      <c r="M2454" s="1" t="s">
        <v>2</v>
      </c>
      <c r="O2454" s="2"/>
      <c r="P2454" s="2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</row>
    <row r="2455" spans="1:32" s="1" customFormat="1" ht="20.25" customHeight="1" x14ac:dyDescent="0.25">
      <c r="A2455" s="2"/>
      <c r="B2455" s="2"/>
      <c r="C2455" s="2"/>
      <c r="D2455" s="2">
        <f>COUNTIF(contact[[#This Row],[Bagossy]:[Szo
03:00 - 10:00]],"=~?")</f>
        <v>0</v>
      </c>
      <c r="E2455" s="2">
        <f>COUNTIF(contact[[#This Row],[Bagossy]:[Szo
03:00 - 10:00]],"=x")</f>
        <v>0</v>
      </c>
      <c r="F2455" s="2">
        <f>SUM(contact[[#This Row],[?]:[x]])</f>
        <v>0</v>
      </c>
      <c r="G24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5" s="3" t="s">
        <v>2733</v>
      </c>
      <c r="K2455" s="1" t="s">
        <v>1477</v>
      </c>
      <c r="L2455" s="1" t="s">
        <v>2</v>
      </c>
      <c r="M2455" s="1" t="s">
        <v>2</v>
      </c>
      <c r="O2455" s="2"/>
      <c r="P2455" s="2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</row>
    <row r="2456" spans="1:32" s="1" customFormat="1" ht="20.25" customHeight="1" x14ac:dyDescent="0.25">
      <c r="A2456" s="2" t="s">
        <v>1285</v>
      </c>
      <c r="B2456" s="2" t="s">
        <v>1285</v>
      </c>
      <c r="C2456" s="2" t="s">
        <v>1285</v>
      </c>
      <c r="D2456" s="2">
        <f>COUNTIF(contact[[#This Row],[Bagossy]:[Szo
03:00 - 10:00]],"=~?")</f>
        <v>0</v>
      </c>
      <c r="E2456" s="2">
        <f>COUNTIF(contact[[#This Row],[Bagossy]:[Szo
03:00 - 10:00]],"=x")</f>
        <v>0</v>
      </c>
      <c r="F2456" s="2">
        <f>SUM(contact[[#This Row],[?]:[x]])</f>
        <v>0</v>
      </c>
      <c r="G24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56" s="2" t="s">
        <v>4622</v>
      </c>
      <c r="I2456" s="2"/>
      <c r="J2456" s="3" t="s">
        <v>4087</v>
      </c>
      <c r="K2456" s="1" t="s">
        <v>693</v>
      </c>
      <c r="L2456" s="1" t="s">
        <v>2</v>
      </c>
      <c r="M2456" s="1" t="s">
        <v>2</v>
      </c>
      <c r="N2456" s="2" t="s">
        <v>4612</v>
      </c>
      <c r="O2456" s="2"/>
      <c r="P2456" s="2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</row>
    <row r="2457" spans="1:32" s="1" customFormat="1" ht="20.25" customHeight="1" x14ac:dyDescent="0.25">
      <c r="A2457" s="2"/>
      <c r="B2457" s="2"/>
      <c r="C2457" s="2"/>
      <c r="D2457" s="2">
        <f>COUNTIF(contact[[#This Row],[Bagossy]:[Szo
03:00 - 10:00]],"=~?")</f>
        <v>0</v>
      </c>
      <c r="E2457" s="2">
        <f>COUNTIF(contact[[#This Row],[Bagossy]:[Szo
03:00 - 10:00]],"=x")</f>
        <v>0</v>
      </c>
      <c r="F2457" s="2">
        <f>SUM(contact[[#This Row],[?]:[x]])</f>
        <v>0</v>
      </c>
      <c r="G24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57" s="2"/>
      <c r="I2457" s="2"/>
      <c r="J2457" s="3" t="s">
        <v>4092</v>
      </c>
      <c r="K2457" s="1" t="s">
        <v>92</v>
      </c>
      <c r="L2457" s="1" t="s">
        <v>2</v>
      </c>
      <c r="M2457" s="1" t="s">
        <v>2</v>
      </c>
      <c r="O2457" s="2"/>
      <c r="P2457" s="2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</row>
    <row r="2458" spans="1:32" s="1" customFormat="1" ht="20.25" customHeight="1" x14ac:dyDescent="0.25">
      <c r="A2458" s="2"/>
      <c r="B2458" s="2"/>
      <c r="C2458" s="2"/>
      <c r="D2458" s="2">
        <f>COUNTIF(contact[[#This Row],[Bagossy]:[Szo
03:00 - 10:00]],"=~?")</f>
        <v>0</v>
      </c>
      <c r="E2458" s="2">
        <f>COUNTIF(contact[[#This Row],[Bagossy]:[Szo
03:00 - 10:00]],"=x")</f>
        <v>0</v>
      </c>
      <c r="F2458" s="2">
        <f>SUM(contact[[#This Row],[?]:[x]])</f>
        <v>0</v>
      </c>
      <c r="G24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8" s="3" t="s">
        <v>4104</v>
      </c>
      <c r="K2458" s="1" t="s">
        <v>1786</v>
      </c>
      <c r="L2458" s="1" t="s">
        <v>2</v>
      </c>
      <c r="M2458" s="1" t="s">
        <v>2</v>
      </c>
      <c r="O2458" s="2"/>
      <c r="P2458" s="2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</row>
    <row r="2459" spans="1:32" s="1" customFormat="1" ht="20.25" customHeight="1" x14ac:dyDescent="0.25">
      <c r="A2459" s="2"/>
      <c r="B2459" s="2"/>
      <c r="C2459" s="2"/>
      <c r="D2459" s="2">
        <f>COUNTIF(contact[[#This Row],[Bagossy]:[Szo
03:00 - 10:00]],"=~?")</f>
        <v>0</v>
      </c>
      <c r="E2459" s="2">
        <f>COUNTIF(contact[[#This Row],[Bagossy]:[Szo
03:00 - 10:00]],"=x")</f>
        <v>0</v>
      </c>
      <c r="F2459" s="2">
        <f>SUM(contact[[#This Row],[?]:[x]])</f>
        <v>0</v>
      </c>
      <c r="G24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59" s="3" t="s">
        <v>2974</v>
      </c>
      <c r="K2459" s="1" t="s">
        <v>586</v>
      </c>
      <c r="L2459" s="1" t="s">
        <v>2</v>
      </c>
      <c r="M2459" s="1" t="s">
        <v>2</v>
      </c>
      <c r="O2459" s="2"/>
      <c r="P2459" s="2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</row>
    <row r="2460" spans="1:32" s="1" customFormat="1" ht="20.25" customHeight="1" x14ac:dyDescent="0.25">
      <c r="A2460" s="2"/>
      <c r="B2460" s="2"/>
      <c r="C2460" s="2"/>
      <c r="D2460" s="2">
        <f>COUNTIF(contact[[#This Row],[Bagossy]:[Szo
03:00 - 10:00]],"=~?")</f>
        <v>0</v>
      </c>
      <c r="E2460" s="2">
        <f>COUNTIF(contact[[#This Row],[Bagossy]:[Szo
03:00 - 10:00]],"=x")</f>
        <v>0</v>
      </c>
      <c r="F2460" s="2">
        <f>SUM(contact[[#This Row],[?]:[x]])</f>
        <v>0</v>
      </c>
      <c r="G24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0" s="3" t="s">
        <v>3179</v>
      </c>
      <c r="K2460" s="1" t="s">
        <v>1582</v>
      </c>
      <c r="L2460" s="1" t="s">
        <v>2</v>
      </c>
      <c r="M2460" s="1" t="s">
        <v>2</v>
      </c>
      <c r="O2460" s="2"/>
      <c r="P2460" s="2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</row>
    <row r="2461" spans="1:32" s="1" customFormat="1" ht="20.25" customHeight="1" x14ac:dyDescent="0.25">
      <c r="A2461" s="2"/>
      <c r="B2461" s="2"/>
      <c r="C2461" s="2"/>
      <c r="D2461" s="2">
        <f>COUNTIF(contact[[#This Row],[Bagossy]:[Szo
03:00 - 10:00]],"=~?")</f>
        <v>0</v>
      </c>
      <c r="E2461" s="2">
        <f>COUNTIF(contact[[#This Row],[Bagossy]:[Szo
03:00 - 10:00]],"=x")</f>
        <v>0</v>
      </c>
      <c r="F2461" s="2">
        <f>SUM(contact[[#This Row],[?]:[x]])</f>
        <v>0</v>
      </c>
      <c r="G24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1" s="3" t="s">
        <v>2117</v>
      </c>
      <c r="K2461" s="1" t="s">
        <v>2</v>
      </c>
      <c r="L2461" s="1" t="s">
        <v>2</v>
      </c>
      <c r="M2461" s="1" t="s">
        <v>2</v>
      </c>
      <c r="O2461" s="2"/>
      <c r="P2461" s="2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</row>
    <row r="2462" spans="1:32" s="1" customFormat="1" ht="20.25" customHeight="1" x14ac:dyDescent="0.25">
      <c r="A2462" s="2"/>
      <c r="B2462" s="2"/>
      <c r="C2462" s="2"/>
      <c r="D2462" s="2">
        <f>COUNTIF(contact[[#This Row],[Bagossy]:[Szo
03:00 - 10:00]],"=~?")</f>
        <v>0</v>
      </c>
      <c r="E2462" s="2">
        <f>COUNTIF(contact[[#This Row],[Bagossy]:[Szo
03:00 - 10:00]],"=x")</f>
        <v>0</v>
      </c>
      <c r="F2462" s="2">
        <f>SUM(contact[[#This Row],[?]:[x]])</f>
        <v>0</v>
      </c>
      <c r="G24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62" s="2"/>
      <c r="I2462" s="2"/>
      <c r="J2462" s="3" t="s">
        <v>4093</v>
      </c>
      <c r="K2462" s="1" t="s">
        <v>1782</v>
      </c>
      <c r="L2462" s="1" t="s">
        <v>2</v>
      </c>
      <c r="M2462" s="1" t="s">
        <v>2</v>
      </c>
      <c r="O2462" s="2"/>
      <c r="P2462" s="2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</row>
    <row r="2463" spans="1:32" s="1" customFormat="1" ht="20.25" customHeight="1" x14ac:dyDescent="0.25">
      <c r="A2463" s="2"/>
      <c r="B2463" s="2"/>
      <c r="C2463" s="2"/>
      <c r="D2463" s="2">
        <f>COUNTIF(contact[[#This Row],[Bagossy]:[Szo
03:00 - 10:00]],"=~?")</f>
        <v>0</v>
      </c>
      <c r="E2463" s="2">
        <f>COUNTIF(contact[[#This Row],[Bagossy]:[Szo
03:00 - 10:00]],"=x")</f>
        <v>0</v>
      </c>
      <c r="F2463" s="2">
        <f>SUM(contact[[#This Row],[?]:[x]])</f>
        <v>0</v>
      </c>
      <c r="G24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3" s="3" t="s">
        <v>3932</v>
      </c>
      <c r="K2463" s="1" t="s">
        <v>1741</v>
      </c>
      <c r="L2463" s="1" t="s">
        <v>2</v>
      </c>
      <c r="M2463" s="1" t="s">
        <v>2</v>
      </c>
      <c r="O2463" s="2"/>
      <c r="P2463" s="2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</row>
    <row r="2464" spans="1:32" s="1" customFormat="1" ht="20.25" customHeight="1" x14ac:dyDescent="0.25">
      <c r="A2464" s="2"/>
      <c r="B2464" s="2"/>
      <c r="C2464" s="2"/>
      <c r="D2464" s="2">
        <f>COUNTIF(contact[[#This Row],[Bagossy]:[Szo
03:00 - 10:00]],"=~?")</f>
        <v>0</v>
      </c>
      <c r="E2464" s="2">
        <f>COUNTIF(contact[[#This Row],[Bagossy]:[Szo
03:00 - 10:00]],"=x")</f>
        <v>0</v>
      </c>
      <c r="F2464" s="2">
        <f>SUM(contact[[#This Row],[?]:[x]])</f>
        <v>0</v>
      </c>
      <c r="G24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4" s="3" t="s">
        <v>4559</v>
      </c>
      <c r="K2464" s="1" t="s">
        <v>2</v>
      </c>
      <c r="L2464" s="1" t="s">
        <v>2</v>
      </c>
      <c r="M2464" s="1" t="s">
        <v>2</v>
      </c>
      <c r="O2464" s="2"/>
      <c r="P2464" s="2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</row>
    <row r="2465" spans="1:32" s="1" customFormat="1" ht="20.25" customHeight="1" x14ac:dyDescent="0.25">
      <c r="A2465" s="2"/>
      <c r="B2465" s="2"/>
      <c r="C2465" s="2"/>
      <c r="D2465" s="2">
        <f>COUNTIF(contact[[#This Row],[Bagossy]:[Szo
03:00 - 10:00]],"=~?")</f>
        <v>0</v>
      </c>
      <c r="E2465" s="2">
        <f>COUNTIF(contact[[#This Row],[Bagossy]:[Szo
03:00 - 10:00]],"=x")</f>
        <v>0</v>
      </c>
      <c r="F2465" s="2">
        <f>SUM(contact[[#This Row],[?]:[x]])</f>
        <v>0</v>
      </c>
      <c r="G24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65" s="2"/>
      <c r="I2465" s="2"/>
      <c r="J2465" s="3" t="s">
        <v>4094</v>
      </c>
      <c r="K2465" s="1" t="s">
        <v>238</v>
      </c>
      <c r="L2465" s="1" t="s">
        <v>2</v>
      </c>
      <c r="M2465" s="1" t="s">
        <v>2</v>
      </c>
      <c r="O2465" s="2"/>
      <c r="P2465" s="2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</row>
    <row r="2466" spans="1:32" s="1" customFormat="1" ht="20.25" customHeight="1" x14ac:dyDescent="0.25">
      <c r="A2466" s="2" t="s">
        <v>1285</v>
      </c>
      <c r="B2466" s="2" t="s">
        <v>1285</v>
      </c>
      <c r="C2466" s="2" t="s">
        <v>1285</v>
      </c>
      <c r="D2466" s="2">
        <f>COUNTIF(contact[[#This Row],[Bagossy]:[Szo
03:00 - 10:00]],"=~?")</f>
        <v>0</v>
      </c>
      <c r="E2466" s="2">
        <f>COUNTIF(contact[[#This Row],[Bagossy]:[Szo
03:00 - 10:00]],"=x")</f>
        <v>0</v>
      </c>
      <c r="F2466" s="2">
        <f>SUM(contact[[#This Row],[?]:[x]])</f>
        <v>0</v>
      </c>
      <c r="G24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66" s="2" t="s">
        <v>4616</v>
      </c>
      <c r="I2466" s="2"/>
      <c r="J2466" s="3" t="s">
        <v>4098</v>
      </c>
      <c r="K2466" s="1" t="s">
        <v>1784</v>
      </c>
      <c r="L2466" s="1" t="s">
        <v>2</v>
      </c>
      <c r="M2466" s="1" t="s">
        <v>2</v>
      </c>
      <c r="N2466" s="2" t="s">
        <v>4612</v>
      </c>
      <c r="O2466" s="2"/>
      <c r="P2466" s="2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</row>
    <row r="2467" spans="1:32" s="1" customFormat="1" ht="20.25" customHeight="1" x14ac:dyDescent="0.25">
      <c r="A2467" s="2"/>
      <c r="B2467" s="2"/>
      <c r="C2467" s="2"/>
      <c r="D2467" s="2">
        <f>COUNTIF(contact[[#This Row],[Bagossy]:[Szo
03:00 - 10:00]],"=~?")</f>
        <v>0</v>
      </c>
      <c r="E2467" s="2">
        <f>COUNTIF(contact[[#This Row],[Bagossy]:[Szo
03:00 - 10:00]],"=x")</f>
        <v>0</v>
      </c>
      <c r="F2467" s="2">
        <f>SUM(contact[[#This Row],[?]:[x]])</f>
        <v>0</v>
      </c>
      <c r="G24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7" s="3" t="s">
        <v>3489</v>
      </c>
      <c r="K2467" s="1" t="s">
        <v>811</v>
      </c>
      <c r="L2467" s="1" t="s">
        <v>2</v>
      </c>
      <c r="M2467" s="1" t="s">
        <v>2</v>
      </c>
      <c r="O2467" s="2"/>
      <c r="P2467" s="2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</row>
    <row r="2468" spans="1:32" s="1" customFormat="1" ht="20.25" customHeight="1" x14ac:dyDescent="0.25">
      <c r="A2468" s="2"/>
      <c r="B2468" s="2"/>
      <c r="C2468" s="2"/>
      <c r="D2468" s="2">
        <f>COUNTIF(contact[[#This Row],[Bagossy]:[Szo
03:00 - 10:00]],"=~?")</f>
        <v>0</v>
      </c>
      <c r="E2468" s="2">
        <f>COUNTIF(contact[[#This Row],[Bagossy]:[Szo
03:00 - 10:00]],"=x")</f>
        <v>0</v>
      </c>
      <c r="F2468" s="2">
        <f>SUM(contact[[#This Row],[?]:[x]])</f>
        <v>0</v>
      </c>
      <c r="G24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8" s="3" t="s">
        <v>2577</v>
      </c>
      <c r="K2468" s="1" t="s">
        <v>1293</v>
      </c>
      <c r="L2468" s="1" t="s">
        <v>2</v>
      </c>
      <c r="M2468" s="1" t="s">
        <v>2</v>
      </c>
      <c r="O2468" s="2"/>
      <c r="P2468" s="2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</row>
    <row r="2469" spans="1:32" s="1" customFormat="1" ht="20.25" customHeight="1" x14ac:dyDescent="0.25">
      <c r="A2469" s="2"/>
      <c r="B2469" s="2"/>
      <c r="C2469" s="2"/>
      <c r="D2469" s="2">
        <f>COUNTIF(contact[[#This Row],[Bagossy]:[Szo
03:00 - 10:00]],"=~?")</f>
        <v>0</v>
      </c>
      <c r="E2469" s="2">
        <f>COUNTIF(contact[[#This Row],[Bagossy]:[Szo
03:00 - 10:00]],"=x")</f>
        <v>0</v>
      </c>
      <c r="F2469" s="2">
        <f>SUM(contact[[#This Row],[?]:[x]])</f>
        <v>0</v>
      </c>
      <c r="G24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69" s="3" t="s">
        <v>3902</v>
      </c>
      <c r="K2469" s="1" t="s">
        <v>1739</v>
      </c>
      <c r="L2469" s="1" t="s">
        <v>2</v>
      </c>
      <c r="M2469" s="1" t="s">
        <v>2</v>
      </c>
      <c r="O2469" s="2"/>
      <c r="P2469" s="2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</row>
    <row r="2470" spans="1:32" s="1" customFormat="1" ht="20.25" customHeight="1" x14ac:dyDescent="0.25">
      <c r="A2470" s="2"/>
      <c r="B2470" s="2"/>
      <c r="C2470" s="2"/>
      <c r="D2470" s="2">
        <f>COUNTIF(contact[[#This Row],[Bagossy]:[Szo
03:00 - 10:00]],"=~?")</f>
        <v>0</v>
      </c>
      <c r="E2470" s="2">
        <f>COUNTIF(contact[[#This Row],[Bagossy]:[Szo
03:00 - 10:00]],"=x")</f>
        <v>0</v>
      </c>
      <c r="F2470" s="2">
        <f>SUM(contact[[#This Row],[?]:[x]])</f>
        <v>0</v>
      </c>
      <c r="G24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0" s="3" t="s">
        <v>3951</v>
      </c>
      <c r="K2470" s="1" t="s">
        <v>1744</v>
      </c>
      <c r="L2470" s="1" t="s">
        <v>2</v>
      </c>
      <c r="M2470" s="1" t="s">
        <v>2</v>
      </c>
      <c r="O2470" s="2"/>
      <c r="P2470" s="2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</row>
    <row r="2471" spans="1:32" s="1" customFormat="1" ht="20.25" customHeight="1" x14ac:dyDescent="0.25">
      <c r="A2471" s="2"/>
      <c r="B2471" s="2"/>
      <c r="C2471" s="2"/>
      <c r="D2471" s="2">
        <f>COUNTIF(contact[[#This Row],[Bagossy]:[Szo
03:00 - 10:00]],"=~?")</f>
        <v>0</v>
      </c>
      <c r="E2471" s="2">
        <f>COUNTIF(contact[[#This Row],[Bagossy]:[Szo
03:00 - 10:00]],"=x")</f>
        <v>0</v>
      </c>
      <c r="F2471" s="2">
        <f>SUM(contact[[#This Row],[?]:[x]])</f>
        <v>0</v>
      </c>
      <c r="G24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1" s="3" t="s">
        <v>4243</v>
      </c>
      <c r="K2471" s="1" t="s">
        <v>1822</v>
      </c>
      <c r="L2471" s="1" t="s">
        <v>2</v>
      </c>
      <c r="M2471" s="1" t="s">
        <v>2</v>
      </c>
      <c r="O2471" s="2"/>
      <c r="P2471" s="2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</row>
    <row r="2472" spans="1:32" s="1" customFormat="1" ht="20.25" customHeight="1" x14ac:dyDescent="0.25">
      <c r="A2472" s="2" t="s">
        <v>1285</v>
      </c>
      <c r="B2472" s="2" t="s">
        <v>1285</v>
      </c>
      <c r="C2472" s="2" t="s">
        <v>1285</v>
      </c>
      <c r="D2472" s="2">
        <f>COUNTIF(contact[[#This Row],[Bagossy]:[Szo
03:00 - 10:00]],"=~?")</f>
        <v>0</v>
      </c>
      <c r="E2472" s="2">
        <f>COUNTIF(contact[[#This Row],[Bagossy]:[Szo
03:00 - 10:00]],"=x")</f>
        <v>5</v>
      </c>
      <c r="F2472" s="2">
        <f>SUM(contact[[#This Row],[?]:[x]])</f>
        <v>5</v>
      </c>
      <c r="G2472" s="2">
        <f>COUNTIF(contact[[#This Row],[Sze
10:00 - 22:00]:[Cs
03:00 - 08:00]],"=x")+COUNTIF(contact[[#This Row],[P
08:00 - 12:00]:[P
03:00 - 08:00]],"=x")+COUNTIF(contact[[#This Row],[Szo
08:00 - 12:00]:[Szo
03:00 - 10:00]],"=x")</f>
        <v>5</v>
      </c>
      <c r="H2472" s="2" t="s">
        <v>4623</v>
      </c>
      <c r="I2472" s="2"/>
      <c r="J2472" s="3" t="s">
        <v>4109</v>
      </c>
      <c r="K2472" s="1" t="s">
        <v>305</v>
      </c>
      <c r="L2472" s="1" t="s">
        <v>2</v>
      </c>
      <c r="M2472" s="1" t="s">
        <v>2</v>
      </c>
      <c r="N2472" s="2" t="s">
        <v>4612</v>
      </c>
      <c r="O2472" s="2"/>
      <c r="P2472" s="2"/>
      <c r="Q2472" s="6" t="s">
        <v>1285</v>
      </c>
      <c r="R2472" s="6"/>
      <c r="S2472" s="6"/>
      <c r="T2472" s="6"/>
      <c r="U2472" s="6"/>
      <c r="V2472" s="6"/>
      <c r="W2472" s="6"/>
      <c r="X2472" s="6"/>
      <c r="Y2472" s="6" t="s">
        <v>1285</v>
      </c>
      <c r="Z2472" s="6" t="s">
        <v>1285</v>
      </c>
      <c r="AA2472" s="6"/>
      <c r="AB2472" s="6"/>
      <c r="AC2472" s="6"/>
      <c r="AD2472" s="6" t="s">
        <v>1285</v>
      </c>
      <c r="AE2472" s="6" t="s">
        <v>1285</v>
      </c>
      <c r="AF2472" s="6"/>
    </row>
    <row r="2473" spans="1:32" s="1" customFormat="1" ht="20.25" customHeight="1" x14ac:dyDescent="0.25">
      <c r="A2473" s="2"/>
      <c r="B2473" s="2"/>
      <c r="C2473" s="2"/>
      <c r="D2473" s="2">
        <f>COUNTIF(contact[[#This Row],[Bagossy]:[Szo
03:00 - 10:00]],"=~?")</f>
        <v>0</v>
      </c>
      <c r="E2473" s="2">
        <f>COUNTIF(contact[[#This Row],[Bagossy]:[Szo
03:00 - 10:00]],"=x")</f>
        <v>0</v>
      </c>
      <c r="F2473" s="2">
        <f>SUM(contact[[#This Row],[?]:[x]])</f>
        <v>0</v>
      </c>
      <c r="G24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3" s="3" t="s">
        <v>2365</v>
      </c>
      <c r="K2473" s="1" t="s">
        <v>265</v>
      </c>
      <c r="L2473" s="1" t="s">
        <v>2</v>
      </c>
      <c r="M2473" s="1" t="s">
        <v>2</v>
      </c>
      <c r="O2473" s="2"/>
      <c r="P2473" s="2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</row>
    <row r="2474" spans="1:32" s="1" customFormat="1" ht="20.25" customHeight="1" x14ac:dyDescent="0.25">
      <c r="A2474" s="2"/>
      <c r="B2474" s="2"/>
      <c r="C2474" s="2"/>
      <c r="D2474" s="2">
        <f>COUNTIF(contact[[#This Row],[Bagossy]:[Szo
03:00 - 10:00]],"=~?")</f>
        <v>0</v>
      </c>
      <c r="E2474" s="2">
        <f>COUNTIF(contact[[#This Row],[Bagossy]:[Szo
03:00 - 10:00]],"=x")</f>
        <v>0</v>
      </c>
      <c r="F2474" s="2">
        <f>SUM(contact[[#This Row],[?]:[x]])</f>
        <v>0</v>
      </c>
      <c r="G24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4" s="3" t="s">
        <v>2561</v>
      </c>
      <c r="K2474" s="1" t="s">
        <v>1448</v>
      </c>
      <c r="L2474" s="1" t="s">
        <v>2</v>
      </c>
      <c r="M2474" s="1" t="s">
        <v>2</v>
      </c>
      <c r="O2474" s="2"/>
      <c r="P2474" s="2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</row>
    <row r="2475" spans="1:32" s="1" customFormat="1" ht="20.25" customHeight="1" x14ac:dyDescent="0.25">
      <c r="A2475" s="2"/>
      <c r="B2475" s="2"/>
      <c r="C2475" s="2"/>
      <c r="D2475" s="2">
        <f>COUNTIF(contact[[#This Row],[Bagossy]:[Szo
03:00 - 10:00]],"=~?")</f>
        <v>0</v>
      </c>
      <c r="E2475" s="2">
        <f>COUNTIF(contact[[#This Row],[Bagossy]:[Szo
03:00 - 10:00]],"=x")</f>
        <v>0</v>
      </c>
      <c r="F2475" s="2">
        <f>SUM(contact[[#This Row],[?]:[x]])</f>
        <v>0</v>
      </c>
      <c r="G24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5" s="3" t="s">
        <v>2933</v>
      </c>
      <c r="K2475" s="1" t="s">
        <v>2</v>
      </c>
      <c r="L2475" s="1" t="s">
        <v>2</v>
      </c>
      <c r="M2475" s="1" t="s">
        <v>2</v>
      </c>
      <c r="O2475" s="2"/>
      <c r="P2475" s="2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</row>
    <row r="2476" spans="1:32" s="1" customFormat="1" ht="20.25" customHeight="1" x14ac:dyDescent="0.25">
      <c r="A2476" s="2"/>
      <c r="B2476" s="2"/>
      <c r="C2476" s="2"/>
      <c r="D2476" s="2">
        <f>COUNTIF(contact[[#This Row],[Bagossy]:[Szo
03:00 - 10:00]],"=~?")</f>
        <v>0</v>
      </c>
      <c r="E2476" s="2">
        <f>COUNTIF(contact[[#This Row],[Bagossy]:[Szo
03:00 - 10:00]],"=x")</f>
        <v>0</v>
      </c>
      <c r="F2476" s="2">
        <f>SUM(contact[[#This Row],[?]:[x]])</f>
        <v>0</v>
      </c>
      <c r="G24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6" s="3" t="s">
        <v>3713</v>
      </c>
      <c r="K2476" s="1" t="s">
        <v>2</v>
      </c>
      <c r="L2476" s="1" t="s">
        <v>2</v>
      </c>
      <c r="M2476" s="1" t="s">
        <v>2</v>
      </c>
      <c r="O2476" s="2"/>
      <c r="P2476" s="2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</row>
    <row r="2477" spans="1:32" s="1" customFormat="1" ht="20.25" customHeight="1" x14ac:dyDescent="0.25">
      <c r="A2477" s="2"/>
      <c r="B2477" s="2"/>
      <c r="C2477" s="2"/>
      <c r="D2477" s="2">
        <f>COUNTIF(contact[[#This Row],[Bagossy]:[Szo
03:00 - 10:00]],"=~?")</f>
        <v>0</v>
      </c>
      <c r="E2477" s="2">
        <f>COUNTIF(contact[[#This Row],[Bagossy]:[Szo
03:00 - 10:00]],"=x")</f>
        <v>0</v>
      </c>
      <c r="F2477" s="2">
        <f>SUM(contact[[#This Row],[?]:[x]])</f>
        <v>0</v>
      </c>
      <c r="G24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7" s="3" t="s">
        <v>4560</v>
      </c>
      <c r="K2477" s="1" t="s">
        <v>1272</v>
      </c>
      <c r="L2477" s="1" t="s">
        <v>2</v>
      </c>
      <c r="M2477" s="1" t="s">
        <v>2</v>
      </c>
      <c r="O2477" s="2"/>
      <c r="P2477" s="2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</row>
    <row r="2478" spans="1:32" s="1" customFormat="1" ht="20.25" customHeight="1" x14ac:dyDescent="0.25">
      <c r="A2478" s="2"/>
      <c r="B2478" s="2"/>
      <c r="C2478" s="2"/>
      <c r="D2478" s="2">
        <f>COUNTIF(contact[[#This Row],[Bagossy]:[Szo
03:00 - 10:00]],"=~?")</f>
        <v>0</v>
      </c>
      <c r="E2478" s="2">
        <f>COUNTIF(contact[[#This Row],[Bagossy]:[Szo
03:00 - 10:00]],"=x")</f>
        <v>0</v>
      </c>
      <c r="F2478" s="2">
        <f>SUM(contact[[#This Row],[?]:[x]])</f>
        <v>0</v>
      </c>
      <c r="G24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8" s="3" t="s">
        <v>1102</v>
      </c>
      <c r="K2478" s="1" t="s">
        <v>2</v>
      </c>
      <c r="L2478" s="1" t="s">
        <v>2</v>
      </c>
      <c r="M2478" s="1" t="s">
        <v>2</v>
      </c>
      <c r="O2478" s="2"/>
      <c r="P2478" s="2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</row>
    <row r="2479" spans="1:32" s="1" customFormat="1" ht="20.25" customHeight="1" x14ac:dyDescent="0.25">
      <c r="A2479" s="2"/>
      <c r="B2479" s="2"/>
      <c r="C2479" s="2"/>
      <c r="D2479" s="2">
        <f>COUNTIF(contact[[#This Row],[Bagossy]:[Szo
03:00 - 10:00]],"=~?")</f>
        <v>0</v>
      </c>
      <c r="E2479" s="2">
        <f>COUNTIF(contact[[#This Row],[Bagossy]:[Szo
03:00 - 10:00]],"=x")</f>
        <v>0</v>
      </c>
      <c r="F2479" s="2">
        <f>SUM(contact[[#This Row],[?]:[x]])</f>
        <v>0</v>
      </c>
      <c r="G24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79" s="3" t="s">
        <v>2378</v>
      </c>
      <c r="K2479" s="1" t="s">
        <v>1399</v>
      </c>
      <c r="L2479" s="1" t="s">
        <v>2</v>
      </c>
      <c r="M2479" s="1" t="s">
        <v>2</v>
      </c>
      <c r="O2479" s="2"/>
      <c r="P2479" s="2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</row>
    <row r="2480" spans="1:32" s="1" customFormat="1" ht="20.25" customHeight="1" x14ac:dyDescent="0.25">
      <c r="A2480" s="2"/>
      <c r="B2480" s="2"/>
      <c r="C2480" s="2"/>
      <c r="D2480" s="2">
        <f>COUNTIF(contact[[#This Row],[Bagossy]:[Szo
03:00 - 10:00]],"=~?")</f>
        <v>0</v>
      </c>
      <c r="E2480" s="2">
        <f>COUNTIF(contact[[#This Row],[Bagossy]:[Szo
03:00 - 10:00]],"=x")</f>
        <v>0</v>
      </c>
      <c r="F2480" s="2">
        <f>SUM(contact[[#This Row],[?]:[x]])</f>
        <v>0</v>
      </c>
      <c r="G24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0" s="3" t="s">
        <v>3111</v>
      </c>
      <c r="K2480" s="1" t="s">
        <v>650</v>
      </c>
      <c r="L2480" s="1" t="s">
        <v>2</v>
      </c>
      <c r="M2480" s="1" t="s">
        <v>2</v>
      </c>
      <c r="O2480" s="2"/>
      <c r="P2480" s="2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</row>
    <row r="2481" spans="1:32" s="1" customFormat="1" ht="20.25" customHeight="1" x14ac:dyDescent="0.25">
      <c r="A2481" s="2"/>
      <c r="B2481" s="2"/>
      <c r="C2481" s="2"/>
      <c r="D2481" s="2">
        <f>COUNTIF(contact[[#This Row],[Bagossy]:[Szo
03:00 - 10:00]],"=~?")</f>
        <v>0</v>
      </c>
      <c r="E2481" s="2">
        <f>COUNTIF(contact[[#This Row],[Bagossy]:[Szo
03:00 - 10:00]],"=x")</f>
        <v>0</v>
      </c>
      <c r="F2481" s="2">
        <f>SUM(contact[[#This Row],[?]:[x]])</f>
        <v>0</v>
      </c>
      <c r="G24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1" s="3" t="s">
        <v>3728</v>
      </c>
      <c r="K2481" s="1" t="s">
        <v>915</v>
      </c>
      <c r="L2481" s="1" t="s">
        <v>2</v>
      </c>
      <c r="M2481" s="1" t="s">
        <v>2</v>
      </c>
      <c r="O2481" s="2"/>
      <c r="P2481" s="2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</row>
    <row r="2482" spans="1:32" s="1" customFormat="1" ht="20.25" customHeight="1" x14ac:dyDescent="0.25">
      <c r="A2482" s="2"/>
      <c r="B2482" s="2"/>
      <c r="C2482" s="2"/>
      <c r="D2482" s="2">
        <f>COUNTIF(contact[[#This Row],[Bagossy]:[Szo
03:00 - 10:00]],"=~?")</f>
        <v>0</v>
      </c>
      <c r="E2482" s="2">
        <f>COUNTIF(contact[[#This Row],[Bagossy]:[Szo
03:00 - 10:00]],"=x")</f>
        <v>0</v>
      </c>
      <c r="F2482" s="2">
        <f>SUM(contact[[#This Row],[?]:[x]])</f>
        <v>0</v>
      </c>
      <c r="G24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82" s="2"/>
      <c r="I2482" s="2"/>
      <c r="J2482" s="3" t="s">
        <v>4120</v>
      </c>
      <c r="K2482" s="1" t="s">
        <v>29</v>
      </c>
      <c r="L2482" s="1" t="s">
        <v>2</v>
      </c>
      <c r="M2482" s="1" t="s">
        <v>2</v>
      </c>
      <c r="O2482" s="2"/>
      <c r="P2482" s="2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</row>
    <row r="2483" spans="1:32" s="1" customFormat="1" ht="20.25" customHeight="1" x14ac:dyDescent="0.25">
      <c r="A2483" s="2"/>
      <c r="B2483" s="2"/>
      <c r="C2483" s="2"/>
      <c r="D2483" s="2">
        <f>COUNTIF(contact[[#This Row],[Bagossy]:[Szo
03:00 - 10:00]],"=~?")</f>
        <v>0</v>
      </c>
      <c r="E2483" s="2">
        <f>COUNTIF(contact[[#This Row],[Bagossy]:[Szo
03:00 - 10:00]],"=x")</f>
        <v>0</v>
      </c>
      <c r="F2483" s="2">
        <f>SUM(contact[[#This Row],[?]:[x]])</f>
        <v>0</v>
      </c>
      <c r="G24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3" s="3" t="s">
        <v>2101</v>
      </c>
      <c r="K2483" s="1" t="s">
        <v>1337</v>
      </c>
      <c r="L2483" s="1" t="s">
        <v>2</v>
      </c>
      <c r="M2483" s="1" t="s">
        <v>2</v>
      </c>
      <c r="O2483" s="2"/>
      <c r="P2483" s="2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</row>
    <row r="2484" spans="1:32" s="1" customFormat="1" ht="20.25" customHeight="1" x14ac:dyDescent="0.25">
      <c r="A2484" s="2"/>
      <c r="B2484" s="2"/>
      <c r="C2484" s="2"/>
      <c r="D2484" s="2">
        <f>COUNTIF(contact[[#This Row],[Bagossy]:[Szo
03:00 - 10:00]],"=~?")</f>
        <v>0</v>
      </c>
      <c r="E2484" s="2">
        <f>COUNTIF(contact[[#This Row],[Bagossy]:[Szo
03:00 - 10:00]],"=x")</f>
        <v>0</v>
      </c>
      <c r="F2484" s="2">
        <f>SUM(contact[[#This Row],[?]:[x]])</f>
        <v>0</v>
      </c>
      <c r="G24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4" s="3" t="s">
        <v>2134</v>
      </c>
      <c r="K2484" s="1" t="s">
        <v>2</v>
      </c>
      <c r="L2484" s="1" t="s">
        <v>2</v>
      </c>
      <c r="M2484" s="1" t="s">
        <v>2</v>
      </c>
      <c r="O2484" s="2"/>
      <c r="P2484" s="2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</row>
    <row r="2485" spans="1:32" s="1" customFormat="1" ht="20.25" customHeight="1" x14ac:dyDescent="0.25">
      <c r="A2485" s="2"/>
      <c r="B2485" s="2"/>
      <c r="C2485" s="2"/>
      <c r="D2485" s="2">
        <f>COUNTIF(contact[[#This Row],[Bagossy]:[Szo
03:00 - 10:00]],"=~?")</f>
        <v>0</v>
      </c>
      <c r="E2485" s="2">
        <f>COUNTIF(contact[[#This Row],[Bagossy]:[Szo
03:00 - 10:00]],"=x")</f>
        <v>0</v>
      </c>
      <c r="F2485" s="2">
        <f>SUM(contact[[#This Row],[?]:[x]])</f>
        <v>0</v>
      </c>
      <c r="G24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85" s="2"/>
      <c r="I2485" s="2"/>
      <c r="J2485" s="3" t="s">
        <v>4127</v>
      </c>
      <c r="K2485" s="1" t="s">
        <v>1793</v>
      </c>
      <c r="L2485" s="1" t="s">
        <v>2</v>
      </c>
      <c r="M2485" s="1" t="s">
        <v>2</v>
      </c>
      <c r="O2485" s="2"/>
      <c r="P2485" s="2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</row>
    <row r="2486" spans="1:32" s="1" customFormat="1" ht="20.25" customHeight="1" x14ac:dyDescent="0.25">
      <c r="A2486" s="2"/>
      <c r="B2486" s="2"/>
      <c r="C2486" s="2"/>
      <c r="D2486" s="2">
        <f>COUNTIF(contact[[#This Row],[Bagossy]:[Szo
03:00 - 10:00]],"=~?")</f>
        <v>0</v>
      </c>
      <c r="E2486" s="2">
        <f>COUNTIF(contact[[#This Row],[Bagossy]:[Szo
03:00 - 10:00]],"=x")</f>
        <v>0</v>
      </c>
      <c r="F2486" s="2">
        <f>SUM(contact[[#This Row],[?]:[x]])</f>
        <v>0</v>
      </c>
      <c r="G24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86" s="2"/>
      <c r="I2486" s="2"/>
      <c r="J2486" s="3" t="s">
        <v>4128</v>
      </c>
      <c r="K2486" s="1" t="s">
        <v>173</v>
      </c>
      <c r="L2486" s="1" t="s">
        <v>2</v>
      </c>
      <c r="M2486" s="1" t="s">
        <v>2</v>
      </c>
      <c r="O2486" s="2"/>
      <c r="P2486" s="2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</row>
    <row r="2487" spans="1:32" s="1" customFormat="1" ht="20.25" customHeight="1" x14ac:dyDescent="0.25">
      <c r="A2487" s="2"/>
      <c r="B2487" s="2"/>
      <c r="C2487" s="2"/>
      <c r="D2487" s="2">
        <f>COUNTIF(contact[[#This Row],[Bagossy]:[Szo
03:00 - 10:00]],"=~?")</f>
        <v>0</v>
      </c>
      <c r="E2487" s="2">
        <f>COUNTIF(contact[[#This Row],[Bagossy]:[Szo
03:00 - 10:00]],"=x")</f>
        <v>0</v>
      </c>
      <c r="F2487" s="2">
        <f>SUM(contact[[#This Row],[?]:[x]])</f>
        <v>0</v>
      </c>
      <c r="G24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7" s="3" t="s">
        <v>2324</v>
      </c>
      <c r="K2487" s="1" t="s">
        <v>1327</v>
      </c>
      <c r="L2487" s="1" t="s">
        <v>2</v>
      </c>
      <c r="M2487" s="1" t="s">
        <v>2</v>
      </c>
      <c r="O2487" s="2"/>
      <c r="P2487" s="2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</row>
    <row r="2488" spans="1:32" s="1" customFormat="1" ht="20.25" customHeight="1" x14ac:dyDescent="0.25">
      <c r="A2488" s="2"/>
      <c r="B2488" s="2"/>
      <c r="C2488" s="2"/>
      <c r="D2488" s="2">
        <f>COUNTIF(contact[[#This Row],[Bagossy]:[Szo
03:00 - 10:00]],"=~?")</f>
        <v>0</v>
      </c>
      <c r="E2488" s="2">
        <f>COUNTIF(contact[[#This Row],[Bagossy]:[Szo
03:00 - 10:00]],"=x")</f>
        <v>0</v>
      </c>
      <c r="F2488" s="2">
        <f>SUM(contact[[#This Row],[?]:[x]])</f>
        <v>0</v>
      </c>
      <c r="G24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8" s="3" t="s">
        <v>2371</v>
      </c>
      <c r="K2488" s="1" t="s">
        <v>270</v>
      </c>
      <c r="L2488" s="1" t="s">
        <v>2</v>
      </c>
      <c r="M2488" s="1" t="s">
        <v>2</v>
      </c>
      <c r="O2488" s="2"/>
      <c r="P2488" s="2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</row>
    <row r="2489" spans="1:32" s="1" customFormat="1" ht="20.25" customHeight="1" x14ac:dyDescent="0.25">
      <c r="A2489" s="2"/>
      <c r="B2489" s="2"/>
      <c r="C2489" s="2"/>
      <c r="D2489" s="2">
        <f>COUNTIF(contact[[#This Row],[Bagossy]:[Szo
03:00 - 10:00]],"=~?")</f>
        <v>0</v>
      </c>
      <c r="E2489" s="2">
        <f>COUNTIF(contact[[#This Row],[Bagossy]:[Szo
03:00 - 10:00]],"=x")</f>
        <v>0</v>
      </c>
      <c r="F2489" s="2">
        <f>SUM(contact[[#This Row],[?]:[x]])</f>
        <v>0</v>
      </c>
      <c r="G24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89" s="3" t="s">
        <v>2408</v>
      </c>
      <c r="K2489" s="1" t="s">
        <v>2</v>
      </c>
      <c r="L2489" s="1" t="s">
        <v>2</v>
      </c>
      <c r="M2489" s="1" t="s">
        <v>2</v>
      </c>
      <c r="O2489" s="2"/>
      <c r="P2489" s="2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</row>
    <row r="2490" spans="1:32" s="1" customFormat="1" ht="20.25" customHeight="1" x14ac:dyDescent="0.25">
      <c r="A2490" s="2"/>
      <c r="B2490" s="2"/>
      <c r="C2490" s="2"/>
      <c r="D2490" s="2">
        <f>COUNTIF(contact[[#This Row],[Bagossy]:[Szo
03:00 - 10:00]],"=~?")</f>
        <v>0</v>
      </c>
      <c r="E2490" s="2">
        <f>COUNTIF(contact[[#This Row],[Bagossy]:[Szo
03:00 - 10:00]],"=x")</f>
        <v>0</v>
      </c>
      <c r="F2490" s="2">
        <f>SUM(contact[[#This Row],[?]:[x]])</f>
        <v>0</v>
      </c>
      <c r="G24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490" s="2"/>
      <c r="I2490" s="2"/>
      <c r="J2490" s="3" t="s">
        <v>4130</v>
      </c>
      <c r="K2490" s="1" t="s">
        <v>6</v>
      </c>
      <c r="L2490" s="1" t="s">
        <v>2</v>
      </c>
      <c r="M2490" s="1" t="s">
        <v>2</v>
      </c>
      <c r="O2490" s="2"/>
      <c r="P2490" s="2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</row>
    <row r="2491" spans="1:32" s="1" customFormat="1" ht="20.25" customHeight="1" x14ac:dyDescent="0.25">
      <c r="A2491" s="2"/>
      <c r="B2491" s="2"/>
      <c r="C2491" s="2"/>
      <c r="D2491" s="2">
        <f>COUNTIF(contact[[#This Row],[Bagossy]:[Szo
03:00 - 10:00]],"=~?")</f>
        <v>0</v>
      </c>
      <c r="E2491" s="2">
        <f>COUNTIF(contact[[#This Row],[Bagossy]:[Szo
03:00 - 10:00]],"=x")</f>
        <v>0</v>
      </c>
      <c r="F2491" s="2">
        <f>SUM(contact[[#This Row],[?]:[x]])</f>
        <v>0</v>
      </c>
      <c r="G24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1" s="3" t="s">
        <v>2642</v>
      </c>
      <c r="K2491" s="1" t="s">
        <v>1463</v>
      </c>
      <c r="L2491" s="1" t="s">
        <v>2</v>
      </c>
      <c r="M2491" s="1" t="s">
        <v>2</v>
      </c>
      <c r="O2491" s="2"/>
      <c r="P2491" s="2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</row>
    <row r="2492" spans="1:32" s="1" customFormat="1" ht="20.25" customHeight="1" x14ac:dyDescent="0.25">
      <c r="A2492" s="2"/>
      <c r="B2492" s="2"/>
      <c r="C2492" s="2"/>
      <c r="D2492" s="2">
        <f>COUNTIF(contact[[#This Row],[Bagossy]:[Szo
03:00 - 10:00]],"=~?")</f>
        <v>0</v>
      </c>
      <c r="E2492" s="2">
        <f>COUNTIF(contact[[#This Row],[Bagossy]:[Szo
03:00 - 10:00]],"=x")</f>
        <v>0</v>
      </c>
      <c r="F2492" s="2">
        <f>SUM(contact[[#This Row],[?]:[x]])</f>
        <v>0</v>
      </c>
      <c r="G24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2" s="3" t="s">
        <v>2642</v>
      </c>
      <c r="K2492" s="1" t="s">
        <v>427</v>
      </c>
      <c r="L2492" s="1" t="s">
        <v>2</v>
      </c>
      <c r="M2492" s="1" t="s">
        <v>2</v>
      </c>
      <c r="O2492" s="2"/>
      <c r="P2492" s="2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</row>
    <row r="2493" spans="1:32" s="1" customFormat="1" ht="20.25" customHeight="1" x14ac:dyDescent="0.25">
      <c r="A2493" s="2"/>
      <c r="B2493" s="2"/>
      <c r="C2493" s="2"/>
      <c r="D2493" s="2">
        <f>COUNTIF(contact[[#This Row],[Bagossy]:[Szo
03:00 - 10:00]],"=~?")</f>
        <v>0</v>
      </c>
      <c r="E2493" s="2">
        <f>COUNTIF(contact[[#This Row],[Bagossy]:[Szo
03:00 - 10:00]],"=x")</f>
        <v>0</v>
      </c>
      <c r="F2493" s="2">
        <f>SUM(contact[[#This Row],[?]:[x]])</f>
        <v>0</v>
      </c>
      <c r="G24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3" s="3" t="s">
        <v>2642</v>
      </c>
      <c r="K2493" s="1" t="s">
        <v>1464</v>
      </c>
      <c r="L2493" s="1" t="s">
        <v>2</v>
      </c>
      <c r="M2493" s="1" t="s">
        <v>2</v>
      </c>
      <c r="O2493" s="2"/>
      <c r="P2493" s="2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</row>
    <row r="2494" spans="1:32" s="1" customFormat="1" ht="20.25" customHeight="1" x14ac:dyDescent="0.25">
      <c r="A2494" s="2"/>
      <c r="B2494" s="2"/>
      <c r="C2494" s="2"/>
      <c r="D2494" s="2">
        <f>COUNTIF(contact[[#This Row],[Bagossy]:[Szo
03:00 - 10:00]],"=~?")</f>
        <v>0</v>
      </c>
      <c r="E2494" s="2">
        <f>COUNTIF(contact[[#This Row],[Bagossy]:[Szo
03:00 - 10:00]],"=x")</f>
        <v>0</v>
      </c>
      <c r="F2494" s="2">
        <f>SUM(contact[[#This Row],[?]:[x]])</f>
        <v>0</v>
      </c>
      <c r="G24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4" s="3" t="s">
        <v>2694</v>
      </c>
      <c r="K2494" s="1" t="s">
        <v>2</v>
      </c>
      <c r="L2494" s="1" t="s">
        <v>2</v>
      </c>
      <c r="M2494" s="1" t="s">
        <v>2</v>
      </c>
      <c r="O2494" s="2"/>
      <c r="P2494" s="2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</row>
    <row r="2495" spans="1:32" s="1" customFormat="1" ht="20.25" customHeight="1" x14ac:dyDescent="0.25">
      <c r="A2495" s="2"/>
      <c r="B2495" s="2"/>
      <c r="C2495" s="2"/>
      <c r="D2495" s="2">
        <f>COUNTIF(contact[[#This Row],[Bagossy]:[Szo
03:00 - 10:00]],"=~?")</f>
        <v>0</v>
      </c>
      <c r="E2495" s="2">
        <f>COUNTIF(contact[[#This Row],[Bagossy]:[Szo
03:00 - 10:00]],"=x")</f>
        <v>0</v>
      </c>
      <c r="F2495" s="2">
        <f>SUM(contact[[#This Row],[?]:[x]])</f>
        <v>0</v>
      </c>
      <c r="G24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5" s="3" t="s">
        <v>2711</v>
      </c>
      <c r="K2495" s="1" t="s">
        <v>455</v>
      </c>
      <c r="L2495" s="1" t="s">
        <v>2</v>
      </c>
      <c r="M2495" s="1" t="s">
        <v>2</v>
      </c>
      <c r="O2495" s="2"/>
      <c r="P2495" s="2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</row>
    <row r="2496" spans="1:32" s="1" customFormat="1" ht="20.25" customHeight="1" x14ac:dyDescent="0.25">
      <c r="A2496" s="2"/>
      <c r="B2496" s="2"/>
      <c r="C2496" s="2"/>
      <c r="D2496" s="2">
        <f>COUNTIF(contact[[#This Row],[Bagossy]:[Szo
03:00 - 10:00]],"=~?")</f>
        <v>0</v>
      </c>
      <c r="E2496" s="2">
        <f>COUNTIF(contact[[#This Row],[Bagossy]:[Szo
03:00 - 10:00]],"=x")</f>
        <v>0</v>
      </c>
      <c r="F2496" s="2">
        <f>SUM(contact[[#This Row],[?]:[x]])</f>
        <v>0</v>
      </c>
      <c r="G24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6" s="3" t="s">
        <v>2752</v>
      </c>
      <c r="K2496" s="1" t="s">
        <v>2</v>
      </c>
      <c r="L2496" s="1" t="s">
        <v>2</v>
      </c>
      <c r="M2496" s="1" t="s">
        <v>2</v>
      </c>
      <c r="O2496" s="2"/>
      <c r="P2496" s="2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</row>
    <row r="2497" spans="1:32" s="1" customFormat="1" ht="20.25" customHeight="1" x14ac:dyDescent="0.25">
      <c r="A2497" s="2"/>
      <c r="B2497" s="2"/>
      <c r="C2497" s="2"/>
      <c r="D2497" s="2">
        <f>COUNTIF(contact[[#This Row],[Bagossy]:[Szo
03:00 - 10:00]],"=~?")</f>
        <v>0</v>
      </c>
      <c r="E2497" s="2">
        <f>COUNTIF(contact[[#This Row],[Bagossy]:[Szo
03:00 - 10:00]],"=x")</f>
        <v>0</v>
      </c>
      <c r="F2497" s="2">
        <f>SUM(contact[[#This Row],[?]:[x]])</f>
        <v>0</v>
      </c>
      <c r="G24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7" s="3" t="s">
        <v>2781</v>
      </c>
      <c r="K2497" s="1" t="s">
        <v>489</v>
      </c>
      <c r="L2497" s="1" t="s">
        <v>2</v>
      </c>
      <c r="M2497" s="1" t="s">
        <v>2</v>
      </c>
      <c r="O2497" s="2"/>
      <c r="P2497" s="2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</row>
    <row r="2498" spans="1:32" s="1" customFormat="1" ht="20.25" customHeight="1" x14ac:dyDescent="0.25">
      <c r="A2498" s="2"/>
      <c r="B2498" s="2"/>
      <c r="C2498" s="2"/>
      <c r="D2498" s="2">
        <f>COUNTIF(contact[[#This Row],[Bagossy]:[Szo
03:00 - 10:00]],"=~?")</f>
        <v>0</v>
      </c>
      <c r="E2498" s="2">
        <f>COUNTIF(contact[[#This Row],[Bagossy]:[Szo
03:00 - 10:00]],"=x")</f>
        <v>0</v>
      </c>
      <c r="F2498" s="2">
        <f>SUM(contact[[#This Row],[?]:[x]])</f>
        <v>0</v>
      </c>
      <c r="G24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8" s="3" t="s">
        <v>2813</v>
      </c>
      <c r="K2498" s="1" t="s">
        <v>507</v>
      </c>
      <c r="L2498" s="1" t="s">
        <v>2</v>
      </c>
      <c r="M2498" s="1" t="s">
        <v>2</v>
      </c>
      <c r="O2498" s="2"/>
      <c r="P2498" s="2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</row>
    <row r="2499" spans="1:32" s="1" customFormat="1" ht="20.25" customHeight="1" x14ac:dyDescent="0.25">
      <c r="A2499" s="2"/>
      <c r="B2499" s="2"/>
      <c r="C2499" s="2"/>
      <c r="D2499" s="2">
        <f>COUNTIF(contact[[#This Row],[Bagossy]:[Szo
03:00 - 10:00]],"=~?")</f>
        <v>0</v>
      </c>
      <c r="E2499" s="2">
        <f>COUNTIF(contact[[#This Row],[Bagossy]:[Szo
03:00 - 10:00]],"=x")</f>
        <v>0</v>
      </c>
      <c r="F2499" s="2">
        <f>SUM(contact[[#This Row],[?]:[x]])</f>
        <v>0</v>
      </c>
      <c r="G24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499" s="3" t="s">
        <v>2880</v>
      </c>
      <c r="K2499" s="1" t="s">
        <v>2</v>
      </c>
      <c r="L2499" s="1" t="s">
        <v>2</v>
      </c>
      <c r="M2499" s="1" t="s">
        <v>2</v>
      </c>
      <c r="O2499" s="2"/>
      <c r="P2499" s="2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</row>
    <row r="2500" spans="1:32" s="1" customFormat="1" ht="20.25" customHeight="1" x14ac:dyDescent="0.25">
      <c r="A2500" s="2"/>
      <c r="B2500" s="2"/>
      <c r="C2500" s="2"/>
      <c r="D2500" s="2">
        <f>COUNTIF(contact[[#This Row],[Bagossy]:[Szo
03:00 - 10:00]],"=~?")</f>
        <v>0</v>
      </c>
      <c r="E2500" s="2">
        <f>COUNTIF(contact[[#This Row],[Bagossy]:[Szo
03:00 - 10:00]],"=x")</f>
        <v>0</v>
      </c>
      <c r="F2500" s="2">
        <f>SUM(contact[[#This Row],[?]:[x]])</f>
        <v>0</v>
      </c>
      <c r="G25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00" s="3" t="s">
        <v>2880</v>
      </c>
      <c r="K2500" s="1" t="s">
        <v>391</v>
      </c>
      <c r="L2500" s="1" t="s">
        <v>2</v>
      </c>
      <c r="M2500" s="1" t="s">
        <v>2</v>
      </c>
      <c r="O2500" s="2"/>
      <c r="P2500" s="2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</row>
    <row r="2501" spans="1:32" s="1" customFormat="1" ht="20.25" customHeight="1" x14ac:dyDescent="0.25">
      <c r="A2501" s="2"/>
      <c r="B2501" s="2"/>
      <c r="C2501" s="2"/>
      <c r="D2501" s="2">
        <f>COUNTIF(contact[[#This Row],[Bagossy]:[Szo
03:00 - 10:00]],"=~?")</f>
        <v>0</v>
      </c>
      <c r="E2501" s="2">
        <f>COUNTIF(contact[[#This Row],[Bagossy]:[Szo
03:00 - 10:00]],"=x")</f>
        <v>0</v>
      </c>
      <c r="F2501" s="2">
        <f>SUM(contact[[#This Row],[?]:[x]])</f>
        <v>0</v>
      </c>
      <c r="G25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01" s="3" t="s">
        <v>3032</v>
      </c>
      <c r="K2501" s="1" t="s">
        <v>1549</v>
      </c>
      <c r="L2501" s="1" t="s">
        <v>2</v>
      </c>
      <c r="M2501" s="1" t="s">
        <v>2</v>
      </c>
      <c r="O2501" s="2"/>
      <c r="P2501" s="2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</row>
    <row r="2502" spans="1:32" s="1" customFormat="1" ht="20.25" customHeight="1" x14ac:dyDescent="0.25">
      <c r="A2502" s="2"/>
      <c r="B2502" s="2"/>
      <c r="C2502" s="2"/>
      <c r="D2502" s="2">
        <f>COUNTIF(contact[[#This Row],[Bagossy]:[Szo
03:00 - 10:00]],"=~?")</f>
        <v>0</v>
      </c>
      <c r="E2502" s="2">
        <f>COUNTIF(contact[[#This Row],[Bagossy]:[Szo
03:00 - 10:00]],"=x")</f>
        <v>0</v>
      </c>
      <c r="F2502" s="2">
        <f>SUM(contact[[#This Row],[?]:[x]])</f>
        <v>0</v>
      </c>
      <c r="G25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02" s="2"/>
      <c r="I2502" s="2"/>
      <c r="J2502" s="3" t="s">
        <v>4144</v>
      </c>
      <c r="K2502" s="1" t="s">
        <v>651</v>
      </c>
      <c r="L2502" s="1" t="s">
        <v>2</v>
      </c>
      <c r="M2502" s="1" t="s">
        <v>2</v>
      </c>
      <c r="O2502" s="2"/>
      <c r="P2502" s="2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</row>
    <row r="2503" spans="1:32" s="1" customFormat="1" ht="20.25" customHeight="1" x14ac:dyDescent="0.25">
      <c r="A2503" s="2"/>
      <c r="B2503" s="2"/>
      <c r="C2503" s="2" t="s">
        <v>1285</v>
      </c>
      <c r="D2503" s="2">
        <f>COUNTIF(contact[[#This Row],[Bagossy]:[Szo
03:00 - 10:00]],"=~?")</f>
        <v>0</v>
      </c>
      <c r="E2503" s="2">
        <f>COUNTIF(contact[[#This Row],[Bagossy]:[Szo
03:00 - 10:00]],"=x")</f>
        <v>0</v>
      </c>
      <c r="F2503" s="2">
        <f>SUM(contact[[#This Row],[?]:[x]])</f>
        <v>0</v>
      </c>
      <c r="G25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03" s="2" t="s">
        <v>4616</v>
      </c>
      <c r="I2503" s="2"/>
      <c r="J2503" s="3" t="s">
        <v>4149</v>
      </c>
      <c r="K2503" s="1" t="s">
        <v>1796</v>
      </c>
      <c r="L2503" s="1" t="s">
        <v>2</v>
      </c>
      <c r="M2503" s="1" t="s">
        <v>2</v>
      </c>
      <c r="O2503" s="2"/>
      <c r="P2503" s="2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</row>
    <row r="2504" spans="1:32" s="1" customFormat="1" ht="20.25" customHeight="1" x14ac:dyDescent="0.25">
      <c r="A2504" s="2"/>
      <c r="B2504" s="2"/>
      <c r="C2504" s="2"/>
      <c r="D2504" s="2">
        <f>COUNTIF(contact[[#This Row],[Bagossy]:[Szo
03:00 - 10:00]],"=~?")</f>
        <v>0</v>
      </c>
      <c r="E2504" s="2">
        <f>COUNTIF(contact[[#This Row],[Bagossy]:[Szo
03:00 - 10:00]],"=x")</f>
        <v>0</v>
      </c>
      <c r="F2504" s="2">
        <f>SUM(contact[[#This Row],[?]:[x]])</f>
        <v>0</v>
      </c>
      <c r="G25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04" s="2"/>
      <c r="I2504" s="2"/>
      <c r="J2504" s="3" t="s">
        <v>4158</v>
      </c>
      <c r="K2504" s="1" t="s">
        <v>1797</v>
      </c>
      <c r="L2504" s="1" t="s">
        <v>2</v>
      </c>
      <c r="M2504" s="1" t="s">
        <v>2</v>
      </c>
      <c r="O2504" s="2"/>
      <c r="P2504" s="2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</row>
    <row r="2505" spans="1:32" s="1" customFormat="1" ht="20.25" customHeight="1" x14ac:dyDescent="0.25">
      <c r="A2505" s="2"/>
      <c r="B2505" s="2"/>
      <c r="C2505" s="2"/>
      <c r="D2505" s="2">
        <f>COUNTIF(contact[[#This Row],[Bagossy]:[Szo
03:00 - 10:00]],"=~?")</f>
        <v>0</v>
      </c>
      <c r="E2505" s="2">
        <f>COUNTIF(contact[[#This Row],[Bagossy]:[Szo
03:00 - 10:00]],"=x")</f>
        <v>0</v>
      </c>
      <c r="F2505" s="2">
        <f>SUM(contact[[#This Row],[?]:[x]])</f>
        <v>0</v>
      </c>
      <c r="G25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05" s="3" t="s">
        <v>3232</v>
      </c>
      <c r="K2505" s="1" t="s">
        <v>2</v>
      </c>
      <c r="L2505" s="1" t="s">
        <v>2</v>
      </c>
      <c r="M2505" s="1" t="s">
        <v>2</v>
      </c>
      <c r="O2505" s="2"/>
      <c r="P2505" s="2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</row>
    <row r="2506" spans="1:32" s="1" customFormat="1" ht="20.25" customHeight="1" x14ac:dyDescent="0.25">
      <c r="A2506" s="2"/>
      <c r="B2506" s="2"/>
      <c r="C2506" s="2"/>
      <c r="D2506" s="2">
        <f>COUNTIF(contact[[#This Row],[Bagossy]:[Szo
03:00 - 10:00]],"=~?")</f>
        <v>0</v>
      </c>
      <c r="E2506" s="2">
        <f>COUNTIF(contact[[#This Row],[Bagossy]:[Szo
03:00 - 10:00]],"=x")</f>
        <v>0</v>
      </c>
      <c r="F2506" s="2">
        <f>SUM(contact[[#This Row],[?]:[x]])</f>
        <v>0</v>
      </c>
      <c r="G25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06" s="3" t="s">
        <v>3276</v>
      </c>
      <c r="K2506" s="1" t="s">
        <v>1608</v>
      </c>
      <c r="L2506" s="1" t="s">
        <v>2</v>
      </c>
      <c r="M2506" s="1" t="s">
        <v>2</v>
      </c>
      <c r="O2506" s="2"/>
      <c r="P2506" s="2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</row>
    <row r="2507" spans="1:32" s="1" customFormat="1" ht="20.25" customHeight="1" x14ac:dyDescent="0.25">
      <c r="A2507" s="2"/>
      <c r="B2507" s="2"/>
      <c r="C2507" s="2"/>
      <c r="D2507" s="2">
        <f>COUNTIF(contact[[#This Row],[Bagossy]:[Szo
03:00 - 10:00]],"=~?")</f>
        <v>0</v>
      </c>
      <c r="E2507" s="2">
        <f>COUNTIF(contact[[#This Row],[Bagossy]:[Szo
03:00 - 10:00]],"=x")</f>
        <v>0</v>
      </c>
      <c r="F2507" s="2">
        <f>SUM(contact[[#This Row],[?]:[x]])</f>
        <v>0</v>
      </c>
      <c r="G25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07" s="3" t="s">
        <v>3345</v>
      </c>
      <c r="K2507" s="1" t="s">
        <v>763</v>
      </c>
      <c r="L2507" s="1" t="s">
        <v>2</v>
      </c>
      <c r="M2507" s="1" t="s">
        <v>2</v>
      </c>
      <c r="O2507" s="2"/>
      <c r="P2507" s="2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</row>
    <row r="2508" spans="1:32" s="1" customFormat="1" ht="20.25" customHeight="1" x14ac:dyDescent="0.25">
      <c r="A2508" s="2"/>
      <c r="B2508" s="2"/>
      <c r="C2508" s="2"/>
      <c r="D2508" s="2">
        <f>COUNTIF(contact[[#This Row],[Bagossy]:[Szo
03:00 - 10:00]],"=~?")</f>
        <v>0</v>
      </c>
      <c r="E2508" s="2">
        <f>COUNTIF(contact[[#This Row],[Bagossy]:[Szo
03:00 - 10:00]],"=x")</f>
        <v>0</v>
      </c>
      <c r="F2508" s="2">
        <f>SUM(contact[[#This Row],[?]:[x]])</f>
        <v>0</v>
      </c>
      <c r="G25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08" s="3" t="s">
        <v>3404</v>
      </c>
      <c r="K2508" s="1" t="s">
        <v>1635</v>
      </c>
      <c r="L2508" s="1" t="s">
        <v>2</v>
      </c>
      <c r="M2508" s="1" t="s">
        <v>2</v>
      </c>
      <c r="O2508" s="2"/>
      <c r="P2508" s="2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</row>
    <row r="2509" spans="1:32" s="1" customFormat="1" ht="20.25" customHeight="1" x14ac:dyDescent="0.25">
      <c r="A2509" s="2"/>
      <c r="B2509" s="2"/>
      <c r="C2509" s="2"/>
      <c r="D2509" s="2">
        <f>COUNTIF(contact[[#This Row],[Bagossy]:[Szo
03:00 - 10:00]],"=~?")</f>
        <v>0</v>
      </c>
      <c r="E2509" s="2">
        <f>COUNTIF(contact[[#This Row],[Bagossy]:[Szo
03:00 - 10:00]],"=x")</f>
        <v>0</v>
      </c>
      <c r="F2509" s="2">
        <f>SUM(contact[[#This Row],[?]:[x]])</f>
        <v>0</v>
      </c>
      <c r="G25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09" s="3" t="s">
        <v>3490</v>
      </c>
      <c r="K2509" s="1" t="s">
        <v>1658</v>
      </c>
      <c r="L2509" s="1" t="s">
        <v>2</v>
      </c>
      <c r="M2509" s="1" t="s">
        <v>2</v>
      </c>
      <c r="O2509" s="2"/>
      <c r="P2509" s="2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</row>
    <row r="2510" spans="1:32" s="1" customFormat="1" ht="20.25" customHeight="1" x14ac:dyDescent="0.25">
      <c r="A2510" s="2"/>
      <c r="B2510" s="2"/>
      <c r="C2510" s="2"/>
      <c r="D2510" s="2">
        <f>COUNTIF(contact[[#This Row],[Bagossy]:[Szo
03:00 - 10:00]],"=~?")</f>
        <v>0</v>
      </c>
      <c r="E2510" s="2">
        <f>COUNTIF(contact[[#This Row],[Bagossy]:[Szo
03:00 - 10:00]],"=x")</f>
        <v>0</v>
      </c>
      <c r="F2510" s="2">
        <f>SUM(contact[[#This Row],[?]:[x]])</f>
        <v>0</v>
      </c>
      <c r="G25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10" s="3" t="s">
        <v>3439</v>
      </c>
      <c r="K2510" s="1" t="s">
        <v>2</v>
      </c>
      <c r="L2510" s="1" t="s">
        <v>2</v>
      </c>
      <c r="M2510" s="1" t="s">
        <v>2</v>
      </c>
      <c r="O2510" s="2"/>
      <c r="P2510" s="2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</row>
    <row r="2511" spans="1:32" s="1" customFormat="1" ht="20.25" customHeight="1" x14ac:dyDescent="0.25">
      <c r="A2511" s="2"/>
      <c r="B2511" s="2"/>
      <c r="C2511" s="2"/>
      <c r="D2511" s="2">
        <f>COUNTIF(contact[[#This Row],[Bagossy]:[Szo
03:00 - 10:00]],"=~?")</f>
        <v>0</v>
      </c>
      <c r="E2511" s="2">
        <f>COUNTIF(contact[[#This Row],[Bagossy]:[Szo
03:00 - 10:00]],"=x")</f>
        <v>0</v>
      </c>
      <c r="F2511" s="2">
        <f>SUM(contact[[#This Row],[?]:[x]])</f>
        <v>0</v>
      </c>
      <c r="G25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11" s="3" t="s">
        <v>3453</v>
      </c>
      <c r="K2511" s="1" t="s">
        <v>30</v>
      </c>
      <c r="L2511" s="1" t="s">
        <v>2</v>
      </c>
      <c r="M2511" s="1" t="s">
        <v>2</v>
      </c>
      <c r="O2511" s="2"/>
      <c r="P2511" s="2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</row>
    <row r="2512" spans="1:32" s="1" customFormat="1" ht="20.25" customHeight="1" x14ac:dyDescent="0.25">
      <c r="A2512" s="2"/>
      <c r="B2512" s="2"/>
      <c r="C2512" s="2"/>
      <c r="D2512" s="2">
        <f>COUNTIF(contact[[#This Row],[Bagossy]:[Szo
03:00 - 10:00]],"=~?")</f>
        <v>0</v>
      </c>
      <c r="E2512" s="2">
        <f>COUNTIF(contact[[#This Row],[Bagossy]:[Szo
03:00 - 10:00]],"=x")</f>
        <v>0</v>
      </c>
      <c r="F2512" s="2">
        <f>SUM(contact[[#This Row],[?]:[x]])</f>
        <v>0</v>
      </c>
      <c r="G25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12" s="2"/>
      <c r="I2512" s="2"/>
      <c r="J2512" s="3" t="s">
        <v>4173</v>
      </c>
      <c r="K2512" s="1" t="s">
        <v>151</v>
      </c>
      <c r="L2512" s="1" t="s">
        <v>2</v>
      </c>
      <c r="M2512" s="1" t="s">
        <v>2</v>
      </c>
      <c r="O2512" s="2"/>
      <c r="P2512" s="2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</row>
    <row r="2513" spans="1:32" s="1" customFormat="1" ht="20.25" customHeight="1" x14ac:dyDescent="0.25">
      <c r="A2513" s="2"/>
      <c r="B2513" s="2"/>
      <c r="C2513" s="2"/>
      <c r="D2513" s="2">
        <f>COUNTIF(contact[[#This Row],[Bagossy]:[Szo
03:00 - 10:00]],"=~?")</f>
        <v>0</v>
      </c>
      <c r="E2513" s="2">
        <f>COUNTIF(contact[[#This Row],[Bagossy]:[Szo
03:00 - 10:00]],"=x")</f>
        <v>0</v>
      </c>
      <c r="F2513" s="2">
        <f>SUM(contact[[#This Row],[?]:[x]])</f>
        <v>0</v>
      </c>
      <c r="G25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13" s="3" t="s">
        <v>3618</v>
      </c>
      <c r="K2513" s="1" t="s">
        <v>1687</v>
      </c>
      <c r="L2513" s="1" t="s">
        <v>2</v>
      </c>
      <c r="M2513" s="1" t="s">
        <v>2</v>
      </c>
      <c r="O2513" s="2"/>
      <c r="P2513" s="2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</row>
    <row r="2514" spans="1:32" s="1" customFormat="1" ht="20.25" customHeight="1" x14ac:dyDescent="0.25">
      <c r="A2514" s="2" t="s">
        <v>1285</v>
      </c>
      <c r="B2514" s="2" t="s">
        <v>1285</v>
      </c>
      <c r="C2514" s="2" t="s">
        <v>1285</v>
      </c>
      <c r="D2514" s="2">
        <f>COUNTIF(contact[[#This Row],[Bagossy]:[Szo
03:00 - 10:00]],"=~?")</f>
        <v>0</v>
      </c>
      <c r="E2514" s="2">
        <f>COUNTIF(contact[[#This Row],[Bagossy]:[Szo
03:00 - 10:00]],"=x")</f>
        <v>2</v>
      </c>
      <c r="F2514" s="2">
        <f>SUM(contact[[#This Row],[?]:[x]])</f>
        <v>2</v>
      </c>
      <c r="G2514" s="2">
        <f>COUNTIF(contact[[#This Row],[Sze
10:00 - 22:00]:[Cs
03:00 - 08:00]],"=x")+COUNTIF(contact[[#This Row],[P
08:00 - 12:00]:[P
03:00 - 08:00]],"=x")+COUNTIF(contact[[#This Row],[Szo
08:00 - 12:00]:[Szo
03:00 - 10:00]],"=x")</f>
        <v>2</v>
      </c>
      <c r="H2514" s="2" t="s">
        <v>4620</v>
      </c>
      <c r="I2514" s="2"/>
      <c r="J2514" s="3" t="s">
        <v>3618</v>
      </c>
      <c r="K2514" s="1" t="s">
        <v>371</v>
      </c>
      <c r="L2514" s="1" t="s">
        <v>2</v>
      </c>
      <c r="M2514" s="1" t="s">
        <v>2</v>
      </c>
      <c r="N2514" s="2" t="s">
        <v>4612</v>
      </c>
      <c r="O2514" s="2"/>
      <c r="P2514" s="2"/>
      <c r="Q2514" s="6"/>
      <c r="R2514" s="6"/>
      <c r="S2514" s="6" t="s">
        <v>1285</v>
      </c>
      <c r="T2514" s="6" t="s">
        <v>1285</v>
      </c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</row>
    <row r="2515" spans="1:32" s="1" customFormat="1" ht="20.25" customHeight="1" x14ac:dyDescent="0.25">
      <c r="A2515" s="2"/>
      <c r="B2515" s="2"/>
      <c r="C2515" s="2"/>
      <c r="D2515" s="2">
        <f>COUNTIF(contact[[#This Row],[Bagossy]:[Szo
03:00 - 10:00]],"=~?")</f>
        <v>0</v>
      </c>
      <c r="E2515" s="2">
        <f>COUNTIF(contact[[#This Row],[Bagossy]:[Szo
03:00 - 10:00]],"=x")</f>
        <v>0</v>
      </c>
      <c r="F2515" s="2">
        <f>SUM(contact[[#This Row],[?]:[x]])</f>
        <v>0</v>
      </c>
      <c r="G25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15" s="3" t="s">
        <v>3694</v>
      </c>
      <c r="K2515" s="1" t="s">
        <v>2</v>
      </c>
      <c r="L2515" s="1" t="s">
        <v>2</v>
      </c>
      <c r="M2515" s="1" t="s">
        <v>2</v>
      </c>
      <c r="O2515" s="2"/>
      <c r="P2515" s="2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</row>
    <row r="2516" spans="1:32" s="1" customFormat="1" ht="20.25" customHeight="1" x14ac:dyDescent="0.25">
      <c r="A2516" s="2"/>
      <c r="B2516" s="2"/>
      <c r="C2516" s="2"/>
      <c r="D2516" s="2">
        <f>COUNTIF(contact[[#This Row],[Bagossy]:[Szo
03:00 - 10:00]],"=~?")</f>
        <v>0</v>
      </c>
      <c r="E2516" s="2">
        <f>COUNTIF(contact[[#This Row],[Bagossy]:[Szo
03:00 - 10:00]],"=x")</f>
        <v>0</v>
      </c>
      <c r="F2516" s="2">
        <f>SUM(contact[[#This Row],[?]:[x]])</f>
        <v>0</v>
      </c>
      <c r="G25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16" s="3" t="s">
        <v>3696</v>
      </c>
      <c r="K2516" s="1" t="s">
        <v>2</v>
      </c>
      <c r="L2516" s="1" t="s">
        <v>2</v>
      </c>
      <c r="M2516" s="1" t="s">
        <v>2</v>
      </c>
      <c r="O2516" s="2"/>
      <c r="P2516" s="2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</row>
    <row r="2517" spans="1:32" s="1" customFormat="1" ht="20.25" customHeight="1" x14ac:dyDescent="0.25">
      <c r="A2517" s="2"/>
      <c r="B2517" s="2"/>
      <c r="C2517" s="2"/>
      <c r="D2517" s="2">
        <f>COUNTIF(contact[[#This Row],[Bagossy]:[Szo
03:00 - 10:00]],"=~?")</f>
        <v>0</v>
      </c>
      <c r="E2517" s="2">
        <f>COUNTIF(contact[[#This Row],[Bagossy]:[Szo
03:00 - 10:00]],"=x")</f>
        <v>0</v>
      </c>
      <c r="F2517" s="2">
        <f>SUM(contact[[#This Row],[?]:[x]])</f>
        <v>0</v>
      </c>
      <c r="G25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17" s="2"/>
      <c r="I2517" s="2"/>
      <c r="J2517" s="3" t="s">
        <v>4178</v>
      </c>
      <c r="K2517" s="1" t="s">
        <v>1805</v>
      </c>
      <c r="L2517" s="1" t="s">
        <v>2</v>
      </c>
      <c r="M2517" s="1" t="s">
        <v>2</v>
      </c>
      <c r="O2517" s="2"/>
      <c r="P2517" s="2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</row>
    <row r="2518" spans="1:32" s="1" customFormat="1" ht="20.25" customHeight="1" x14ac:dyDescent="0.25">
      <c r="A2518" s="2"/>
      <c r="B2518" s="2"/>
      <c r="C2518" s="2"/>
      <c r="D2518" s="2">
        <f>COUNTIF(contact[[#This Row],[Bagossy]:[Szo
03:00 - 10:00]],"=~?")</f>
        <v>0</v>
      </c>
      <c r="E2518" s="2">
        <f>COUNTIF(contact[[#This Row],[Bagossy]:[Szo
03:00 - 10:00]],"=x")</f>
        <v>0</v>
      </c>
      <c r="F2518" s="2">
        <f>SUM(contact[[#This Row],[?]:[x]])</f>
        <v>0</v>
      </c>
      <c r="G25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18" s="3" t="s">
        <v>3832</v>
      </c>
      <c r="K2518" s="1" t="s">
        <v>966</v>
      </c>
      <c r="L2518" s="1" t="s">
        <v>2</v>
      </c>
      <c r="M2518" s="1" t="s">
        <v>2</v>
      </c>
      <c r="O2518" s="2"/>
      <c r="P2518" s="2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</row>
    <row r="2519" spans="1:32" s="1" customFormat="1" ht="20.25" customHeight="1" x14ac:dyDescent="0.25">
      <c r="A2519" s="2"/>
      <c r="B2519" s="2"/>
      <c r="C2519" s="2"/>
      <c r="D2519" s="2">
        <f>COUNTIF(contact[[#This Row],[Bagossy]:[Szo
03:00 - 10:00]],"=~?")</f>
        <v>0</v>
      </c>
      <c r="E2519" s="2">
        <f>COUNTIF(contact[[#This Row],[Bagossy]:[Szo
03:00 - 10:00]],"=x")</f>
        <v>0</v>
      </c>
      <c r="F2519" s="2">
        <f>SUM(contact[[#This Row],[?]:[x]])</f>
        <v>0</v>
      </c>
      <c r="G25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19" s="2"/>
      <c r="I2519" s="2"/>
      <c r="J2519" s="3" t="s">
        <v>4179</v>
      </c>
      <c r="K2519" s="1" t="s">
        <v>976</v>
      </c>
      <c r="L2519" s="1" t="s">
        <v>2</v>
      </c>
      <c r="M2519" s="1" t="s">
        <v>2</v>
      </c>
      <c r="O2519" s="2"/>
      <c r="P2519" s="2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</row>
    <row r="2520" spans="1:32" s="1" customFormat="1" ht="20.25" customHeight="1" x14ac:dyDescent="0.25">
      <c r="A2520" s="2"/>
      <c r="B2520" s="2"/>
      <c r="C2520" s="2"/>
      <c r="D2520" s="2">
        <f>COUNTIF(contact[[#This Row],[Bagossy]:[Szo
03:00 - 10:00]],"=~?")</f>
        <v>0</v>
      </c>
      <c r="E2520" s="2">
        <f>COUNTIF(contact[[#This Row],[Bagossy]:[Szo
03:00 - 10:00]],"=x")</f>
        <v>0</v>
      </c>
      <c r="F2520" s="2">
        <f>SUM(contact[[#This Row],[?]:[x]])</f>
        <v>0</v>
      </c>
      <c r="G25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0" s="3" t="s">
        <v>3853</v>
      </c>
      <c r="K2520" s="1" t="s">
        <v>30</v>
      </c>
      <c r="L2520" s="1" t="s">
        <v>2</v>
      </c>
      <c r="M2520" s="1" t="s">
        <v>2</v>
      </c>
      <c r="O2520" s="2"/>
      <c r="P2520" s="2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</row>
    <row r="2521" spans="1:32" s="1" customFormat="1" ht="20.25" customHeight="1" x14ac:dyDescent="0.25">
      <c r="A2521" s="2"/>
      <c r="B2521" s="2"/>
      <c r="C2521" s="2"/>
      <c r="D2521" s="2">
        <f>COUNTIF(contact[[#This Row],[Bagossy]:[Szo
03:00 - 10:00]],"=~?")</f>
        <v>0</v>
      </c>
      <c r="E2521" s="2">
        <f>COUNTIF(contact[[#This Row],[Bagossy]:[Szo
03:00 - 10:00]],"=x")</f>
        <v>0</v>
      </c>
      <c r="F2521" s="2">
        <f>SUM(contact[[#This Row],[?]:[x]])</f>
        <v>0</v>
      </c>
      <c r="G25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1" s="3" t="s">
        <v>3903</v>
      </c>
      <c r="K2521" s="1" t="s">
        <v>197</v>
      </c>
      <c r="L2521" s="1" t="s">
        <v>2</v>
      </c>
      <c r="M2521" s="1" t="s">
        <v>2</v>
      </c>
      <c r="O2521" s="2"/>
      <c r="P2521" s="2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</row>
    <row r="2522" spans="1:32" s="1" customFormat="1" ht="20.25" customHeight="1" x14ac:dyDescent="0.25">
      <c r="A2522" s="2" t="s">
        <v>1285</v>
      </c>
      <c r="B2522" s="2" t="s">
        <v>1285</v>
      </c>
      <c r="C2522" s="2" t="s">
        <v>1285</v>
      </c>
      <c r="D2522" s="2">
        <f>COUNTIF(contact[[#This Row],[Bagossy]:[Szo
03:00 - 10:00]],"=~?")</f>
        <v>5</v>
      </c>
      <c r="E2522" s="2">
        <f>COUNTIF(contact[[#This Row],[Bagossy]:[Szo
03:00 - 10:00]],"=x")</f>
        <v>9</v>
      </c>
      <c r="F2522" s="2">
        <f>SUM(contact[[#This Row],[?]:[x]])</f>
        <v>14</v>
      </c>
      <c r="G2522" s="2">
        <f>COUNTIF(contact[[#This Row],[Sze
10:00 - 22:00]:[Cs
03:00 - 08:00]],"=x")+COUNTIF(contact[[#This Row],[P
08:00 - 12:00]:[P
03:00 - 08:00]],"=x")+COUNTIF(contact[[#This Row],[Szo
08:00 - 12:00]:[Szo
03:00 - 10:00]],"=x")</f>
        <v>8</v>
      </c>
      <c r="H2522" s="2" t="s">
        <v>4623</v>
      </c>
      <c r="I2522" s="2" t="s">
        <v>1285</v>
      </c>
      <c r="J2522" s="3" t="s">
        <v>3903</v>
      </c>
      <c r="K2522" s="1" t="s">
        <v>6</v>
      </c>
      <c r="L2522" s="1" t="s">
        <v>2</v>
      </c>
      <c r="M2522" s="1" t="s">
        <v>2</v>
      </c>
      <c r="N2522" s="2" t="s">
        <v>4612</v>
      </c>
      <c r="O2522" s="2" t="s">
        <v>1285</v>
      </c>
      <c r="P2522" s="2"/>
      <c r="Q2522" s="6" t="s">
        <v>1285</v>
      </c>
      <c r="R2522" s="6" t="s">
        <v>1285</v>
      </c>
      <c r="S2522" s="6"/>
      <c r="T2522" s="6" t="s">
        <v>4616</v>
      </c>
      <c r="U2522" s="6" t="s">
        <v>1285</v>
      </c>
      <c r="V2522" s="6" t="s">
        <v>1285</v>
      </c>
      <c r="W2522" s="6"/>
      <c r="X2522" s="6" t="s">
        <v>1285</v>
      </c>
      <c r="Y2522" s="6" t="s">
        <v>4616</v>
      </c>
      <c r="Z2522" s="6" t="s">
        <v>1285</v>
      </c>
      <c r="AA2522" s="6" t="s">
        <v>1285</v>
      </c>
      <c r="AB2522" s="6"/>
      <c r="AC2522" s="6" t="s">
        <v>4616</v>
      </c>
      <c r="AD2522" s="6" t="s">
        <v>4616</v>
      </c>
      <c r="AE2522" s="6" t="s">
        <v>1285</v>
      </c>
      <c r="AF2522" s="6" t="s">
        <v>4616</v>
      </c>
    </row>
    <row r="2523" spans="1:32" s="1" customFormat="1" ht="20.25" customHeight="1" x14ac:dyDescent="0.25">
      <c r="A2523" s="2"/>
      <c r="B2523" s="2"/>
      <c r="C2523" s="2"/>
      <c r="D2523" s="2">
        <f>COUNTIF(contact[[#This Row],[Bagossy]:[Szo
03:00 - 10:00]],"=~?")</f>
        <v>0</v>
      </c>
      <c r="E2523" s="2">
        <f>COUNTIF(contact[[#This Row],[Bagossy]:[Szo
03:00 - 10:00]],"=x")</f>
        <v>0</v>
      </c>
      <c r="F2523" s="2">
        <f>SUM(contact[[#This Row],[?]:[x]])</f>
        <v>0</v>
      </c>
      <c r="G25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3" s="3" t="s">
        <v>3933</v>
      </c>
      <c r="K2523" s="1" t="s">
        <v>1742</v>
      </c>
      <c r="L2523" s="1" t="s">
        <v>2</v>
      </c>
      <c r="M2523" s="1" t="s">
        <v>2</v>
      </c>
      <c r="O2523" s="2"/>
      <c r="P2523" s="2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</row>
    <row r="2524" spans="1:32" s="1" customFormat="1" ht="20.25" customHeight="1" x14ac:dyDescent="0.25">
      <c r="A2524" s="2"/>
      <c r="B2524" s="2"/>
      <c r="C2524" s="2"/>
      <c r="D2524" s="2">
        <f>COUNTIF(contact[[#This Row],[Bagossy]:[Szo
03:00 - 10:00]],"=~?")</f>
        <v>0</v>
      </c>
      <c r="E2524" s="2">
        <f>COUNTIF(contact[[#This Row],[Bagossy]:[Szo
03:00 - 10:00]],"=x")</f>
        <v>0</v>
      </c>
      <c r="F2524" s="2">
        <f>SUM(contact[[#This Row],[?]:[x]])</f>
        <v>0</v>
      </c>
      <c r="G25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4" s="3" t="s">
        <v>3939</v>
      </c>
      <c r="K2524" s="1" t="s">
        <v>1022</v>
      </c>
      <c r="L2524" s="1" t="s">
        <v>2</v>
      </c>
      <c r="M2524" s="1" t="s">
        <v>2</v>
      </c>
      <c r="O2524" s="2"/>
      <c r="P2524" s="2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</row>
    <row r="2525" spans="1:32" s="1" customFormat="1" ht="20.25" customHeight="1" x14ac:dyDescent="0.25">
      <c r="A2525" s="2"/>
      <c r="B2525" s="2"/>
      <c r="C2525" s="2" t="s">
        <v>1285</v>
      </c>
      <c r="D2525" s="2">
        <f>COUNTIF(contact[[#This Row],[Bagossy]:[Szo
03:00 - 10:00]],"=~?")</f>
        <v>0</v>
      </c>
      <c r="E2525" s="2">
        <f>COUNTIF(contact[[#This Row],[Bagossy]:[Szo
03:00 - 10:00]],"=x")</f>
        <v>0</v>
      </c>
      <c r="F2525" s="2">
        <f>SUM(contact[[#This Row],[?]:[x]])</f>
        <v>0</v>
      </c>
      <c r="G25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25" s="2"/>
      <c r="I2525" s="2"/>
      <c r="J2525" s="3" t="s">
        <v>4181</v>
      </c>
      <c r="K2525" s="1" t="s">
        <v>1806</v>
      </c>
      <c r="L2525" s="1" t="s">
        <v>2</v>
      </c>
      <c r="M2525" s="1" t="s">
        <v>2</v>
      </c>
      <c r="O2525" s="2"/>
      <c r="P2525" s="2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</row>
    <row r="2526" spans="1:32" s="1" customFormat="1" ht="20.25" customHeight="1" x14ac:dyDescent="0.25">
      <c r="A2526" s="2"/>
      <c r="B2526" s="2"/>
      <c r="C2526" s="2"/>
      <c r="D2526" s="2">
        <f>COUNTIF(contact[[#This Row],[Bagossy]:[Szo
03:00 - 10:00]],"=~?")</f>
        <v>0</v>
      </c>
      <c r="E2526" s="2">
        <f>COUNTIF(contact[[#This Row],[Bagossy]:[Szo
03:00 - 10:00]],"=x")</f>
        <v>0</v>
      </c>
      <c r="F2526" s="2">
        <f>SUM(contact[[#This Row],[?]:[x]])</f>
        <v>0</v>
      </c>
      <c r="G25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6" s="3" t="s">
        <v>4300</v>
      </c>
      <c r="K2526" s="1" t="s">
        <v>1332</v>
      </c>
      <c r="L2526" s="1" t="s">
        <v>2</v>
      </c>
      <c r="M2526" s="1" t="s">
        <v>2</v>
      </c>
      <c r="O2526" s="2"/>
      <c r="P2526" s="2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</row>
    <row r="2527" spans="1:32" s="1" customFormat="1" ht="20.25" customHeight="1" x14ac:dyDescent="0.25">
      <c r="A2527" s="2"/>
      <c r="B2527" s="2"/>
      <c r="C2527" s="2" t="s">
        <v>1285</v>
      </c>
      <c r="D2527" s="2">
        <f>COUNTIF(contact[[#This Row],[Bagossy]:[Szo
03:00 - 10:00]],"=~?")</f>
        <v>0</v>
      </c>
      <c r="E2527" s="2">
        <f>COUNTIF(contact[[#This Row],[Bagossy]:[Szo
03:00 - 10:00]],"=x")</f>
        <v>0</v>
      </c>
      <c r="F2527" s="2">
        <f>SUM(contact[[#This Row],[?]:[x]])</f>
        <v>0</v>
      </c>
      <c r="G25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27" s="2"/>
      <c r="I2527" s="2"/>
      <c r="J2527" s="3" t="s">
        <v>4183</v>
      </c>
      <c r="K2527" s="1" t="s">
        <v>1524</v>
      </c>
      <c r="L2527" s="1" t="s">
        <v>2</v>
      </c>
      <c r="M2527" s="1" t="s">
        <v>2</v>
      </c>
      <c r="O2527" s="2"/>
      <c r="P2527" s="2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</row>
    <row r="2528" spans="1:32" s="1" customFormat="1" ht="20.25" customHeight="1" x14ac:dyDescent="0.25">
      <c r="A2528" s="2"/>
      <c r="B2528" s="2"/>
      <c r="C2528" s="2"/>
      <c r="D2528" s="2">
        <f>COUNTIF(contact[[#This Row],[Bagossy]:[Szo
03:00 - 10:00]],"=~?")</f>
        <v>0</v>
      </c>
      <c r="E2528" s="2">
        <f>COUNTIF(contact[[#This Row],[Bagossy]:[Szo
03:00 - 10:00]],"=x")</f>
        <v>0</v>
      </c>
      <c r="F2528" s="2">
        <f>SUM(contact[[#This Row],[?]:[x]])</f>
        <v>0</v>
      </c>
      <c r="G25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8" s="3" t="s">
        <v>4352</v>
      </c>
      <c r="K2528" s="1" t="s">
        <v>1842</v>
      </c>
      <c r="L2528" s="1" t="s">
        <v>2</v>
      </c>
      <c r="M2528" s="1" t="s">
        <v>2</v>
      </c>
      <c r="O2528" s="2"/>
      <c r="P2528" s="2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</row>
    <row r="2529" spans="1:32" s="1" customFormat="1" ht="20.25" customHeight="1" x14ac:dyDescent="0.25">
      <c r="A2529" s="2"/>
      <c r="B2529" s="2"/>
      <c r="C2529" s="2"/>
      <c r="D2529" s="2">
        <f>COUNTIF(contact[[#This Row],[Bagossy]:[Szo
03:00 - 10:00]],"=~?")</f>
        <v>0</v>
      </c>
      <c r="E2529" s="2">
        <f>COUNTIF(contact[[#This Row],[Bagossy]:[Szo
03:00 - 10:00]],"=x")</f>
        <v>0</v>
      </c>
      <c r="F2529" s="2">
        <f>SUM(contact[[#This Row],[?]:[x]])</f>
        <v>0</v>
      </c>
      <c r="G25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29" s="3" t="s">
        <v>4370</v>
      </c>
      <c r="K2529" s="1" t="s">
        <v>2</v>
      </c>
      <c r="L2529" s="1" t="s">
        <v>2</v>
      </c>
      <c r="M2529" s="1" t="s">
        <v>2</v>
      </c>
      <c r="O2529" s="2"/>
      <c r="P2529" s="2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</row>
    <row r="2530" spans="1:32" s="1" customFormat="1" ht="20.25" customHeight="1" x14ac:dyDescent="0.25">
      <c r="A2530" s="2"/>
      <c r="B2530" s="2"/>
      <c r="C2530" s="2"/>
      <c r="D2530" s="2">
        <f>COUNTIF(contact[[#This Row],[Bagossy]:[Szo
03:00 - 10:00]],"=~?")</f>
        <v>0</v>
      </c>
      <c r="E2530" s="2">
        <f>COUNTIF(contact[[#This Row],[Bagossy]:[Szo
03:00 - 10:00]],"=x")</f>
        <v>0</v>
      </c>
      <c r="F2530" s="2">
        <f>SUM(contact[[#This Row],[?]:[x]])</f>
        <v>0</v>
      </c>
      <c r="G25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0" s="3" t="s">
        <v>4387</v>
      </c>
      <c r="K2530" s="1" t="s">
        <v>1219</v>
      </c>
      <c r="L2530" s="1" t="s">
        <v>2</v>
      </c>
      <c r="M2530" s="1" t="s">
        <v>2</v>
      </c>
      <c r="O2530" s="2"/>
      <c r="P2530" s="2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</row>
    <row r="2531" spans="1:32" s="1" customFormat="1" ht="20.25" customHeight="1" x14ac:dyDescent="0.25">
      <c r="A2531" s="2"/>
      <c r="B2531" s="2"/>
      <c r="C2531" s="2"/>
      <c r="D2531" s="2">
        <f>COUNTIF(contact[[#This Row],[Bagossy]:[Szo
03:00 - 10:00]],"=~?")</f>
        <v>0</v>
      </c>
      <c r="E2531" s="2">
        <f>COUNTIF(contact[[#This Row],[Bagossy]:[Szo
03:00 - 10:00]],"=x")</f>
        <v>0</v>
      </c>
      <c r="F2531" s="2">
        <f>SUM(contact[[#This Row],[?]:[x]])</f>
        <v>0</v>
      </c>
      <c r="G25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1" s="3" t="s">
        <v>4387</v>
      </c>
      <c r="K2531" s="1" t="s">
        <v>1220</v>
      </c>
      <c r="L2531" s="1" t="s">
        <v>2</v>
      </c>
      <c r="M2531" s="1" t="s">
        <v>2</v>
      </c>
      <c r="O2531" s="2"/>
      <c r="P2531" s="2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</row>
    <row r="2532" spans="1:32" s="1" customFormat="1" ht="20.25" customHeight="1" x14ac:dyDescent="0.25">
      <c r="A2532" s="2"/>
      <c r="B2532" s="2"/>
      <c r="C2532" s="2"/>
      <c r="D2532" s="2">
        <f>COUNTIF(contact[[#This Row],[Bagossy]:[Szo
03:00 - 10:00]],"=~?")</f>
        <v>0</v>
      </c>
      <c r="E2532" s="2">
        <f>COUNTIF(contact[[#This Row],[Bagossy]:[Szo
03:00 - 10:00]],"=x")</f>
        <v>0</v>
      </c>
      <c r="F2532" s="2">
        <f>SUM(contact[[#This Row],[?]:[x]])</f>
        <v>0</v>
      </c>
      <c r="G25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2" s="3" t="s">
        <v>4420</v>
      </c>
      <c r="K2532" s="1" t="s">
        <v>2</v>
      </c>
      <c r="L2532" s="1" t="s">
        <v>2</v>
      </c>
      <c r="M2532" s="1" t="s">
        <v>2</v>
      </c>
      <c r="O2532" s="2"/>
      <c r="P2532" s="2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</row>
    <row r="2533" spans="1:32" s="1" customFormat="1" ht="20.25" customHeight="1" x14ac:dyDescent="0.25">
      <c r="A2533" s="2"/>
      <c r="B2533" s="2"/>
      <c r="C2533" s="2"/>
      <c r="D2533" s="2">
        <f>COUNTIF(contact[[#This Row],[Bagossy]:[Szo
03:00 - 10:00]],"=~?")</f>
        <v>0</v>
      </c>
      <c r="E2533" s="2">
        <f>COUNTIF(contact[[#This Row],[Bagossy]:[Szo
03:00 - 10:00]],"=x")</f>
        <v>0</v>
      </c>
      <c r="F2533" s="2">
        <f>SUM(contact[[#This Row],[?]:[x]])</f>
        <v>0</v>
      </c>
      <c r="G25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3" s="3" t="s">
        <v>4509</v>
      </c>
      <c r="K2533" s="1" t="s">
        <v>2</v>
      </c>
      <c r="L2533" s="1" t="s">
        <v>2</v>
      </c>
      <c r="M2533" s="1" t="s">
        <v>2</v>
      </c>
      <c r="O2533" s="2"/>
      <c r="P2533" s="2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</row>
    <row r="2534" spans="1:32" s="1" customFormat="1" ht="20.25" customHeight="1" x14ac:dyDescent="0.25">
      <c r="A2534" s="2"/>
      <c r="B2534" s="2"/>
      <c r="C2534" s="2"/>
      <c r="D2534" s="2">
        <f>COUNTIF(contact[[#This Row],[Bagossy]:[Szo
03:00 - 10:00]],"=~?")</f>
        <v>0</v>
      </c>
      <c r="E2534" s="2">
        <f>COUNTIF(contact[[#This Row],[Bagossy]:[Szo
03:00 - 10:00]],"=x")</f>
        <v>0</v>
      </c>
      <c r="F2534" s="2">
        <f>SUM(contact[[#This Row],[?]:[x]])</f>
        <v>0</v>
      </c>
      <c r="G25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34" s="2"/>
      <c r="I2534" s="2"/>
      <c r="J2534" s="3" t="s">
        <v>4184</v>
      </c>
      <c r="K2534" s="1" t="s">
        <v>1273</v>
      </c>
      <c r="L2534" s="1" t="s">
        <v>2</v>
      </c>
      <c r="M2534" s="1" t="s">
        <v>2</v>
      </c>
      <c r="O2534" s="2"/>
      <c r="P2534" s="2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</row>
    <row r="2535" spans="1:32" s="1" customFormat="1" ht="20.25" customHeight="1" x14ac:dyDescent="0.25">
      <c r="A2535" s="2"/>
      <c r="B2535" s="2"/>
      <c r="C2535" s="2"/>
      <c r="D2535" s="2">
        <f>COUNTIF(contact[[#This Row],[Bagossy]:[Szo
03:00 - 10:00]],"=~?")</f>
        <v>0</v>
      </c>
      <c r="E2535" s="2">
        <f>COUNTIF(contact[[#This Row],[Bagossy]:[Szo
03:00 - 10:00]],"=x")</f>
        <v>0</v>
      </c>
      <c r="F2535" s="2">
        <f>SUM(contact[[#This Row],[?]:[x]])</f>
        <v>0</v>
      </c>
      <c r="G25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5" s="3" t="s">
        <v>2393</v>
      </c>
      <c r="K2535" s="1" t="s">
        <v>282</v>
      </c>
      <c r="L2535" s="1" t="s">
        <v>2</v>
      </c>
      <c r="M2535" s="1" t="s">
        <v>2</v>
      </c>
      <c r="O2535" s="2"/>
      <c r="P2535" s="2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</row>
    <row r="2536" spans="1:32" s="1" customFormat="1" ht="20.25" customHeight="1" x14ac:dyDescent="0.25">
      <c r="A2536" s="2"/>
      <c r="B2536" s="2"/>
      <c r="C2536" s="2"/>
      <c r="D2536" s="2">
        <f>COUNTIF(contact[[#This Row],[Bagossy]:[Szo
03:00 - 10:00]],"=~?")</f>
        <v>0</v>
      </c>
      <c r="E2536" s="2">
        <f>COUNTIF(contact[[#This Row],[Bagossy]:[Szo
03:00 - 10:00]],"=x")</f>
        <v>0</v>
      </c>
      <c r="F2536" s="2">
        <f>SUM(contact[[#This Row],[?]:[x]])</f>
        <v>0</v>
      </c>
      <c r="G25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6" s="3" t="s">
        <v>1116</v>
      </c>
      <c r="K2536" s="1" t="s">
        <v>2</v>
      </c>
      <c r="L2536" s="1" t="s">
        <v>2</v>
      </c>
      <c r="M2536" s="1" t="s">
        <v>2</v>
      </c>
      <c r="O2536" s="2"/>
      <c r="P2536" s="2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</row>
    <row r="2537" spans="1:32" s="1" customFormat="1" ht="20.25" customHeight="1" x14ac:dyDescent="0.25">
      <c r="A2537" s="2"/>
      <c r="B2537" s="2"/>
      <c r="C2537" s="2"/>
      <c r="D2537" s="2">
        <f>COUNTIF(contact[[#This Row],[Bagossy]:[Szo
03:00 - 10:00]],"=~?")</f>
        <v>0</v>
      </c>
      <c r="E2537" s="2">
        <f>COUNTIF(contact[[#This Row],[Bagossy]:[Szo
03:00 - 10:00]],"=x")</f>
        <v>0</v>
      </c>
      <c r="F2537" s="2">
        <f>SUM(contact[[#This Row],[?]:[x]])</f>
        <v>0</v>
      </c>
      <c r="G25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7" s="3" t="s">
        <v>4260</v>
      </c>
      <c r="K2537" s="1" t="s">
        <v>2</v>
      </c>
      <c r="L2537" s="1" t="s">
        <v>2</v>
      </c>
      <c r="M2537" s="1" t="s">
        <v>2</v>
      </c>
      <c r="O2537" s="2"/>
      <c r="P2537" s="2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</row>
    <row r="2538" spans="1:32" s="1" customFormat="1" ht="20.25" customHeight="1" x14ac:dyDescent="0.25">
      <c r="A2538" s="2"/>
      <c r="B2538" s="2"/>
      <c r="C2538" s="2"/>
      <c r="D2538" s="2">
        <f>COUNTIF(contact[[#This Row],[Bagossy]:[Szo
03:00 - 10:00]],"=~?")</f>
        <v>0</v>
      </c>
      <c r="E2538" s="2">
        <f>COUNTIF(contact[[#This Row],[Bagossy]:[Szo
03:00 - 10:00]],"=x")</f>
        <v>0</v>
      </c>
      <c r="F2538" s="2">
        <f>SUM(contact[[#This Row],[?]:[x]])</f>
        <v>0</v>
      </c>
      <c r="G25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8" s="3" t="s">
        <v>2166</v>
      </c>
      <c r="K2538" s="1" t="s">
        <v>2</v>
      </c>
      <c r="L2538" s="1" t="s">
        <v>2</v>
      </c>
      <c r="M2538" s="1" t="s">
        <v>2</v>
      </c>
      <c r="O2538" s="2"/>
      <c r="P2538" s="2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</row>
    <row r="2539" spans="1:32" s="1" customFormat="1" ht="20.25" customHeight="1" x14ac:dyDescent="0.25">
      <c r="A2539" s="2"/>
      <c r="B2539" s="2"/>
      <c r="C2539" s="2"/>
      <c r="D2539" s="2">
        <f>COUNTIF(contact[[#This Row],[Bagossy]:[Szo
03:00 - 10:00]],"=~?")</f>
        <v>0</v>
      </c>
      <c r="E2539" s="2">
        <f>COUNTIF(contact[[#This Row],[Bagossy]:[Szo
03:00 - 10:00]],"=x")</f>
        <v>0</v>
      </c>
      <c r="F2539" s="2">
        <f>SUM(contact[[#This Row],[?]:[x]])</f>
        <v>0</v>
      </c>
      <c r="G25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39" s="3" t="s">
        <v>2086</v>
      </c>
      <c r="K2539" s="1" t="s">
        <v>2</v>
      </c>
      <c r="L2539" s="1" t="s">
        <v>2</v>
      </c>
      <c r="M2539" s="1" t="s">
        <v>2</v>
      </c>
      <c r="O2539" s="2"/>
      <c r="P2539" s="2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</row>
    <row r="2540" spans="1:32" s="1" customFormat="1" ht="20.25" customHeight="1" x14ac:dyDescent="0.25">
      <c r="A2540" s="2"/>
      <c r="B2540" s="2"/>
      <c r="C2540" s="2" t="s">
        <v>1285</v>
      </c>
      <c r="D2540" s="2">
        <f>COUNTIF(contact[[#This Row],[Bagossy]:[Szo
03:00 - 10:00]],"=~?")</f>
        <v>0</v>
      </c>
      <c r="E2540" s="2">
        <f>COUNTIF(contact[[#This Row],[Bagossy]:[Szo
03:00 - 10:00]],"=x")</f>
        <v>0</v>
      </c>
      <c r="F2540" s="2">
        <f>SUM(contact[[#This Row],[?]:[x]])</f>
        <v>0</v>
      </c>
      <c r="G25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40" s="2"/>
      <c r="I2540" s="2"/>
      <c r="J2540" s="3" t="s">
        <v>4191</v>
      </c>
      <c r="K2540" s="1" t="s">
        <v>1809</v>
      </c>
      <c r="L2540" s="1" t="s">
        <v>2</v>
      </c>
      <c r="M2540" s="1" t="s">
        <v>2</v>
      </c>
      <c r="O2540" s="2"/>
      <c r="P2540" s="2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</row>
    <row r="2541" spans="1:32" s="1" customFormat="1" ht="20.25" customHeight="1" x14ac:dyDescent="0.25">
      <c r="A2541" s="2"/>
      <c r="B2541" s="2"/>
      <c r="C2541" s="2"/>
      <c r="D2541" s="2">
        <f>COUNTIF(contact[[#This Row],[Bagossy]:[Szo
03:00 - 10:00]],"=~?")</f>
        <v>0</v>
      </c>
      <c r="E2541" s="2">
        <f>COUNTIF(contact[[#This Row],[Bagossy]:[Szo
03:00 - 10:00]],"=x")</f>
        <v>0</v>
      </c>
      <c r="F2541" s="2">
        <f>SUM(contact[[#This Row],[?]:[x]])</f>
        <v>0</v>
      </c>
      <c r="G25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1" s="3" t="s">
        <v>4165</v>
      </c>
      <c r="K2541" s="1" t="s">
        <v>1800</v>
      </c>
      <c r="L2541" s="1" t="s">
        <v>2</v>
      </c>
      <c r="M2541" s="1" t="s">
        <v>2</v>
      </c>
      <c r="O2541" s="2"/>
      <c r="P2541" s="2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</row>
    <row r="2542" spans="1:32" s="1" customFormat="1" ht="20.25" customHeight="1" x14ac:dyDescent="0.25">
      <c r="A2542" s="2"/>
      <c r="B2542" s="2"/>
      <c r="C2542" s="2"/>
      <c r="D2542" s="2">
        <f>COUNTIF(contact[[#This Row],[Bagossy]:[Szo
03:00 - 10:00]],"=~?")</f>
        <v>0</v>
      </c>
      <c r="E2542" s="2">
        <f>COUNTIF(contact[[#This Row],[Bagossy]:[Szo
03:00 - 10:00]],"=x")</f>
        <v>0</v>
      </c>
      <c r="F2542" s="2">
        <f>SUM(contact[[#This Row],[?]:[x]])</f>
        <v>0</v>
      </c>
      <c r="G25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2" s="3" t="s">
        <v>2975</v>
      </c>
      <c r="K2542" s="1" t="s">
        <v>1531</v>
      </c>
      <c r="L2542" s="1" t="s">
        <v>2</v>
      </c>
      <c r="M2542" s="1" t="s">
        <v>2</v>
      </c>
      <c r="O2542" s="2"/>
      <c r="P2542" s="2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</row>
    <row r="2543" spans="1:32" s="1" customFormat="1" ht="20.25" customHeight="1" x14ac:dyDescent="0.25">
      <c r="A2543" s="2"/>
      <c r="B2543" s="2"/>
      <c r="C2543" s="2"/>
      <c r="D2543" s="2">
        <f>COUNTIF(contact[[#This Row],[Bagossy]:[Szo
03:00 - 10:00]],"=~?")</f>
        <v>0</v>
      </c>
      <c r="E2543" s="2">
        <f>COUNTIF(contact[[#This Row],[Bagossy]:[Szo
03:00 - 10:00]],"=x")</f>
        <v>0</v>
      </c>
      <c r="F2543" s="2">
        <f>SUM(contact[[#This Row],[?]:[x]])</f>
        <v>0</v>
      </c>
      <c r="G25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3" s="3" t="s">
        <v>2102</v>
      </c>
      <c r="K2543" s="1" t="s">
        <v>2</v>
      </c>
      <c r="L2543" s="1" t="s">
        <v>2</v>
      </c>
      <c r="M2543" s="1" t="s">
        <v>2</v>
      </c>
      <c r="O2543" s="2"/>
      <c r="P2543" s="2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</row>
    <row r="2544" spans="1:32" s="1" customFormat="1" ht="20.25" customHeight="1" x14ac:dyDescent="0.25">
      <c r="A2544" s="2"/>
      <c r="B2544" s="2"/>
      <c r="C2544" s="2"/>
      <c r="D2544" s="2">
        <f>COUNTIF(contact[[#This Row],[Bagossy]:[Szo
03:00 - 10:00]],"=~?")</f>
        <v>0</v>
      </c>
      <c r="E2544" s="2">
        <f>COUNTIF(contact[[#This Row],[Bagossy]:[Szo
03:00 - 10:00]],"=x")</f>
        <v>0</v>
      </c>
      <c r="F2544" s="2">
        <f>SUM(contact[[#This Row],[?]:[x]])</f>
        <v>0</v>
      </c>
      <c r="G25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4" s="3" t="s">
        <v>2904</v>
      </c>
      <c r="K2544" s="1" t="s">
        <v>1513</v>
      </c>
      <c r="L2544" s="1" t="s">
        <v>2</v>
      </c>
      <c r="M2544" s="1" t="s">
        <v>2</v>
      </c>
      <c r="O2544" s="2"/>
      <c r="P2544" s="2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</row>
    <row r="2545" spans="1:32" s="1" customFormat="1" ht="20.25" customHeight="1" x14ac:dyDescent="0.25">
      <c r="A2545" s="2"/>
      <c r="B2545" s="2"/>
      <c r="C2545" s="2"/>
      <c r="D2545" s="2">
        <f>COUNTIF(contact[[#This Row],[Bagossy]:[Szo
03:00 - 10:00]],"=~?")</f>
        <v>0</v>
      </c>
      <c r="E2545" s="2">
        <f>COUNTIF(contact[[#This Row],[Bagossy]:[Szo
03:00 - 10:00]],"=x")</f>
        <v>0</v>
      </c>
      <c r="F2545" s="2">
        <f>SUM(contact[[#This Row],[?]:[x]])</f>
        <v>0</v>
      </c>
      <c r="G25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5" s="3" t="s">
        <v>4056</v>
      </c>
      <c r="K2545" s="1" t="s">
        <v>1082</v>
      </c>
      <c r="L2545" s="1" t="s">
        <v>2</v>
      </c>
      <c r="M2545" s="1" t="s">
        <v>2</v>
      </c>
      <c r="O2545" s="2"/>
      <c r="P2545" s="2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</row>
    <row r="2546" spans="1:32" s="1" customFormat="1" ht="20.25" customHeight="1" x14ac:dyDescent="0.25">
      <c r="A2546" s="2"/>
      <c r="B2546" s="2"/>
      <c r="C2546" s="2"/>
      <c r="D2546" s="2">
        <f>COUNTIF(contact[[#This Row],[Bagossy]:[Szo
03:00 - 10:00]],"=~?")</f>
        <v>0</v>
      </c>
      <c r="E2546" s="2">
        <f>COUNTIF(contact[[#This Row],[Bagossy]:[Szo
03:00 - 10:00]],"=x")</f>
        <v>0</v>
      </c>
      <c r="F2546" s="2">
        <f>SUM(contact[[#This Row],[?]:[x]])</f>
        <v>0</v>
      </c>
      <c r="G25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6" s="3" t="s">
        <v>4302</v>
      </c>
      <c r="K2546" s="1" t="s">
        <v>1836</v>
      </c>
      <c r="L2546" s="1" t="s">
        <v>2</v>
      </c>
      <c r="M2546" s="1" t="s">
        <v>2</v>
      </c>
      <c r="O2546" s="2"/>
      <c r="P2546" s="2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</row>
    <row r="2547" spans="1:32" s="1" customFormat="1" ht="20.25" customHeight="1" x14ac:dyDescent="0.25">
      <c r="A2547" s="2"/>
      <c r="B2547" s="2"/>
      <c r="C2547" s="2"/>
      <c r="D2547" s="2">
        <f>COUNTIF(contact[[#This Row],[Bagossy]:[Szo
03:00 - 10:00]],"=~?")</f>
        <v>0</v>
      </c>
      <c r="E2547" s="2">
        <f>COUNTIF(contact[[#This Row],[Bagossy]:[Szo
03:00 - 10:00]],"=x")</f>
        <v>0</v>
      </c>
      <c r="F2547" s="2">
        <f>SUM(contact[[#This Row],[?]:[x]])</f>
        <v>0</v>
      </c>
      <c r="G25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7" s="3" t="s">
        <v>4421</v>
      </c>
      <c r="K2547" s="1" t="s">
        <v>605</v>
      </c>
      <c r="L2547" s="1" t="s">
        <v>2</v>
      </c>
      <c r="M2547" s="1" t="s">
        <v>2</v>
      </c>
      <c r="O2547" s="2"/>
      <c r="P2547" s="2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</row>
    <row r="2548" spans="1:32" s="1" customFormat="1" ht="20.25" customHeight="1" x14ac:dyDescent="0.25">
      <c r="A2548" s="2"/>
      <c r="B2548" s="2"/>
      <c r="C2548" s="2"/>
      <c r="D2548" s="2">
        <f>COUNTIF(contact[[#This Row],[Bagossy]:[Szo
03:00 - 10:00]],"=~?")</f>
        <v>0</v>
      </c>
      <c r="E2548" s="2">
        <f>COUNTIF(contact[[#This Row],[Bagossy]:[Szo
03:00 - 10:00]],"=x")</f>
        <v>0</v>
      </c>
      <c r="F2548" s="2">
        <f>SUM(contact[[#This Row],[?]:[x]])</f>
        <v>0</v>
      </c>
      <c r="G25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8" s="3" t="s">
        <v>4141</v>
      </c>
      <c r="K2548" s="1" t="s">
        <v>34</v>
      </c>
      <c r="L2548" s="1" t="s">
        <v>2</v>
      </c>
      <c r="M2548" s="1" t="s">
        <v>2</v>
      </c>
      <c r="O2548" s="2"/>
      <c r="P2548" s="2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</row>
    <row r="2549" spans="1:32" s="1" customFormat="1" ht="20.25" customHeight="1" x14ac:dyDescent="0.25">
      <c r="A2549" s="2"/>
      <c r="B2549" s="2"/>
      <c r="C2549" s="2"/>
      <c r="D2549" s="2">
        <f>COUNTIF(contact[[#This Row],[Bagossy]:[Szo
03:00 - 10:00]],"=~?")</f>
        <v>0</v>
      </c>
      <c r="E2549" s="2">
        <f>COUNTIF(contact[[#This Row],[Bagossy]:[Szo
03:00 - 10:00]],"=x")</f>
        <v>0</v>
      </c>
      <c r="F2549" s="2">
        <f>SUM(contact[[#This Row],[?]:[x]])</f>
        <v>0</v>
      </c>
      <c r="G25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49" s="3" t="s">
        <v>2504</v>
      </c>
      <c r="K2549" s="1" t="s">
        <v>2</v>
      </c>
      <c r="L2549" s="1" t="s">
        <v>2</v>
      </c>
      <c r="M2549" s="1" t="s">
        <v>2</v>
      </c>
      <c r="O2549" s="2"/>
      <c r="P2549" s="2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</row>
    <row r="2550" spans="1:32" s="1" customFormat="1" ht="20.25" customHeight="1" x14ac:dyDescent="0.25">
      <c r="A2550" s="2"/>
      <c r="B2550" s="2"/>
      <c r="C2550" s="2"/>
      <c r="D2550" s="2">
        <f>COUNTIF(contact[[#This Row],[Bagossy]:[Szo
03:00 - 10:00]],"=~?")</f>
        <v>0</v>
      </c>
      <c r="E2550" s="2">
        <f>COUNTIF(contact[[#This Row],[Bagossy]:[Szo
03:00 - 10:00]],"=x")</f>
        <v>0</v>
      </c>
      <c r="F2550" s="2">
        <f>SUM(contact[[#This Row],[?]:[x]])</f>
        <v>0</v>
      </c>
      <c r="G25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50" s="2"/>
      <c r="I2550" s="2"/>
      <c r="J2550" s="3" t="s">
        <v>4194</v>
      </c>
      <c r="K2550" s="1" t="s">
        <v>734</v>
      </c>
      <c r="L2550" s="1" t="s">
        <v>2</v>
      </c>
      <c r="M2550" s="1" t="s">
        <v>2</v>
      </c>
      <c r="O2550" s="2"/>
      <c r="P2550" s="2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</row>
    <row r="2551" spans="1:32" s="1" customFormat="1" ht="20.25" customHeight="1" x14ac:dyDescent="0.25">
      <c r="A2551" s="2"/>
      <c r="B2551" s="2"/>
      <c r="C2551" s="2"/>
      <c r="D2551" s="2">
        <f>COUNTIF(contact[[#This Row],[Bagossy]:[Szo
03:00 - 10:00]],"=~?")</f>
        <v>0</v>
      </c>
      <c r="E2551" s="2">
        <f>COUNTIF(contact[[#This Row],[Bagossy]:[Szo
03:00 - 10:00]],"=x")</f>
        <v>0</v>
      </c>
      <c r="F2551" s="2">
        <f>SUM(contact[[#This Row],[?]:[x]])</f>
        <v>0</v>
      </c>
      <c r="G25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1" s="3" t="s">
        <v>3827</v>
      </c>
      <c r="K2551" s="1" t="s">
        <v>2</v>
      </c>
      <c r="L2551" s="1" t="s">
        <v>2</v>
      </c>
      <c r="M2551" s="1" t="s">
        <v>2</v>
      </c>
      <c r="O2551" s="2"/>
      <c r="P2551" s="2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</row>
    <row r="2552" spans="1:32" s="1" customFormat="1" ht="20.25" customHeight="1" x14ac:dyDescent="0.25">
      <c r="A2552" s="2"/>
      <c r="B2552" s="2"/>
      <c r="C2552" s="2"/>
      <c r="D2552" s="2">
        <f>COUNTIF(contact[[#This Row],[Bagossy]:[Szo
03:00 - 10:00]],"=~?")</f>
        <v>0</v>
      </c>
      <c r="E2552" s="2">
        <f>COUNTIF(contact[[#This Row],[Bagossy]:[Szo
03:00 - 10:00]],"=x")</f>
        <v>0</v>
      </c>
      <c r="F2552" s="2">
        <f>SUM(contact[[#This Row],[?]:[x]])</f>
        <v>0</v>
      </c>
      <c r="G25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2" s="3" t="s">
        <v>1118</v>
      </c>
      <c r="K2552" s="1" t="s">
        <v>2</v>
      </c>
      <c r="L2552" s="1" t="s">
        <v>2</v>
      </c>
      <c r="M2552" s="1" t="s">
        <v>2</v>
      </c>
      <c r="O2552" s="2"/>
      <c r="P2552" s="2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</row>
    <row r="2553" spans="1:32" s="1" customFormat="1" ht="20.25" customHeight="1" x14ac:dyDescent="0.25">
      <c r="A2553" s="2"/>
      <c r="B2553" s="2"/>
      <c r="C2553" s="2"/>
      <c r="D2553" s="2">
        <f>COUNTIF(contact[[#This Row],[Bagossy]:[Szo
03:00 - 10:00]],"=~?")</f>
        <v>0</v>
      </c>
      <c r="E2553" s="2">
        <f>COUNTIF(contact[[#This Row],[Bagossy]:[Szo
03:00 - 10:00]],"=x")</f>
        <v>0</v>
      </c>
      <c r="F2553" s="2">
        <f>SUM(contact[[#This Row],[?]:[x]])</f>
        <v>0</v>
      </c>
      <c r="G25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3" s="3" t="s">
        <v>1117</v>
      </c>
      <c r="K2553" s="1" t="s">
        <v>2</v>
      </c>
      <c r="L2553" s="1" t="s">
        <v>2</v>
      </c>
      <c r="M2553" s="1" t="s">
        <v>2</v>
      </c>
      <c r="O2553" s="2"/>
      <c r="P2553" s="2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</row>
    <row r="2554" spans="1:32" s="1" customFormat="1" ht="20.25" customHeight="1" x14ac:dyDescent="0.25">
      <c r="A2554" s="2"/>
      <c r="B2554" s="2"/>
      <c r="C2554" s="2"/>
      <c r="D2554" s="2">
        <f>COUNTIF(contact[[#This Row],[Bagossy]:[Szo
03:00 - 10:00]],"=~?")</f>
        <v>0</v>
      </c>
      <c r="E2554" s="2">
        <f>COUNTIF(contact[[#This Row],[Bagossy]:[Szo
03:00 - 10:00]],"=x")</f>
        <v>0</v>
      </c>
      <c r="F2554" s="2">
        <f>SUM(contact[[#This Row],[?]:[x]])</f>
        <v>0</v>
      </c>
      <c r="G25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4" s="3" t="s">
        <v>2348</v>
      </c>
      <c r="K2554" s="1" t="s">
        <v>256</v>
      </c>
      <c r="L2554" s="1" t="s">
        <v>2</v>
      </c>
      <c r="M2554" s="1" t="s">
        <v>2</v>
      </c>
      <c r="O2554" s="2"/>
      <c r="P2554" s="2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</row>
    <row r="2555" spans="1:32" s="1" customFormat="1" ht="20.25" customHeight="1" x14ac:dyDescent="0.25">
      <c r="A2555" s="2"/>
      <c r="B2555" s="2"/>
      <c r="C2555" s="2"/>
      <c r="D2555" s="2">
        <f>COUNTIF(contact[[#This Row],[Bagossy]:[Szo
03:00 - 10:00]],"=~?")</f>
        <v>0</v>
      </c>
      <c r="E2555" s="2">
        <f>COUNTIF(contact[[#This Row],[Bagossy]:[Szo
03:00 - 10:00]],"=x")</f>
        <v>0</v>
      </c>
      <c r="F2555" s="2">
        <f>SUM(contact[[#This Row],[?]:[x]])</f>
        <v>0</v>
      </c>
      <c r="G25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5" s="3" t="s">
        <v>1963</v>
      </c>
      <c r="K2555" s="1" t="s">
        <v>39</v>
      </c>
      <c r="L2555" s="1" t="s">
        <v>2</v>
      </c>
      <c r="M2555" s="1" t="s">
        <v>2</v>
      </c>
      <c r="O2555" s="2"/>
      <c r="P2555" s="2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</row>
    <row r="2556" spans="1:32" s="1" customFormat="1" ht="20.25" customHeight="1" x14ac:dyDescent="0.25">
      <c r="A2556" s="2"/>
      <c r="B2556" s="2"/>
      <c r="C2556" s="2"/>
      <c r="D2556" s="2">
        <f>COUNTIF(contact[[#This Row],[Bagossy]:[Szo
03:00 - 10:00]],"=~?")</f>
        <v>0</v>
      </c>
      <c r="E2556" s="2">
        <f>COUNTIF(contact[[#This Row],[Bagossy]:[Szo
03:00 - 10:00]],"=x")</f>
        <v>0</v>
      </c>
      <c r="F2556" s="2">
        <f>SUM(contact[[#This Row],[?]:[x]])</f>
        <v>0</v>
      </c>
      <c r="G25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6" s="3" t="s">
        <v>4100</v>
      </c>
      <c r="K2556" s="1" t="s">
        <v>1417</v>
      </c>
      <c r="L2556" s="1" t="s">
        <v>2</v>
      </c>
      <c r="M2556" s="1" t="s">
        <v>2</v>
      </c>
      <c r="O2556" s="2"/>
      <c r="P2556" s="2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</row>
    <row r="2557" spans="1:32" s="1" customFormat="1" ht="20.25" customHeight="1" x14ac:dyDescent="0.25">
      <c r="A2557" s="2"/>
      <c r="B2557" s="2"/>
      <c r="C2557" s="2"/>
      <c r="D2557" s="2">
        <f>COUNTIF(contact[[#This Row],[Bagossy]:[Szo
03:00 - 10:00]],"=~?")</f>
        <v>0</v>
      </c>
      <c r="E2557" s="2">
        <f>COUNTIF(contact[[#This Row],[Bagossy]:[Szo
03:00 - 10:00]],"=x")</f>
        <v>0</v>
      </c>
      <c r="F2557" s="2">
        <f>SUM(contact[[#This Row],[?]:[x]])</f>
        <v>0</v>
      </c>
      <c r="G25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7" s="3" t="s">
        <v>464</v>
      </c>
      <c r="K2557" s="1" t="s">
        <v>2</v>
      </c>
      <c r="L2557" s="1" t="s">
        <v>2</v>
      </c>
      <c r="M2557" s="1" t="s">
        <v>2</v>
      </c>
      <c r="O2557" s="2"/>
      <c r="P2557" s="2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</row>
    <row r="2558" spans="1:32" s="1" customFormat="1" ht="20.25" customHeight="1" x14ac:dyDescent="0.25">
      <c r="A2558" s="2"/>
      <c r="B2558" s="2"/>
      <c r="C2558" s="2"/>
      <c r="D2558" s="2">
        <f>COUNTIF(contact[[#This Row],[Bagossy]:[Szo
03:00 - 10:00]],"=~?")</f>
        <v>0</v>
      </c>
      <c r="E2558" s="2">
        <f>COUNTIF(contact[[#This Row],[Bagossy]:[Szo
03:00 - 10:00]],"=x")</f>
        <v>0</v>
      </c>
      <c r="F2558" s="2">
        <f>SUM(contact[[#This Row],[?]:[x]])</f>
        <v>0</v>
      </c>
      <c r="G25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8" s="3" t="s">
        <v>464</v>
      </c>
      <c r="K2558" s="1" t="s">
        <v>203</v>
      </c>
      <c r="L2558" s="1" t="s">
        <v>2</v>
      </c>
      <c r="M2558" s="1" t="s">
        <v>2</v>
      </c>
      <c r="O2558" s="2"/>
      <c r="P2558" s="2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</row>
    <row r="2559" spans="1:32" s="1" customFormat="1" ht="20.25" customHeight="1" x14ac:dyDescent="0.25">
      <c r="A2559" s="2"/>
      <c r="B2559" s="2"/>
      <c r="C2559" s="2"/>
      <c r="D2559" s="2">
        <f>COUNTIF(contact[[#This Row],[Bagossy]:[Szo
03:00 - 10:00]],"=~?")</f>
        <v>0</v>
      </c>
      <c r="E2559" s="2">
        <f>COUNTIF(contact[[#This Row],[Bagossy]:[Szo
03:00 - 10:00]],"=x")</f>
        <v>0</v>
      </c>
      <c r="F2559" s="2">
        <f>SUM(contact[[#This Row],[?]:[x]])</f>
        <v>0</v>
      </c>
      <c r="G25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59" s="3" t="s">
        <v>2881</v>
      </c>
      <c r="K2559" s="1" t="s">
        <v>539</v>
      </c>
      <c r="L2559" s="1" t="s">
        <v>2</v>
      </c>
      <c r="M2559" s="1" t="s">
        <v>2</v>
      </c>
      <c r="O2559" s="2"/>
      <c r="P2559" s="2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</row>
    <row r="2560" spans="1:32" s="1" customFormat="1" ht="20.25" customHeight="1" x14ac:dyDescent="0.25">
      <c r="A2560" s="2"/>
      <c r="B2560" s="2"/>
      <c r="C2560" s="2"/>
      <c r="D2560" s="2">
        <f>COUNTIF(contact[[#This Row],[Bagossy]:[Szo
03:00 - 10:00]],"=~?")</f>
        <v>0</v>
      </c>
      <c r="E2560" s="2">
        <f>COUNTIF(contact[[#This Row],[Bagossy]:[Szo
03:00 - 10:00]],"=x")</f>
        <v>0</v>
      </c>
      <c r="F2560" s="2">
        <f>SUM(contact[[#This Row],[?]:[x]])</f>
        <v>0</v>
      </c>
      <c r="G25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0" s="3" t="s">
        <v>3277</v>
      </c>
      <c r="K2560" s="1" t="s">
        <v>728</v>
      </c>
      <c r="L2560" s="1" t="s">
        <v>2</v>
      </c>
      <c r="M2560" s="1" t="s">
        <v>2</v>
      </c>
      <c r="O2560" s="2"/>
      <c r="P2560" s="2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</row>
    <row r="2561" spans="1:32" s="1" customFormat="1" ht="20.25" customHeight="1" x14ac:dyDescent="0.25">
      <c r="A2561" s="2"/>
      <c r="B2561" s="2"/>
      <c r="C2561" s="2"/>
      <c r="D2561" s="2">
        <f>COUNTIF(contact[[#This Row],[Bagossy]:[Szo
03:00 - 10:00]],"=~?")</f>
        <v>0</v>
      </c>
      <c r="E2561" s="2">
        <f>COUNTIF(contact[[#This Row],[Bagossy]:[Szo
03:00 - 10:00]],"=x")</f>
        <v>0</v>
      </c>
      <c r="F2561" s="2">
        <f>SUM(contact[[#This Row],[?]:[x]])</f>
        <v>0</v>
      </c>
      <c r="G25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1" s="3" t="s">
        <v>4510</v>
      </c>
      <c r="K2561" s="1" t="s">
        <v>1327</v>
      </c>
      <c r="L2561" s="1" t="s">
        <v>2</v>
      </c>
      <c r="M2561" s="1" t="s">
        <v>2</v>
      </c>
      <c r="O2561" s="2"/>
      <c r="P2561" s="2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</row>
    <row r="2562" spans="1:32" s="1" customFormat="1" ht="20.25" customHeight="1" x14ac:dyDescent="0.25">
      <c r="A2562" s="2"/>
      <c r="B2562" s="2"/>
      <c r="C2562" s="2"/>
      <c r="D2562" s="2">
        <f>COUNTIF(contact[[#This Row],[Bagossy]:[Szo
03:00 - 10:00]],"=~?")</f>
        <v>0</v>
      </c>
      <c r="E2562" s="2">
        <f>COUNTIF(contact[[#This Row],[Bagossy]:[Szo
03:00 - 10:00]],"=x")</f>
        <v>0</v>
      </c>
      <c r="F2562" s="2">
        <f>SUM(contact[[#This Row],[?]:[x]])</f>
        <v>0</v>
      </c>
      <c r="G25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2" s="3" t="s">
        <v>2001</v>
      </c>
      <c r="K2562" s="1" t="s">
        <v>1311</v>
      </c>
      <c r="L2562" s="1" t="s">
        <v>2</v>
      </c>
      <c r="M2562" s="1" t="s">
        <v>2</v>
      </c>
      <c r="O2562" s="2"/>
      <c r="P2562" s="2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</row>
    <row r="2563" spans="1:32" s="1" customFormat="1" ht="20.25" customHeight="1" x14ac:dyDescent="0.25">
      <c r="A2563" s="2"/>
      <c r="B2563" s="2"/>
      <c r="C2563" s="2"/>
      <c r="D2563" s="2">
        <f>COUNTIF(contact[[#This Row],[Bagossy]:[Szo
03:00 - 10:00]],"=~?")</f>
        <v>0</v>
      </c>
      <c r="E2563" s="2">
        <f>COUNTIF(contact[[#This Row],[Bagossy]:[Szo
03:00 - 10:00]],"=x")</f>
        <v>0</v>
      </c>
      <c r="F2563" s="2">
        <f>SUM(contact[[#This Row],[?]:[x]])</f>
        <v>0</v>
      </c>
      <c r="G25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3" s="3" t="s">
        <v>3714</v>
      </c>
      <c r="K2563" s="1" t="s">
        <v>2</v>
      </c>
      <c r="L2563" s="1" t="s">
        <v>2</v>
      </c>
      <c r="M2563" s="1" t="s">
        <v>2</v>
      </c>
      <c r="O2563" s="2"/>
      <c r="P2563" s="2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</row>
    <row r="2564" spans="1:32" s="1" customFormat="1" ht="20.25" customHeight="1" x14ac:dyDescent="0.25">
      <c r="A2564" s="2"/>
      <c r="B2564" s="2"/>
      <c r="C2564" s="2"/>
      <c r="D2564" s="2">
        <f>COUNTIF(contact[[#This Row],[Bagossy]:[Szo
03:00 - 10:00]],"=~?")</f>
        <v>0</v>
      </c>
      <c r="E2564" s="2">
        <f>COUNTIF(contact[[#This Row],[Bagossy]:[Szo
03:00 - 10:00]],"=x")</f>
        <v>0</v>
      </c>
      <c r="F2564" s="2">
        <f>SUM(contact[[#This Row],[?]:[x]])</f>
        <v>0</v>
      </c>
      <c r="G25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4" s="3" t="s">
        <v>4142</v>
      </c>
      <c r="K2564" s="1" t="s">
        <v>2</v>
      </c>
      <c r="L2564" s="1" t="s">
        <v>2</v>
      </c>
      <c r="M2564" s="1" t="s">
        <v>2</v>
      </c>
      <c r="O2564" s="2"/>
      <c r="P2564" s="2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</row>
    <row r="2565" spans="1:32" s="1" customFormat="1" ht="20.25" customHeight="1" x14ac:dyDescent="0.25">
      <c r="A2565" s="2"/>
      <c r="B2565" s="2"/>
      <c r="C2565" s="2"/>
      <c r="D2565" s="2">
        <f>COUNTIF(contact[[#This Row],[Bagossy]:[Szo
03:00 - 10:00]],"=~?")</f>
        <v>0</v>
      </c>
      <c r="E2565" s="2">
        <f>COUNTIF(contact[[#This Row],[Bagossy]:[Szo
03:00 - 10:00]],"=x")</f>
        <v>0</v>
      </c>
      <c r="F2565" s="2">
        <f>SUM(contact[[#This Row],[?]:[x]])</f>
        <v>0</v>
      </c>
      <c r="G25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5" s="3" t="s">
        <v>4290</v>
      </c>
      <c r="K2565" s="1" t="s">
        <v>1176</v>
      </c>
      <c r="L2565" s="1" t="s">
        <v>2</v>
      </c>
      <c r="M2565" s="1" t="s">
        <v>2</v>
      </c>
      <c r="O2565" s="2"/>
      <c r="P2565" s="2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</row>
    <row r="2566" spans="1:32" s="1" customFormat="1" ht="20.25" customHeight="1" x14ac:dyDescent="0.25">
      <c r="A2566" s="2"/>
      <c r="B2566" s="2"/>
      <c r="C2566" s="2"/>
      <c r="D2566" s="2">
        <f>COUNTIF(contact[[#This Row],[Bagossy]:[Szo
03:00 - 10:00]],"=~?")</f>
        <v>0</v>
      </c>
      <c r="E2566" s="2">
        <f>COUNTIF(contact[[#This Row],[Bagossy]:[Szo
03:00 - 10:00]],"=x")</f>
        <v>0</v>
      </c>
      <c r="F2566" s="2">
        <f>SUM(contact[[#This Row],[?]:[x]])</f>
        <v>0</v>
      </c>
      <c r="G25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6" s="3" t="s">
        <v>2560</v>
      </c>
      <c r="K2566" s="1" t="s">
        <v>2</v>
      </c>
      <c r="L2566" s="1" t="s">
        <v>2</v>
      </c>
      <c r="M2566" s="1" t="s">
        <v>2</v>
      </c>
      <c r="O2566" s="2"/>
      <c r="P2566" s="2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</row>
    <row r="2567" spans="1:32" s="1" customFormat="1" ht="20.25" customHeight="1" x14ac:dyDescent="0.25">
      <c r="A2567" s="2"/>
      <c r="B2567" s="2"/>
      <c r="C2567" s="2"/>
      <c r="D2567" s="2">
        <f>COUNTIF(contact[[#This Row],[Bagossy]:[Szo
03:00 - 10:00]],"=~?")</f>
        <v>0</v>
      </c>
      <c r="E2567" s="2">
        <f>COUNTIF(contact[[#This Row],[Bagossy]:[Szo
03:00 - 10:00]],"=x")</f>
        <v>0</v>
      </c>
      <c r="F2567" s="2">
        <f>SUM(contact[[#This Row],[?]:[x]])</f>
        <v>0</v>
      </c>
      <c r="G25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7" s="3" t="s">
        <v>3058</v>
      </c>
      <c r="K2567" s="1" t="s">
        <v>1327</v>
      </c>
      <c r="L2567" s="1" t="s">
        <v>2</v>
      </c>
      <c r="M2567" s="1" t="s">
        <v>2</v>
      </c>
      <c r="O2567" s="2"/>
      <c r="P2567" s="2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</row>
    <row r="2568" spans="1:32" s="1" customFormat="1" ht="20.25" customHeight="1" x14ac:dyDescent="0.25">
      <c r="A2568" s="2"/>
      <c r="B2568" s="2"/>
      <c r="C2568" s="2"/>
      <c r="D2568" s="2">
        <f>COUNTIF(contact[[#This Row],[Bagossy]:[Szo
03:00 - 10:00]],"=~?")</f>
        <v>0</v>
      </c>
      <c r="E2568" s="2">
        <f>COUNTIF(contact[[#This Row],[Bagossy]:[Szo
03:00 - 10:00]],"=x")</f>
        <v>0</v>
      </c>
      <c r="F2568" s="2">
        <f>SUM(contact[[#This Row],[?]:[x]])</f>
        <v>0</v>
      </c>
      <c r="G25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8" s="3" t="s">
        <v>4116</v>
      </c>
      <c r="K2568" s="1" t="s">
        <v>1104</v>
      </c>
      <c r="L2568" s="1" t="s">
        <v>2</v>
      </c>
      <c r="M2568" s="1" t="s">
        <v>2</v>
      </c>
      <c r="O2568" s="2"/>
      <c r="P2568" s="2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</row>
    <row r="2569" spans="1:32" s="1" customFormat="1" ht="20.25" customHeight="1" x14ac:dyDescent="0.25">
      <c r="A2569" s="2"/>
      <c r="B2569" s="2"/>
      <c r="C2569" s="2"/>
      <c r="D2569" s="2">
        <f>COUNTIF(contact[[#This Row],[Bagossy]:[Szo
03:00 - 10:00]],"=~?")</f>
        <v>0</v>
      </c>
      <c r="E2569" s="2">
        <f>COUNTIF(contact[[#This Row],[Bagossy]:[Szo
03:00 - 10:00]],"=x")</f>
        <v>0</v>
      </c>
      <c r="F2569" s="2">
        <f>SUM(contact[[#This Row],[?]:[x]])</f>
        <v>0</v>
      </c>
      <c r="G25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69" s="3" t="s">
        <v>2505</v>
      </c>
      <c r="K2569" s="1" t="s">
        <v>1431</v>
      </c>
      <c r="L2569" s="1" t="s">
        <v>2</v>
      </c>
      <c r="M2569" s="1" t="s">
        <v>2</v>
      </c>
      <c r="O2569" s="2"/>
      <c r="P2569" s="2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</row>
    <row r="2570" spans="1:32" s="1" customFormat="1" ht="20.25" customHeight="1" x14ac:dyDescent="0.25">
      <c r="A2570" s="2"/>
      <c r="B2570" s="2"/>
      <c r="C2570" s="2"/>
      <c r="D2570" s="2">
        <f>COUNTIF(contact[[#This Row],[Bagossy]:[Szo
03:00 - 10:00]],"=~?")</f>
        <v>0</v>
      </c>
      <c r="E2570" s="2">
        <f>COUNTIF(contact[[#This Row],[Bagossy]:[Szo
03:00 - 10:00]],"=x")</f>
        <v>0</v>
      </c>
      <c r="F2570" s="2">
        <f>SUM(contact[[#This Row],[?]:[x]])</f>
        <v>0</v>
      </c>
      <c r="G25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0" s="3" t="s">
        <v>2079</v>
      </c>
      <c r="K2570" s="1" t="s">
        <v>2</v>
      </c>
      <c r="L2570" s="1" t="s">
        <v>2</v>
      </c>
      <c r="M2570" s="1" t="s">
        <v>2</v>
      </c>
      <c r="O2570" s="2"/>
      <c r="P2570" s="2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</row>
    <row r="2571" spans="1:32" s="1" customFormat="1" ht="20.25" customHeight="1" x14ac:dyDescent="0.25">
      <c r="A2571" s="2"/>
      <c r="B2571" s="2"/>
      <c r="C2571" s="2"/>
      <c r="D2571" s="2">
        <f>COUNTIF(contact[[#This Row],[Bagossy]:[Szo
03:00 - 10:00]],"=~?")</f>
        <v>0</v>
      </c>
      <c r="E2571" s="2">
        <f>COUNTIF(contact[[#This Row],[Bagossy]:[Szo
03:00 - 10:00]],"=x")</f>
        <v>0</v>
      </c>
      <c r="F2571" s="2">
        <f>SUM(contact[[#This Row],[?]:[x]])</f>
        <v>0</v>
      </c>
      <c r="G25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1" s="3" t="s">
        <v>2782</v>
      </c>
      <c r="K2571" s="1" t="s">
        <v>490</v>
      </c>
      <c r="L2571" s="1" t="s">
        <v>2</v>
      </c>
      <c r="M2571" s="1" t="s">
        <v>2</v>
      </c>
      <c r="O2571" s="2"/>
      <c r="P2571" s="2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</row>
    <row r="2572" spans="1:32" s="1" customFormat="1" ht="20.25" customHeight="1" x14ac:dyDescent="0.25">
      <c r="A2572" s="2"/>
      <c r="B2572" s="2"/>
      <c r="C2572" s="2"/>
      <c r="D2572" s="2">
        <f>COUNTIF(contact[[#This Row],[Bagossy]:[Szo
03:00 - 10:00]],"=~?")</f>
        <v>0</v>
      </c>
      <c r="E2572" s="2">
        <f>COUNTIF(contact[[#This Row],[Bagossy]:[Szo
03:00 - 10:00]],"=x")</f>
        <v>0</v>
      </c>
      <c r="F2572" s="2">
        <f>SUM(contact[[#This Row],[?]:[x]])</f>
        <v>0</v>
      </c>
      <c r="G25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2" s="3" t="s">
        <v>3115</v>
      </c>
      <c r="K2572" s="1" t="s">
        <v>391</v>
      </c>
      <c r="L2572" s="1" t="s">
        <v>2</v>
      </c>
      <c r="M2572" s="1" t="s">
        <v>2</v>
      </c>
      <c r="O2572" s="2"/>
      <c r="P2572" s="2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</row>
    <row r="2573" spans="1:32" s="1" customFormat="1" ht="20.25" customHeight="1" x14ac:dyDescent="0.25">
      <c r="A2573" s="2"/>
      <c r="B2573" s="2"/>
      <c r="C2573" s="2"/>
      <c r="D2573" s="2">
        <f>COUNTIF(contact[[#This Row],[Bagossy]:[Szo
03:00 - 10:00]],"=~?")</f>
        <v>0</v>
      </c>
      <c r="E2573" s="2">
        <f>COUNTIF(contact[[#This Row],[Bagossy]:[Szo
03:00 - 10:00]],"=x")</f>
        <v>0</v>
      </c>
      <c r="F2573" s="2">
        <f>SUM(contact[[#This Row],[?]:[x]])</f>
        <v>0</v>
      </c>
      <c r="G25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3" s="3" t="s">
        <v>3491</v>
      </c>
      <c r="K2573" s="1" t="s">
        <v>391</v>
      </c>
      <c r="L2573" s="1" t="s">
        <v>2</v>
      </c>
      <c r="M2573" s="1" t="s">
        <v>2</v>
      </c>
      <c r="O2573" s="2"/>
      <c r="P2573" s="2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</row>
    <row r="2574" spans="1:32" s="1" customFormat="1" ht="20.25" customHeight="1" x14ac:dyDescent="0.25">
      <c r="A2574" s="2"/>
      <c r="B2574" s="2"/>
      <c r="C2574" s="2"/>
      <c r="D2574" s="2">
        <f>COUNTIF(contact[[#This Row],[Bagossy]:[Szo
03:00 - 10:00]],"=~?")</f>
        <v>0</v>
      </c>
      <c r="E2574" s="2">
        <f>COUNTIF(contact[[#This Row],[Bagossy]:[Szo
03:00 - 10:00]],"=x")</f>
        <v>0</v>
      </c>
      <c r="F2574" s="2">
        <f>SUM(contact[[#This Row],[?]:[x]])</f>
        <v>0</v>
      </c>
      <c r="G25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4" s="3" t="s">
        <v>1119</v>
      </c>
      <c r="K2574" s="1" t="s">
        <v>2</v>
      </c>
      <c r="L2574" s="1" t="s">
        <v>2</v>
      </c>
      <c r="M2574" s="1" t="s">
        <v>2</v>
      </c>
      <c r="O2574" s="2"/>
      <c r="P2574" s="2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</row>
    <row r="2575" spans="1:32" s="1" customFormat="1" ht="20.25" customHeight="1" x14ac:dyDescent="0.25">
      <c r="A2575" s="2"/>
      <c r="B2575" s="2"/>
      <c r="C2575" s="2"/>
      <c r="D2575" s="2">
        <f>COUNTIF(contact[[#This Row],[Bagossy]:[Szo
03:00 - 10:00]],"=~?")</f>
        <v>0</v>
      </c>
      <c r="E2575" s="2">
        <f>COUNTIF(contact[[#This Row],[Bagossy]:[Szo
03:00 - 10:00]],"=x")</f>
        <v>0</v>
      </c>
      <c r="F2575" s="2">
        <f>SUM(contact[[#This Row],[?]:[x]])</f>
        <v>0</v>
      </c>
      <c r="G25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5" s="3" t="s">
        <v>3898</v>
      </c>
      <c r="K2575" s="1" t="s">
        <v>1005</v>
      </c>
      <c r="L2575" s="1" t="s">
        <v>2</v>
      </c>
      <c r="M2575" s="1" t="s">
        <v>2</v>
      </c>
      <c r="O2575" s="2"/>
      <c r="P2575" s="2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</row>
    <row r="2576" spans="1:32" s="1" customFormat="1" ht="20.25" customHeight="1" x14ac:dyDescent="0.25">
      <c r="A2576" s="2"/>
      <c r="B2576" s="2"/>
      <c r="C2576" s="2"/>
      <c r="D2576" s="2">
        <f>COUNTIF(contact[[#This Row],[Bagossy]:[Szo
03:00 - 10:00]],"=~?")</f>
        <v>0</v>
      </c>
      <c r="E2576" s="2">
        <f>COUNTIF(contact[[#This Row],[Bagossy]:[Szo
03:00 - 10:00]],"=x")</f>
        <v>0</v>
      </c>
      <c r="F2576" s="2">
        <f>SUM(contact[[#This Row],[?]:[x]])</f>
        <v>0</v>
      </c>
      <c r="G25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76" s="3" t="s">
        <v>3116</v>
      </c>
      <c r="K2576" s="1" t="s">
        <v>653</v>
      </c>
      <c r="L2576" s="1" t="s">
        <v>2</v>
      </c>
      <c r="M2576" s="1" t="s">
        <v>2</v>
      </c>
      <c r="O2576" s="2"/>
      <c r="P2576" s="2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</row>
    <row r="2577" spans="1:32" s="1" customFormat="1" ht="20.25" customHeight="1" x14ac:dyDescent="0.25">
      <c r="A2577" s="2"/>
      <c r="B2577" s="2" t="s">
        <v>1285</v>
      </c>
      <c r="C2577" s="2" t="s">
        <v>1285</v>
      </c>
      <c r="D2577" s="2">
        <f>COUNTIF(contact[[#This Row],[Bagossy]:[Szo
03:00 - 10:00]],"=~?")</f>
        <v>0</v>
      </c>
      <c r="E2577" s="2">
        <f>COUNTIF(contact[[#This Row],[Bagossy]:[Szo
03:00 - 10:00]],"=x")</f>
        <v>0</v>
      </c>
      <c r="F2577" s="2">
        <f>SUM(contact[[#This Row],[?]:[x]])</f>
        <v>0</v>
      </c>
      <c r="G25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77" s="2"/>
      <c r="I2577" s="2"/>
      <c r="J2577" s="3" t="s">
        <v>4195</v>
      </c>
      <c r="K2577" s="1" t="s">
        <v>6</v>
      </c>
      <c r="L2577" s="1" t="s">
        <v>2</v>
      </c>
      <c r="M2577" s="1" t="s">
        <v>2</v>
      </c>
      <c r="O2577" s="2"/>
      <c r="P2577" s="2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</row>
    <row r="2578" spans="1:32" s="1" customFormat="1" ht="20.25" customHeight="1" x14ac:dyDescent="0.25">
      <c r="A2578" s="2"/>
      <c r="B2578" s="2"/>
      <c r="C2578" s="2"/>
      <c r="D2578" s="2">
        <f>COUNTIF(contact[[#This Row],[Bagossy]:[Szo
03:00 - 10:00]],"=~?")</f>
        <v>0</v>
      </c>
      <c r="E2578" s="2">
        <f>COUNTIF(contact[[#This Row],[Bagossy]:[Szo
03:00 - 10:00]],"=x")</f>
        <v>0</v>
      </c>
      <c r="F2578" s="2">
        <f>SUM(contact[[#This Row],[?]:[x]])</f>
        <v>0</v>
      </c>
      <c r="G25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78" s="2"/>
      <c r="I2578" s="2"/>
      <c r="J2578" s="3" t="s">
        <v>4198</v>
      </c>
      <c r="K2578" s="1" t="s">
        <v>367</v>
      </c>
      <c r="L2578" s="1" t="s">
        <v>2</v>
      </c>
      <c r="M2578" s="1" t="s">
        <v>2</v>
      </c>
      <c r="O2578" s="2"/>
      <c r="P2578" s="2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</row>
    <row r="2579" spans="1:32" s="1" customFormat="1" ht="20.25" customHeight="1" x14ac:dyDescent="0.25">
      <c r="A2579" s="2"/>
      <c r="B2579" s="2" t="s">
        <v>1285</v>
      </c>
      <c r="C2579" s="2" t="s">
        <v>1285</v>
      </c>
      <c r="D2579" s="2">
        <f>COUNTIF(contact[[#This Row],[Bagossy]:[Szo
03:00 - 10:00]],"=~?")</f>
        <v>0</v>
      </c>
      <c r="E2579" s="2">
        <f>COUNTIF(contact[[#This Row],[Bagossy]:[Szo
03:00 - 10:00]],"=x")</f>
        <v>0</v>
      </c>
      <c r="F2579" s="2">
        <f>SUM(contact[[#This Row],[?]:[x]])</f>
        <v>0</v>
      </c>
      <c r="G25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79" s="2"/>
      <c r="I2579" s="2"/>
      <c r="J2579" s="3" t="s">
        <v>4200</v>
      </c>
      <c r="K2579" s="1" t="s">
        <v>6</v>
      </c>
      <c r="L2579" s="1" t="s">
        <v>2</v>
      </c>
      <c r="M2579" s="1" t="s">
        <v>2</v>
      </c>
      <c r="O2579" s="2"/>
      <c r="P2579" s="2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</row>
    <row r="2580" spans="1:32" s="1" customFormat="1" ht="20.25" customHeight="1" x14ac:dyDescent="0.25">
      <c r="A2580" s="2"/>
      <c r="B2580" s="2"/>
      <c r="C2580" s="2"/>
      <c r="D2580" s="2">
        <f>COUNTIF(contact[[#This Row],[Bagossy]:[Szo
03:00 - 10:00]],"=~?")</f>
        <v>0</v>
      </c>
      <c r="E2580" s="2">
        <f>COUNTIF(contact[[#This Row],[Bagossy]:[Szo
03:00 - 10:00]],"=x")</f>
        <v>0</v>
      </c>
      <c r="F2580" s="2">
        <f>SUM(contact[[#This Row],[?]:[x]])</f>
        <v>0</v>
      </c>
      <c r="G25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0" s="3" t="s">
        <v>3233</v>
      </c>
      <c r="K2580" s="1" t="s">
        <v>700</v>
      </c>
      <c r="L2580" s="1" t="s">
        <v>2</v>
      </c>
      <c r="M2580" s="1" t="s">
        <v>2</v>
      </c>
      <c r="O2580" s="2"/>
      <c r="P2580" s="2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</row>
    <row r="2581" spans="1:32" s="1" customFormat="1" ht="20.25" customHeight="1" x14ac:dyDescent="0.25">
      <c r="A2581" s="2"/>
      <c r="B2581" s="2"/>
      <c r="C2581" s="2"/>
      <c r="D2581" s="2">
        <f>COUNTIF(contact[[#This Row],[Bagossy]:[Szo
03:00 - 10:00]],"=~?")</f>
        <v>0</v>
      </c>
      <c r="E2581" s="2">
        <f>COUNTIF(contact[[#This Row],[Bagossy]:[Szo
03:00 - 10:00]],"=x")</f>
        <v>0</v>
      </c>
      <c r="F2581" s="2">
        <f>SUM(contact[[#This Row],[?]:[x]])</f>
        <v>0</v>
      </c>
      <c r="G25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1" s="3" t="s">
        <v>3362</v>
      </c>
      <c r="K2581" s="1" t="s">
        <v>773</v>
      </c>
      <c r="L2581" s="1" t="s">
        <v>2</v>
      </c>
      <c r="M2581" s="1" t="s">
        <v>2</v>
      </c>
      <c r="O2581" s="2"/>
      <c r="P2581" s="2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</row>
    <row r="2582" spans="1:32" s="1" customFormat="1" ht="20.25" customHeight="1" x14ac:dyDescent="0.25">
      <c r="A2582" s="2"/>
      <c r="B2582" s="2"/>
      <c r="C2582" s="2"/>
      <c r="D2582" s="2">
        <f>COUNTIF(contact[[#This Row],[Bagossy]:[Szo
03:00 - 10:00]],"=~?")</f>
        <v>0</v>
      </c>
      <c r="E2582" s="2">
        <f>COUNTIF(contact[[#This Row],[Bagossy]:[Szo
03:00 - 10:00]],"=x")</f>
        <v>0</v>
      </c>
      <c r="F2582" s="2">
        <f>SUM(contact[[#This Row],[?]:[x]])</f>
        <v>0</v>
      </c>
      <c r="G25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2" s="3" t="s">
        <v>3787</v>
      </c>
      <c r="K2582" s="1" t="s">
        <v>948</v>
      </c>
      <c r="L2582" s="1" t="s">
        <v>2</v>
      </c>
      <c r="M2582" s="1" t="s">
        <v>2</v>
      </c>
      <c r="O2582" s="2"/>
      <c r="P2582" s="2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</row>
    <row r="2583" spans="1:32" s="1" customFormat="1" ht="20.25" customHeight="1" x14ac:dyDescent="0.25">
      <c r="A2583" s="2"/>
      <c r="B2583" s="2"/>
      <c r="C2583" s="2"/>
      <c r="D2583" s="2">
        <f>COUNTIF(contact[[#This Row],[Bagossy]:[Szo
03:00 - 10:00]],"=~?")</f>
        <v>0</v>
      </c>
      <c r="E2583" s="2">
        <f>COUNTIF(contact[[#This Row],[Bagossy]:[Szo
03:00 - 10:00]],"=x")</f>
        <v>0</v>
      </c>
      <c r="F2583" s="2">
        <f>SUM(contact[[#This Row],[?]:[x]])</f>
        <v>0</v>
      </c>
      <c r="G25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3" s="3" t="s">
        <v>4486</v>
      </c>
      <c r="K2583" s="1" t="s">
        <v>2</v>
      </c>
      <c r="L2583" s="1" t="s">
        <v>2</v>
      </c>
      <c r="M2583" s="1" t="s">
        <v>2</v>
      </c>
      <c r="O2583" s="2"/>
      <c r="P2583" s="2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</row>
    <row r="2584" spans="1:32" s="1" customFormat="1" ht="20.25" customHeight="1" x14ac:dyDescent="0.25">
      <c r="A2584" s="2"/>
      <c r="B2584" s="2"/>
      <c r="C2584" s="2"/>
      <c r="D2584" s="2">
        <f>COUNTIF(contact[[#This Row],[Bagossy]:[Szo
03:00 - 10:00]],"=~?")</f>
        <v>0</v>
      </c>
      <c r="E2584" s="2">
        <f>COUNTIF(contact[[#This Row],[Bagossy]:[Szo
03:00 - 10:00]],"=x")</f>
        <v>0</v>
      </c>
      <c r="F2584" s="2">
        <f>SUM(contact[[#This Row],[?]:[x]])</f>
        <v>0</v>
      </c>
      <c r="G25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4" s="3" t="s">
        <v>4586</v>
      </c>
      <c r="K2584" s="1" t="s">
        <v>1279</v>
      </c>
      <c r="L2584" s="1" t="s">
        <v>2</v>
      </c>
      <c r="M2584" s="1" t="s">
        <v>2</v>
      </c>
      <c r="O2584" s="2"/>
      <c r="P2584" s="2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</row>
    <row r="2585" spans="1:32" s="1" customFormat="1" ht="20.25" customHeight="1" x14ac:dyDescent="0.25">
      <c r="A2585" s="2"/>
      <c r="B2585" s="2"/>
      <c r="C2585" s="2"/>
      <c r="D2585" s="2">
        <f>COUNTIF(contact[[#This Row],[Bagossy]:[Szo
03:00 - 10:00]],"=~?")</f>
        <v>0</v>
      </c>
      <c r="E2585" s="2">
        <f>COUNTIF(contact[[#This Row],[Bagossy]:[Szo
03:00 - 10:00]],"=x")</f>
        <v>0</v>
      </c>
      <c r="F2585" s="2">
        <f>SUM(contact[[#This Row],[?]:[x]])</f>
        <v>0</v>
      </c>
      <c r="G25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5" s="3" t="s">
        <v>2882</v>
      </c>
      <c r="K2585" s="1" t="s">
        <v>540</v>
      </c>
      <c r="L2585" s="1" t="s">
        <v>2</v>
      </c>
      <c r="M2585" s="1" t="s">
        <v>2</v>
      </c>
      <c r="O2585" s="2"/>
      <c r="P2585" s="2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</row>
    <row r="2586" spans="1:32" s="1" customFormat="1" ht="20.25" customHeight="1" x14ac:dyDescent="0.25">
      <c r="A2586" s="2"/>
      <c r="B2586" s="2"/>
      <c r="C2586" s="2"/>
      <c r="D2586" s="2">
        <f>COUNTIF(contact[[#This Row],[Bagossy]:[Szo
03:00 - 10:00]],"=~?")</f>
        <v>0</v>
      </c>
      <c r="E2586" s="2">
        <f>COUNTIF(contact[[#This Row],[Bagossy]:[Szo
03:00 - 10:00]],"=x")</f>
        <v>0</v>
      </c>
      <c r="F2586" s="2">
        <f>SUM(contact[[#This Row],[?]:[x]])</f>
        <v>0</v>
      </c>
      <c r="G25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6" s="3" t="s">
        <v>3220</v>
      </c>
      <c r="K2586" s="1" t="s">
        <v>1597</v>
      </c>
      <c r="L2586" s="1" t="s">
        <v>2</v>
      </c>
      <c r="M2586" s="1" t="s">
        <v>2</v>
      </c>
      <c r="O2586" s="2"/>
      <c r="P2586" s="2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</row>
    <row r="2587" spans="1:32" s="1" customFormat="1" ht="20.25" customHeight="1" x14ac:dyDescent="0.25">
      <c r="A2587" s="2"/>
      <c r="B2587" s="2"/>
      <c r="C2587" s="2"/>
      <c r="D2587" s="2">
        <f>COUNTIF(contact[[#This Row],[Bagossy]:[Szo
03:00 - 10:00]],"=~?")</f>
        <v>0</v>
      </c>
      <c r="E2587" s="2">
        <f>COUNTIF(contact[[#This Row],[Bagossy]:[Szo
03:00 - 10:00]],"=x")</f>
        <v>0</v>
      </c>
      <c r="F2587" s="2">
        <f>SUM(contact[[#This Row],[?]:[x]])</f>
        <v>0</v>
      </c>
      <c r="G25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7" s="3" t="s">
        <v>3315</v>
      </c>
      <c r="K2587" s="1" t="s">
        <v>2</v>
      </c>
      <c r="L2587" s="1" t="s">
        <v>2</v>
      </c>
      <c r="M2587" s="1" t="s">
        <v>2</v>
      </c>
      <c r="O2587" s="2"/>
      <c r="P2587" s="2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</row>
    <row r="2588" spans="1:32" s="1" customFormat="1" ht="20.25" customHeight="1" x14ac:dyDescent="0.25">
      <c r="A2588" s="2"/>
      <c r="B2588" s="2"/>
      <c r="C2588" s="2"/>
      <c r="D2588" s="2">
        <f>COUNTIF(contact[[#This Row],[Bagossy]:[Szo
03:00 - 10:00]],"=~?")</f>
        <v>0</v>
      </c>
      <c r="E2588" s="2">
        <f>COUNTIF(contact[[#This Row],[Bagossy]:[Szo
03:00 - 10:00]],"=x")</f>
        <v>0</v>
      </c>
      <c r="F2588" s="2">
        <f>SUM(contact[[#This Row],[?]:[x]])</f>
        <v>0</v>
      </c>
      <c r="G25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8" s="3" t="s">
        <v>4146</v>
      </c>
      <c r="K2588" s="1" t="s">
        <v>2</v>
      </c>
      <c r="L2588" s="1" t="s">
        <v>2</v>
      </c>
      <c r="M2588" s="1" t="s">
        <v>2</v>
      </c>
      <c r="O2588" s="2"/>
      <c r="P2588" s="2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</row>
    <row r="2589" spans="1:32" s="1" customFormat="1" ht="20.25" customHeight="1" x14ac:dyDescent="0.25">
      <c r="A2589" s="2"/>
      <c r="B2589" s="2"/>
      <c r="C2589" s="2"/>
      <c r="D2589" s="2">
        <f>COUNTIF(contact[[#This Row],[Bagossy]:[Szo
03:00 - 10:00]],"=~?")</f>
        <v>0</v>
      </c>
      <c r="E2589" s="2">
        <f>COUNTIF(contact[[#This Row],[Bagossy]:[Szo
03:00 - 10:00]],"=x")</f>
        <v>0</v>
      </c>
      <c r="F2589" s="2">
        <f>SUM(contact[[#This Row],[?]:[x]])</f>
        <v>0</v>
      </c>
      <c r="G25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89" s="3" t="s">
        <v>4561</v>
      </c>
      <c r="K2589" s="1" t="s">
        <v>2</v>
      </c>
      <c r="L2589" s="1" t="s">
        <v>2</v>
      </c>
      <c r="M2589" s="1" t="s">
        <v>2</v>
      </c>
      <c r="O2589" s="2"/>
      <c r="P2589" s="2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</row>
    <row r="2590" spans="1:32" s="1" customFormat="1" ht="20.25" customHeight="1" x14ac:dyDescent="0.25">
      <c r="A2590" s="2"/>
      <c r="B2590" s="2"/>
      <c r="C2590" s="2"/>
      <c r="D2590" s="2">
        <f>COUNTIF(contact[[#This Row],[Bagossy]:[Szo
03:00 - 10:00]],"=~?")</f>
        <v>0</v>
      </c>
      <c r="E2590" s="2">
        <f>COUNTIF(contact[[#This Row],[Bagossy]:[Szo
03:00 - 10:00]],"=x")</f>
        <v>0</v>
      </c>
      <c r="F2590" s="2">
        <f>SUM(contact[[#This Row],[?]:[x]])</f>
        <v>0</v>
      </c>
      <c r="G25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90" s="2"/>
      <c r="I2590" s="2"/>
      <c r="J2590" s="3" t="s">
        <v>4204</v>
      </c>
      <c r="K2590" s="1" t="s">
        <v>1812</v>
      </c>
      <c r="L2590" s="1" t="s">
        <v>2</v>
      </c>
      <c r="M2590" s="1" t="s">
        <v>2</v>
      </c>
      <c r="O2590" s="2"/>
      <c r="P2590" s="2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</row>
    <row r="2591" spans="1:32" s="1" customFormat="1" ht="20.25" customHeight="1" x14ac:dyDescent="0.25">
      <c r="A2591" s="2"/>
      <c r="B2591" s="2"/>
      <c r="C2591" s="2"/>
      <c r="D2591" s="2">
        <f>COUNTIF(contact[[#This Row],[Bagossy]:[Szo
03:00 - 10:00]],"=~?")</f>
        <v>0</v>
      </c>
      <c r="E2591" s="2">
        <f>COUNTIF(contact[[#This Row],[Bagossy]:[Szo
03:00 - 10:00]],"=x")</f>
        <v>0</v>
      </c>
      <c r="F2591" s="2">
        <f>SUM(contact[[#This Row],[?]:[x]])</f>
        <v>0</v>
      </c>
      <c r="G25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91" s="3" t="s">
        <v>2129</v>
      </c>
      <c r="K2591" s="1" t="s">
        <v>127</v>
      </c>
      <c r="L2591" s="1" t="s">
        <v>2</v>
      </c>
      <c r="M2591" s="1" t="s">
        <v>2</v>
      </c>
      <c r="O2591" s="2"/>
      <c r="P2591" s="2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</row>
    <row r="2592" spans="1:32" s="1" customFormat="1" ht="20.25" customHeight="1" x14ac:dyDescent="0.25">
      <c r="A2592" s="2"/>
      <c r="B2592" s="2"/>
      <c r="C2592" s="2"/>
      <c r="D2592" s="2">
        <f>COUNTIF(contact[[#This Row],[Bagossy]:[Szo
03:00 - 10:00]],"=~?")</f>
        <v>0</v>
      </c>
      <c r="E2592" s="2">
        <f>COUNTIF(contact[[#This Row],[Bagossy]:[Szo
03:00 - 10:00]],"=x")</f>
        <v>0</v>
      </c>
      <c r="F2592" s="2">
        <f>SUM(contact[[#This Row],[?]:[x]])</f>
        <v>0</v>
      </c>
      <c r="G25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92" s="3" t="s">
        <v>3247</v>
      </c>
      <c r="K2592" s="1" t="s">
        <v>712</v>
      </c>
      <c r="L2592" s="1" t="s">
        <v>2</v>
      </c>
      <c r="M2592" s="1" t="s">
        <v>2</v>
      </c>
      <c r="O2592" s="2"/>
      <c r="P2592" s="2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</row>
    <row r="2593" spans="1:32" s="1" customFormat="1" ht="20.25" customHeight="1" x14ac:dyDescent="0.25">
      <c r="A2593" s="2"/>
      <c r="B2593" s="2"/>
      <c r="C2593" s="2"/>
      <c r="D2593" s="2">
        <f>COUNTIF(contact[[#This Row],[Bagossy]:[Szo
03:00 - 10:00]],"=~?")</f>
        <v>0</v>
      </c>
      <c r="E2593" s="2">
        <f>COUNTIF(contact[[#This Row],[Bagossy]:[Szo
03:00 - 10:00]],"=x")</f>
        <v>0</v>
      </c>
      <c r="F2593" s="2">
        <f>SUM(contact[[#This Row],[?]:[x]])</f>
        <v>0</v>
      </c>
      <c r="G25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93" s="2"/>
      <c r="I2593" s="2"/>
      <c r="J2593" s="3" t="s">
        <v>4206</v>
      </c>
      <c r="K2593" s="1" t="s">
        <v>790</v>
      </c>
      <c r="L2593" s="1" t="s">
        <v>2</v>
      </c>
      <c r="M2593" s="1" t="s">
        <v>2</v>
      </c>
      <c r="O2593" s="2"/>
      <c r="P2593" s="2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</row>
    <row r="2594" spans="1:32" s="1" customFormat="1" ht="20.25" customHeight="1" x14ac:dyDescent="0.25">
      <c r="A2594" s="2"/>
      <c r="B2594" s="2"/>
      <c r="C2594" s="2"/>
      <c r="D2594" s="2">
        <f>COUNTIF(contact[[#This Row],[Bagossy]:[Szo
03:00 - 10:00]],"=~?")</f>
        <v>0</v>
      </c>
      <c r="E2594" s="2">
        <f>COUNTIF(contact[[#This Row],[Bagossy]:[Szo
03:00 - 10:00]],"=x")</f>
        <v>0</v>
      </c>
      <c r="F2594" s="2">
        <f>SUM(contact[[#This Row],[?]:[x]])</f>
        <v>0</v>
      </c>
      <c r="G25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94" s="2"/>
      <c r="I2594" s="2"/>
      <c r="J2594" s="3" t="s">
        <v>4216</v>
      </c>
      <c r="K2594" s="1" t="s">
        <v>790</v>
      </c>
      <c r="L2594" s="1" t="s">
        <v>2</v>
      </c>
      <c r="M2594" s="1" t="s">
        <v>2</v>
      </c>
      <c r="O2594" s="2"/>
      <c r="P2594" s="2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</row>
    <row r="2595" spans="1:32" s="1" customFormat="1" ht="20.25" customHeight="1" x14ac:dyDescent="0.25">
      <c r="A2595" s="2"/>
      <c r="B2595" s="2"/>
      <c r="C2595" s="2"/>
      <c r="D2595" s="2">
        <f>COUNTIF(contact[[#This Row],[Bagossy]:[Szo
03:00 - 10:00]],"=~?")</f>
        <v>0</v>
      </c>
      <c r="E2595" s="2">
        <f>COUNTIF(contact[[#This Row],[Bagossy]:[Szo
03:00 - 10:00]],"=x")</f>
        <v>0</v>
      </c>
      <c r="F2595" s="2">
        <f>SUM(contact[[#This Row],[?]:[x]])</f>
        <v>0</v>
      </c>
      <c r="G25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95" s="3" t="s">
        <v>4441</v>
      </c>
      <c r="K2595" s="1" t="s">
        <v>1240</v>
      </c>
      <c r="L2595" s="1" t="s">
        <v>2</v>
      </c>
      <c r="M2595" s="1" t="s">
        <v>2</v>
      </c>
      <c r="O2595" s="2"/>
      <c r="P2595" s="2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</row>
    <row r="2596" spans="1:32" s="1" customFormat="1" ht="20.25" customHeight="1" x14ac:dyDescent="0.25">
      <c r="A2596" s="2"/>
      <c r="B2596" s="2"/>
      <c r="C2596" s="2"/>
      <c r="D2596" s="2">
        <f>COUNTIF(contact[[#This Row],[Bagossy]:[Szo
03:00 - 10:00]],"=~?")</f>
        <v>0</v>
      </c>
      <c r="E2596" s="2">
        <f>COUNTIF(contact[[#This Row],[Bagossy]:[Szo
03:00 - 10:00]],"=x")</f>
        <v>0</v>
      </c>
      <c r="F2596" s="2">
        <f>SUM(contact[[#This Row],[?]:[x]])</f>
        <v>0</v>
      </c>
      <c r="G25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96" s="2"/>
      <c r="I2596" s="2"/>
      <c r="J2596" s="3" t="s">
        <v>4221</v>
      </c>
      <c r="K2596" s="1" t="s">
        <v>1255</v>
      </c>
      <c r="L2596" s="1" t="s">
        <v>2</v>
      </c>
      <c r="M2596" s="1" t="s">
        <v>2</v>
      </c>
      <c r="O2596" s="2"/>
      <c r="P2596" s="2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</row>
    <row r="2597" spans="1:32" s="1" customFormat="1" ht="20.25" customHeight="1" x14ac:dyDescent="0.25">
      <c r="A2597" s="2"/>
      <c r="B2597" s="2"/>
      <c r="C2597" s="2"/>
      <c r="D2597" s="2">
        <f>COUNTIF(contact[[#This Row],[Bagossy]:[Szo
03:00 - 10:00]],"=~?")</f>
        <v>0</v>
      </c>
      <c r="E2597" s="2">
        <f>COUNTIF(contact[[#This Row],[Bagossy]:[Szo
03:00 - 10:00]],"=x")</f>
        <v>0</v>
      </c>
      <c r="F2597" s="2">
        <f>SUM(contact[[#This Row],[?]:[x]])</f>
        <v>0</v>
      </c>
      <c r="G25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97" s="3" t="s">
        <v>3133</v>
      </c>
      <c r="K2597" s="1" t="s">
        <v>2</v>
      </c>
      <c r="L2597" s="1" t="s">
        <v>2</v>
      </c>
      <c r="M2597" s="1" t="s">
        <v>2</v>
      </c>
      <c r="O2597" s="2"/>
      <c r="P2597" s="2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</row>
    <row r="2598" spans="1:32" s="1" customFormat="1" ht="20.25" customHeight="1" x14ac:dyDescent="0.25">
      <c r="A2598" s="2"/>
      <c r="B2598" s="2"/>
      <c r="C2598" s="2"/>
      <c r="D2598" s="2">
        <f>COUNTIF(contact[[#This Row],[Bagossy]:[Szo
03:00 - 10:00]],"=~?")</f>
        <v>0</v>
      </c>
      <c r="E2598" s="2">
        <f>COUNTIF(contact[[#This Row],[Bagossy]:[Szo
03:00 - 10:00]],"=x")</f>
        <v>0</v>
      </c>
      <c r="F2598" s="2">
        <f>SUM(contact[[#This Row],[?]:[x]])</f>
        <v>0</v>
      </c>
      <c r="G25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598" s="3" t="s">
        <v>3514</v>
      </c>
      <c r="K2598" s="1" t="s">
        <v>2</v>
      </c>
      <c r="L2598" s="1" t="s">
        <v>403</v>
      </c>
      <c r="M2598" s="1" t="s">
        <v>111</v>
      </c>
      <c r="O2598" s="2"/>
      <c r="P2598" s="2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</row>
    <row r="2599" spans="1:32" s="1" customFormat="1" ht="20.25" customHeight="1" x14ac:dyDescent="0.25">
      <c r="A2599" s="2" t="s">
        <v>1285</v>
      </c>
      <c r="B2599" s="2" t="s">
        <v>1285</v>
      </c>
      <c r="C2599" s="2" t="s">
        <v>1285</v>
      </c>
      <c r="D2599" s="2">
        <f>COUNTIF(contact[[#This Row],[Bagossy]:[Szo
03:00 - 10:00]],"=~?")</f>
        <v>1</v>
      </c>
      <c r="E2599" s="2">
        <f>COUNTIF(contact[[#This Row],[Bagossy]:[Szo
03:00 - 10:00]],"=x")</f>
        <v>1</v>
      </c>
      <c r="F2599" s="2">
        <f>SUM(contact[[#This Row],[?]:[x]])</f>
        <v>2</v>
      </c>
      <c r="G25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599" s="2" t="s">
        <v>4616</v>
      </c>
      <c r="I2599" s="2"/>
      <c r="J2599" s="3" t="s">
        <v>111</v>
      </c>
      <c r="K2599" s="1" t="s">
        <v>92</v>
      </c>
      <c r="L2599" s="1" t="s">
        <v>2</v>
      </c>
      <c r="M2599" s="1" t="s">
        <v>2</v>
      </c>
      <c r="N2599" s="2" t="s">
        <v>4612</v>
      </c>
      <c r="O2599" s="2"/>
      <c r="P2599" s="2"/>
      <c r="Q2599" s="6"/>
      <c r="R2599" s="6"/>
      <c r="S2599" s="6"/>
      <c r="T2599" s="6"/>
      <c r="U2599" s="6"/>
      <c r="V2599" s="6"/>
      <c r="W2599" s="6" t="s">
        <v>4616</v>
      </c>
      <c r="X2599" s="6"/>
      <c r="Y2599" s="6"/>
      <c r="Z2599" s="6"/>
      <c r="AA2599" s="6"/>
      <c r="AB2599" s="6" t="s">
        <v>1285</v>
      </c>
      <c r="AC2599" s="6"/>
      <c r="AD2599" s="6"/>
      <c r="AE2599" s="6"/>
      <c r="AF2599" s="6"/>
    </row>
    <row r="2600" spans="1:32" s="1" customFormat="1" ht="20.25" customHeight="1" x14ac:dyDescent="0.25">
      <c r="A2600" s="2"/>
      <c r="B2600" s="2"/>
      <c r="C2600" s="2"/>
      <c r="D2600" s="2">
        <f>COUNTIF(contact[[#This Row],[Bagossy]:[Szo
03:00 - 10:00]],"=~?")</f>
        <v>0</v>
      </c>
      <c r="E2600" s="2">
        <f>COUNTIF(contact[[#This Row],[Bagossy]:[Szo
03:00 - 10:00]],"=x")</f>
        <v>0</v>
      </c>
      <c r="F2600" s="2">
        <f>SUM(contact[[#This Row],[?]:[x]])</f>
        <v>0</v>
      </c>
      <c r="G26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0" s="3" t="s">
        <v>3968</v>
      </c>
      <c r="K2600" s="1" t="s">
        <v>1749</v>
      </c>
      <c r="L2600" s="1" t="s">
        <v>2</v>
      </c>
      <c r="M2600" s="1" t="s">
        <v>2</v>
      </c>
      <c r="O2600" s="2"/>
      <c r="P2600" s="2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</row>
    <row r="2601" spans="1:32" s="1" customFormat="1" ht="20.25" customHeight="1" x14ac:dyDescent="0.25">
      <c r="A2601" s="2"/>
      <c r="B2601" s="2"/>
      <c r="C2601" s="2"/>
      <c r="D2601" s="2">
        <f>COUNTIF(contact[[#This Row],[Bagossy]:[Szo
03:00 - 10:00]],"=~?")</f>
        <v>0</v>
      </c>
      <c r="E2601" s="2">
        <f>COUNTIF(contact[[#This Row],[Bagossy]:[Szo
03:00 - 10:00]],"=x")</f>
        <v>0</v>
      </c>
      <c r="F2601" s="2">
        <f>SUM(contact[[#This Row],[?]:[x]])</f>
        <v>0</v>
      </c>
      <c r="G26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01" s="2"/>
      <c r="I2601" s="2"/>
      <c r="J2601" s="3" t="s">
        <v>4224</v>
      </c>
      <c r="K2601" s="1" t="s">
        <v>1817</v>
      </c>
      <c r="L2601" s="1" t="s">
        <v>2</v>
      </c>
      <c r="M2601" s="1" t="s">
        <v>2</v>
      </c>
      <c r="O2601" s="2"/>
      <c r="P2601" s="2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</row>
    <row r="2602" spans="1:32" s="1" customFormat="1" ht="20.25" customHeight="1" x14ac:dyDescent="0.25">
      <c r="A2602" s="2"/>
      <c r="B2602" s="2"/>
      <c r="C2602" s="2"/>
      <c r="D2602" s="2">
        <f>COUNTIF(contact[[#This Row],[Bagossy]:[Szo
03:00 - 10:00]],"=~?")</f>
        <v>0</v>
      </c>
      <c r="E2602" s="2">
        <f>COUNTIF(contact[[#This Row],[Bagossy]:[Szo
03:00 - 10:00]],"=x")</f>
        <v>0</v>
      </c>
      <c r="F2602" s="2">
        <f>SUM(contact[[#This Row],[?]:[x]])</f>
        <v>0</v>
      </c>
      <c r="G26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02" s="2"/>
      <c r="I2602" s="2"/>
      <c r="J2602" s="3" t="s">
        <v>4225</v>
      </c>
      <c r="K2602" s="1" t="s">
        <v>1818</v>
      </c>
      <c r="L2602" s="1" t="s">
        <v>2</v>
      </c>
      <c r="M2602" s="1" t="s">
        <v>2</v>
      </c>
      <c r="O2602" s="2"/>
      <c r="P2602" s="2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</row>
    <row r="2603" spans="1:32" s="1" customFormat="1" ht="20.25" customHeight="1" x14ac:dyDescent="0.25">
      <c r="A2603" s="2"/>
      <c r="B2603" s="2"/>
      <c r="C2603" s="2"/>
      <c r="D2603" s="2">
        <f>COUNTIF(contact[[#This Row],[Bagossy]:[Szo
03:00 - 10:00]],"=~?")</f>
        <v>0</v>
      </c>
      <c r="E2603" s="2">
        <f>COUNTIF(contact[[#This Row],[Bagossy]:[Szo
03:00 - 10:00]],"=x")</f>
        <v>0</v>
      </c>
      <c r="F2603" s="2">
        <f>SUM(contact[[#This Row],[?]:[x]])</f>
        <v>0</v>
      </c>
      <c r="G26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3" s="3" t="s">
        <v>2130</v>
      </c>
      <c r="K2603" s="1" t="s">
        <v>2</v>
      </c>
      <c r="L2603" s="1" t="s">
        <v>2</v>
      </c>
      <c r="M2603" s="1" t="s">
        <v>2</v>
      </c>
      <c r="O2603" s="2"/>
      <c r="P2603" s="2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</row>
    <row r="2604" spans="1:32" s="1" customFormat="1" ht="20.25" customHeight="1" x14ac:dyDescent="0.25">
      <c r="A2604" s="2"/>
      <c r="B2604" s="2"/>
      <c r="C2604" s="2"/>
      <c r="D2604" s="2">
        <f>COUNTIF(contact[[#This Row],[Bagossy]:[Szo
03:00 - 10:00]],"=~?")</f>
        <v>0</v>
      </c>
      <c r="E2604" s="2">
        <f>COUNTIF(contact[[#This Row],[Bagossy]:[Szo
03:00 - 10:00]],"=x")</f>
        <v>0</v>
      </c>
      <c r="F2604" s="2">
        <f>SUM(contact[[#This Row],[?]:[x]])</f>
        <v>0</v>
      </c>
      <c r="G26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4" s="3" t="s">
        <v>2205</v>
      </c>
      <c r="K2604" s="1" t="s">
        <v>1327</v>
      </c>
      <c r="L2604" s="1" t="s">
        <v>2</v>
      </c>
      <c r="M2604" s="1" t="s">
        <v>2</v>
      </c>
      <c r="O2604" s="2"/>
      <c r="P2604" s="2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</row>
    <row r="2605" spans="1:32" s="1" customFormat="1" ht="20.25" customHeight="1" x14ac:dyDescent="0.25">
      <c r="A2605" s="2"/>
      <c r="B2605" s="2"/>
      <c r="C2605" s="2"/>
      <c r="D2605" s="2">
        <f>COUNTIF(contact[[#This Row],[Bagossy]:[Szo
03:00 - 10:00]],"=~?")</f>
        <v>0</v>
      </c>
      <c r="E2605" s="2">
        <f>COUNTIF(contact[[#This Row],[Bagossy]:[Szo
03:00 - 10:00]],"=x")</f>
        <v>0</v>
      </c>
      <c r="F2605" s="2">
        <f>SUM(contact[[#This Row],[?]:[x]])</f>
        <v>0</v>
      </c>
      <c r="G26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5" s="3" t="s">
        <v>2548</v>
      </c>
      <c r="K2605" s="1" t="s">
        <v>1327</v>
      </c>
      <c r="L2605" s="1" t="s">
        <v>2</v>
      </c>
      <c r="M2605" s="1" t="s">
        <v>2</v>
      </c>
      <c r="O2605" s="2"/>
      <c r="P2605" s="2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</row>
    <row r="2606" spans="1:32" s="1" customFormat="1" ht="20.25" customHeight="1" x14ac:dyDescent="0.25">
      <c r="A2606" s="2"/>
      <c r="B2606" s="2"/>
      <c r="C2606" s="2"/>
      <c r="D2606" s="2">
        <f>COUNTIF(contact[[#This Row],[Bagossy]:[Szo
03:00 - 10:00]],"=~?")</f>
        <v>0</v>
      </c>
      <c r="E2606" s="2">
        <f>COUNTIF(contact[[#This Row],[Bagossy]:[Szo
03:00 - 10:00]],"=x")</f>
        <v>0</v>
      </c>
      <c r="F2606" s="2">
        <f>SUM(contact[[#This Row],[?]:[x]])</f>
        <v>0</v>
      </c>
      <c r="G26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06" s="2"/>
      <c r="I2606" s="2"/>
      <c r="J2606" s="3" t="s">
        <v>4226</v>
      </c>
      <c r="K2606" s="1" t="s">
        <v>1668</v>
      </c>
      <c r="L2606" s="1" t="s">
        <v>2</v>
      </c>
      <c r="M2606" s="1" t="s">
        <v>2</v>
      </c>
      <c r="O2606" s="2"/>
      <c r="P2606" s="2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</row>
    <row r="2607" spans="1:32" s="1" customFormat="1" ht="20.25" customHeight="1" x14ac:dyDescent="0.25">
      <c r="A2607" s="2"/>
      <c r="B2607" s="2"/>
      <c r="C2607" s="2"/>
      <c r="D2607" s="2">
        <f>COUNTIF(contact[[#This Row],[Bagossy]:[Szo
03:00 - 10:00]],"=~?")</f>
        <v>0</v>
      </c>
      <c r="E2607" s="2">
        <f>COUNTIF(contact[[#This Row],[Bagossy]:[Szo
03:00 - 10:00]],"=x")</f>
        <v>0</v>
      </c>
      <c r="F2607" s="2">
        <f>SUM(contact[[#This Row],[?]:[x]])</f>
        <v>0</v>
      </c>
      <c r="G26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7" s="3" t="s">
        <v>4245</v>
      </c>
      <c r="K2607" s="1" t="s">
        <v>2</v>
      </c>
      <c r="L2607" s="1" t="s">
        <v>2</v>
      </c>
      <c r="M2607" s="1" t="s">
        <v>2</v>
      </c>
      <c r="O2607" s="2"/>
      <c r="P2607" s="2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</row>
    <row r="2608" spans="1:32" s="1" customFormat="1" ht="20.25" customHeight="1" x14ac:dyDescent="0.25">
      <c r="A2608" s="2"/>
      <c r="B2608" s="2"/>
      <c r="C2608" s="2"/>
      <c r="D2608" s="2">
        <f>COUNTIF(contact[[#This Row],[Bagossy]:[Szo
03:00 - 10:00]],"=~?")</f>
        <v>0</v>
      </c>
      <c r="E2608" s="2">
        <f>COUNTIF(contact[[#This Row],[Bagossy]:[Szo
03:00 - 10:00]],"=x")</f>
        <v>0</v>
      </c>
      <c r="F2608" s="2">
        <f>SUM(contact[[#This Row],[?]:[x]])</f>
        <v>0</v>
      </c>
      <c r="G26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8" s="3" t="s">
        <v>1120</v>
      </c>
      <c r="K2608" s="1" t="s">
        <v>2</v>
      </c>
      <c r="L2608" s="1" t="s">
        <v>2</v>
      </c>
      <c r="M2608" s="1" t="s">
        <v>2</v>
      </c>
      <c r="O2608" s="2"/>
      <c r="P2608" s="2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</row>
    <row r="2609" spans="1:32" s="1" customFormat="1" ht="20.25" customHeight="1" x14ac:dyDescent="0.25">
      <c r="A2609" s="2"/>
      <c r="B2609" s="2"/>
      <c r="C2609" s="2"/>
      <c r="D2609" s="2">
        <f>COUNTIF(contact[[#This Row],[Bagossy]:[Szo
03:00 - 10:00]],"=~?")</f>
        <v>0</v>
      </c>
      <c r="E2609" s="2">
        <f>COUNTIF(contact[[#This Row],[Bagossy]:[Szo
03:00 - 10:00]],"=x")</f>
        <v>0</v>
      </c>
      <c r="F2609" s="2">
        <f>SUM(contact[[#This Row],[?]:[x]])</f>
        <v>0</v>
      </c>
      <c r="G26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09" s="3" t="s">
        <v>1121</v>
      </c>
      <c r="K2609" s="1" t="s">
        <v>2</v>
      </c>
      <c r="L2609" s="1" t="s">
        <v>2</v>
      </c>
      <c r="M2609" s="1" t="s">
        <v>2</v>
      </c>
      <c r="O2609" s="2"/>
      <c r="P2609" s="2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</row>
    <row r="2610" spans="1:32" s="1" customFormat="1" ht="20.25" customHeight="1" x14ac:dyDescent="0.25">
      <c r="A2610" s="2" t="s">
        <v>1285</v>
      </c>
      <c r="B2610" s="2" t="s">
        <v>1285</v>
      </c>
      <c r="C2610" s="2" t="s">
        <v>1285</v>
      </c>
      <c r="D2610" s="2">
        <f>COUNTIF(contact[[#This Row],[Bagossy]:[Szo
03:00 - 10:00]],"=~?")</f>
        <v>0</v>
      </c>
      <c r="E2610" s="2">
        <f>COUNTIF(contact[[#This Row],[Bagossy]:[Szo
03:00 - 10:00]],"=x")</f>
        <v>0</v>
      </c>
      <c r="F2610" s="2">
        <f>SUM(contact[[#This Row],[?]:[x]])</f>
        <v>0</v>
      </c>
      <c r="G26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10" s="2"/>
      <c r="I2610" s="2"/>
      <c r="J2610" s="3" t="s">
        <v>4229</v>
      </c>
      <c r="K2610" s="1" t="s">
        <v>1819</v>
      </c>
      <c r="L2610" s="1" t="s">
        <v>2</v>
      </c>
      <c r="M2610" s="1" t="s">
        <v>2</v>
      </c>
      <c r="N2610" s="2" t="s">
        <v>4612</v>
      </c>
      <c r="O2610" s="2"/>
      <c r="P2610" s="2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</row>
    <row r="2611" spans="1:32" s="1" customFormat="1" ht="20.25" customHeight="1" x14ac:dyDescent="0.25">
      <c r="A2611" s="2"/>
      <c r="B2611" s="2"/>
      <c r="C2611" s="2"/>
      <c r="D2611" s="2">
        <f>COUNTIF(contact[[#This Row],[Bagossy]:[Szo
03:00 - 10:00]],"=~?")</f>
        <v>0</v>
      </c>
      <c r="E2611" s="2">
        <f>COUNTIF(contact[[#This Row],[Bagossy]:[Szo
03:00 - 10:00]],"=x")</f>
        <v>0</v>
      </c>
      <c r="F2611" s="2">
        <f>SUM(contact[[#This Row],[?]:[x]])</f>
        <v>0</v>
      </c>
      <c r="G26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11" s="2"/>
      <c r="I2611" s="2"/>
      <c r="J2611" s="3" t="s">
        <v>4230</v>
      </c>
      <c r="K2611" s="1" t="s">
        <v>1296</v>
      </c>
      <c r="L2611" s="1" t="s">
        <v>2</v>
      </c>
      <c r="M2611" s="1" t="s">
        <v>2</v>
      </c>
      <c r="O2611" s="2"/>
      <c r="P2611" s="2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</row>
    <row r="2612" spans="1:32" s="1" customFormat="1" ht="20.25" customHeight="1" x14ac:dyDescent="0.25">
      <c r="A2612" s="2"/>
      <c r="B2612" s="2"/>
      <c r="C2612" s="2"/>
      <c r="D2612" s="2">
        <f>COUNTIF(contact[[#This Row],[Bagossy]:[Szo
03:00 - 10:00]],"=~?")</f>
        <v>0</v>
      </c>
      <c r="E2612" s="2">
        <f>COUNTIF(contact[[#This Row],[Bagossy]:[Szo
03:00 - 10:00]],"=x")</f>
        <v>0</v>
      </c>
      <c r="F2612" s="2">
        <f>SUM(contact[[#This Row],[?]:[x]])</f>
        <v>0</v>
      </c>
      <c r="G26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12" s="3" t="s">
        <v>2717</v>
      </c>
      <c r="K2612" s="1" t="s">
        <v>459</v>
      </c>
      <c r="L2612" s="1" t="s">
        <v>2</v>
      </c>
      <c r="M2612" s="1" t="s">
        <v>2</v>
      </c>
      <c r="O2612" s="2"/>
      <c r="P2612" s="2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</row>
    <row r="2613" spans="1:32" s="1" customFormat="1" ht="20.25" customHeight="1" x14ac:dyDescent="0.25">
      <c r="A2613" s="2"/>
      <c r="B2613" s="2"/>
      <c r="C2613" s="2"/>
      <c r="D2613" s="2">
        <f>COUNTIF(contact[[#This Row],[Bagossy]:[Szo
03:00 - 10:00]],"=~?")</f>
        <v>0</v>
      </c>
      <c r="E2613" s="2">
        <f>COUNTIF(contact[[#This Row],[Bagossy]:[Szo
03:00 - 10:00]],"=x")</f>
        <v>0</v>
      </c>
      <c r="F2613" s="2">
        <f>SUM(contact[[#This Row],[?]:[x]])</f>
        <v>0</v>
      </c>
      <c r="G26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13" s="3" t="s">
        <v>2080</v>
      </c>
      <c r="K2613" s="1" t="s">
        <v>2</v>
      </c>
      <c r="L2613" s="1" t="s">
        <v>2</v>
      </c>
      <c r="M2613" s="1" t="s">
        <v>2</v>
      </c>
      <c r="O2613" s="2"/>
      <c r="P2613" s="2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</row>
    <row r="2614" spans="1:32" s="1" customFormat="1" ht="20.25" customHeight="1" x14ac:dyDescent="0.25">
      <c r="A2614" s="2" t="s">
        <v>1285</v>
      </c>
      <c r="B2614" s="2" t="s">
        <v>1285</v>
      </c>
      <c r="C2614" s="2" t="s">
        <v>1285</v>
      </c>
      <c r="D2614" s="2">
        <f>COUNTIF(contact[[#This Row],[Bagossy]:[Szo
03:00 - 10:00]],"=~?")</f>
        <v>1</v>
      </c>
      <c r="E2614" s="2">
        <f>COUNTIF(contact[[#This Row],[Bagossy]:[Szo
03:00 - 10:00]],"=x")</f>
        <v>1</v>
      </c>
      <c r="F2614" s="2">
        <f>SUM(contact[[#This Row],[?]:[x]])</f>
        <v>2</v>
      </c>
      <c r="G2614" s="2">
        <f>COUNTIF(contact[[#This Row],[Sze
10:00 - 22:00]:[Cs
03:00 - 08:00]],"=x")+COUNTIF(contact[[#This Row],[P
08:00 - 12:00]:[P
03:00 - 08:00]],"=x")+COUNTIF(contact[[#This Row],[Szo
08:00 - 12:00]:[Szo
03:00 - 10:00]],"=x")</f>
        <v>1</v>
      </c>
      <c r="H2614" s="2" t="s">
        <v>4620</v>
      </c>
      <c r="I2614" s="2"/>
      <c r="J2614" s="3" t="s">
        <v>4231</v>
      </c>
      <c r="K2614" s="1" t="s">
        <v>1389</v>
      </c>
      <c r="L2614" s="1" t="s">
        <v>2</v>
      </c>
      <c r="M2614" s="1" t="s">
        <v>2</v>
      </c>
      <c r="N2614" s="2" t="s">
        <v>4612</v>
      </c>
      <c r="O2614" s="2" t="s">
        <v>4612</v>
      </c>
      <c r="P2614" s="2"/>
      <c r="Q2614" s="6"/>
      <c r="R2614" s="6"/>
      <c r="S2614" s="6"/>
      <c r="T2614" s="6"/>
      <c r="U2614" s="6"/>
      <c r="V2614" s="6"/>
      <c r="W2614" s="6" t="s">
        <v>4616</v>
      </c>
      <c r="X2614" s="6"/>
      <c r="Y2614" s="6"/>
      <c r="Z2614" s="6"/>
      <c r="AA2614" s="6"/>
      <c r="AB2614" s="6"/>
      <c r="AC2614" s="6"/>
      <c r="AD2614" s="6"/>
      <c r="AE2614" s="6" t="s">
        <v>1285</v>
      </c>
      <c r="AF2614" s="6"/>
    </row>
    <row r="2615" spans="1:32" s="1" customFormat="1" ht="20.25" customHeight="1" x14ac:dyDescent="0.25">
      <c r="A2615" s="2"/>
      <c r="B2615" s="2"/>
      <c r="C2615" s="2"/>
      <c r="D2615" s="2">
        <f>COUNTIF(contact[[#This Row],[Bagossy]:[Szo
03:00 - 10:00]],"=~?")</f>
        <v>0</v>
      </c>
      <c r="E2615" s="2">
        <f>COUNTIF(contact[[#This Row],[Bagossy]:[Szo
03:00 - 10:00]],"=x")</f>
        <v>0</v>
      </c>
      <c r="F2615" s="2">
        <f>SUM(contact[[#This Row],[?]:[x]])</f>
        <v>0</v>
      </c>
      <c r="G26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15" s="3" t="s">
        <v>3044</v>
      </c>
      <c r="K2615" s="1" t="s">
        <v>2</v>
      </c>
      <c r="L2615" s="1" t="s">
        <v>2</v>
      </c>
      <c r="M2615" s="1" t="s">
        <v>2</v>
      </c>
      <c r="O2615" s="2"/>
      <c r="P2615" s="2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</row>
    <row r="2616" spans="1:32" s="1" customFormat="1" ht="20.25" customHeight="1" x14ac:dyDescent="0.25">
      <c r="A2616" s="2" t="s">
        <v>1285</v>
      </c>
      <c r="B2616" s="2" t="s">
        <v>1285</v>
      </c>
      <c r="C2616" s="2" t="s">
        <v>1285</v>
      </c>
      <c r="D2616" s="2">
        <f>COUNTIF(contact[[#This Row],[Bagossy]:[Szo
03:00 - 10:00]],"=~?")</f>
        <v>2</v>
      </c>
      <c r="E2616" s="2">
        <f>COUNTIF(contact[[#This Row],[Bagossy]:[Szo
03:00 - 10:00]],"=x")</f>
        <v>3</v>
      </c>
      <c r="F2616" s="2">
        <f>SUM(contact[[#This Row],[?]:[x]])</f>
        <v>5</v>
      </c>
      <c r="G2616" s="2">
        <f>COUNTIF(contact[[#This Row],[Sze
10:00 - 22:00]:[Cs
03:00 - 08:00]],"=x")+COUNTIF(contact[[#This Row],[P
08:00 - 12:00]:[P
03:00 - 08:00]],"=x")+COUNTIF(contact[[#This Row],[Szo
08:00 - 12:00]:[Szo
03:00 - 10:00]],"=x")</f>
        <v>2</v>
      </c>
      <c r="H2616" s="2" t="s">
        <v>4623</v>
      </c>
      <c r="J2616" s="3" t="s">
        <v>4233</v>
      </c>
      <c r="K2616" s="1" t="s">
        <v>1155</v>
      </c>
      <c r="L2616" s="1" t="s">
        <v>2</v>
      </c>
      <c r="M2616" s="1" t="s">
        <v>2</v>
      </c>
      <c r="N2616" s="2" t="s">
        <v>4612</v>
      </c>
      <c r="O2616" s="2" t="s">
        <v>1285</v>
      </c>
      <c r="P2616" s="2"/>
      <c r="Q2616" s="6"/>
      <c r="R2616" s="6"/>
      <c r="S2616" s="6"/>
      <c r="T2616" s="6" t="s">
        <v>4616</v>
      </c>
      <c r="U2616" s="6" t="s">
        <v>1285</v>
      </c>
      <c r="V2616" s="6"/>
      <c r="W2616" s="6"/>
      <c r="X2616" s="6"/>
      <c r="Y2616" s="6"/>
      <c r="Z2616" s="6" t="s">
        <v>4612</v>
      </c>
      <c r="AA2616" s="6"/>
      <c r="AB2616" s="6"/>
      <c r="AC2616" s="6" t="s">
        <v>4616</v>
      </c>
      <c r="AD2616" s="6"/>
      <c r="AE2616" s="6" t="s">
        <v>1285</v>
      </c>
      <c r="AF2616" s="6"/>
    </row>
    <row r="2617" spans="1:32" s="1" customFormat="1" ht="20.25" customHeight="1" x14ac:dyDescent="0.25">
      <c r="A2617" s="2"/>
      <c r="B2617" s="2"/>
      <c r="C2617" s="2"/>
      <c r="D2617" s="2">
        <f>COUNTIF(contact[[#This Row],[Bagossy]:[Szo
03:00 - 10:00]],"=~?")</f>
        <v>0</v>
      </c>
      <c r="E2617" s="2">
        <f>COUNTIF(contact[[#This Row],[Bagossy]:[Szo
03:00 - 10:00]],"=x")</f>
        <v>0</v>
      </c>
      <c r="F2617" s="2">
        <f>SUM(contact[[#This Row],[?]:[x]])</f>
        <v>0</v>
      </c>
      <c r="G26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17" s="3" t="s">
        <v>4150</v>
      </c>
      <c r="K2617" s="1" t="s">
        <v>2</v>
      </c>
      <c r="L2617" s="1" t="s">
        <v>2</v>
      </c>
      <c r="M2617" s="1" t="s">
        <v>2</v>
      </c>
      <c r="O2617" s="2"/>
      <c r="P2617" s="2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</row>
    <row r="2618" spans="1:32" s="1" customFormat="1" ht="20.25" customHeight="1" x14ac:dyDescent="0.25">
      <c r="A2618" s="2"/>
      <c r="B2618" s="2"/>
      <c r="C2618" s="2"/>
      <c r="D2618" s="2">
        <f>COUNTIF(contact[[#This Row],[Bagossy]:[Szo
03:00 - 10:00]],"=~?")</f>
        <v>0</v>
      </c>
      <c r="E2618" s="2">
        <f>COUNTIF(contact[[#This Row],[Bagossy]:[Szo
03:00 - 10:00]],"=x")</f>
        <v>0</v>
      </c>
      <c r="F2618" s="2">
        <f>SUM(contact[[#This Row],[?]:[x]])</f>
        <v>0</v>
      </c>
      <c r="G26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18" s="3" t="s">
        <v>3969</v>
      </c>
      <c r="K2618" s="1" t="s">
        <v>9</v>
      </c>
      <c r="L2618" s="1" t="s">
        <v>2</v>
      </c>
      <c r="M2618" s="1" t="s">
        <v>2</v>
      </c>
      <c r="O2618" s="2"/>
      <c r="P2618" s="2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</row>
    <row r="2619" spans="1:32" s="1" customFormat="1" ht="20.25" customHeight="1" x14ac:dyDescent="0.25">
      <c r="A2619" s="2"/>
      <c r="B2619" s="2"/>
      <c r="C2619" s="2"/>
      <c r="D2619" s="2">
        <f>COUNTIF(contact[[#This Row],[Bagossy]:[Szo
03:00 - 10:00]],"=~?")</f>
        <v>0</v>
      </c>
      <c r="E2619" s="2">
        <f>COUNTIF(contact[[#This Row],[Bagossy]:[Szo
03:00 - 10:00]],"=x")</f>
        <v>0</v>
      </c>
      <c r="F2619" s="2">
        <f>SUM(contact[[#This Row],[?]:[x]])</f>
        <v>0</v>
      </c>
      <c r="G26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19" s="3" t="s">
        <v>3510</v>
      </c>
      <c r="K2619" s="1" t="s">
        <v>1327</v>
      </c>
      <c r="L2619" s="1" t="s">
        <v>2</v>
      </c>
      <c r="M2619" s="1" t="s">
        <v>2</v>
      </c>
      <c r="O2619" s="2"/>
      <c r="P2619" s="2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</row>
    <row r="2620" spans="1:32" s="1" customFormat="1" ht="20.25" customHeight="1" x14ac:dyDescent="0.25">
      <c r="A2620" s="2"/>
      <c r="B2620" s="2"/>
      <c r="C2620" s="2"/>
      <c r="D2620" s="2">
        <f>COUNTIF(contact[[#This Row],[Bagossy]:[Szo
03:00 - 10:00]],"=~?")</f>
        <v>0</v>
      </c>
      <c r="E2620" s="2">
        <f>COUNTIF(contact[[#This Row],[Bagossy]:[Szo
03:00 - 10:00]],"=x")</f>
        <v>0</v>
      </c>
      <c r="F2620" s="2">
        <f>SUM(contact[[#This Row],[?]:[x]])</f>
        <v>0</v>
      </c>
      <c r="G26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0" s="3" t="s">
        <v>3767</v>
      </c>
      <c r="K2620" s="1" t="s">
        <v>934</v>
      </c>
      <c r="L2620" s="1" t="s">
        <v>2</v>
      </c>
      <c r="M2620" s="1" t="s">
        <v>2</v>
      </c>
      <c r="O2620" s="2"/>
      <c r="P2620" s="2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</row>
    <row r="2621" spans="1:32" s="1" customFormat="1" ht="20.25" customHeight="1" x14ac:dyDescent="0.25">
      <c r="A2621" s="2"/>
      <c r="B2621" s="2"/>
      <c r="C2621" s="2"/>
      <c r="D2621" s="2">
        <f>COUNTIF(contact[[#This Row],[Bagossy]:[Szo
03:00 - 10:00]],"=~?")</f>
        <v>0</v>
      </c>
      <c r="E2621" s="2">
        <f>COUNTIF(contact[[#This Row],[Bagossy]:[Szo
03:00 - 10:00]],"=x")</f>
        <v>0</v>
      </c>
      <c r="F2621" s="2">
        <f>SUM(contact[[#This Row],[?]:[x]])</f>
        <v>0</v>
      </c>
      <c r="G26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21" s="2"/>
      <c r="I2621" s="2"/>
      <c r="J2621" s="3" t="s">
        <v>4234</v>
      </c>
      <c r="K2621" s="1" t="s">
        <v>1820</v>
      </c>
      <c r="L2621" s="1" t="s">
        <v>2</v>
      </c>
      <c r="M2621" s="1" t="s">
        <v>2</v>
      </c>
      <c r="O2621" s="2"/>
      <c r="P2621" s="2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</row>
    <row r="2622" spans="1:32" s="1" customFormat="1" ht="20.25" customHeight="1" x14ac:dyDescent="0.25">
      <c r="A2622" s="2"/>
      <c r="B2622" s="2"/>
      <c r="C2622" s="2"/>
      <c r="D2622" s="2">
        <f>COUNTIF(contact[[#This Row],[Bagossy]:[Szo
03:00 - 10:00]],"=~?")</f>
        <v>0</v>
      </c>
      <c r="E2622" s="2">
        <f>COUNTIF(contact[[#This Row],[Bagossy]:[Szo
03:00 - 10:00]],"=x")</f>
        <v>0</v>
      </c>
      <c r="F2622" s="2">
        <f>SUM(contact[[#This Row],[?]:[x]])</f>
        <v>0</v>
      </c>
      <c r="G26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2" s="3" t="s">
        <v>2683</v>
      </c>
      <c r="K2622" s="1" t="s">
        <v>2</v>
      </c>
      <c r="L2622" s="1" t="s">
        <v>2</v>
      </c>
      <c r="M2622" s="1" t="s">
        <v>2</v>
      </c>
      <c r="O2622" s="2"/>
      <c r="P2622" s="2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</row>
    <row r="2623" spans="1:32" s="1" customFormat="1" ht="20.25" customHeight="1" x14ac:dyDescent="0.25">
      <c r="A2623" s="2"/>
      <c r="B2623" s="2"/>
      <c r="C2623" s="2"/>
      <c r="D2623" s="2">
        <f>COUNTIF(contact[[#This Row],[Bagossy]:[Szo
03:00 - 10:00]],"=~?")</f>
        <v>0</v>
      </c>
      <c r="E2623" s="2">
        <f>COUNTIF(contact[[#This Row],[Bagossy]:[Szo
03:00 - 10:00]],"=x")</f>
        <v>0</v>
      </c>
      <c r="F2623" s="2">
        <f>SUM(contact[[#This Row],[?]:[x]])</f>
        <v>0</v>
      </c>
      <c r="G26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3" s="3" t="s">
        <v>1968</v>
      </c>
      <c r="K2623" s="1" t="s">
        <v>2</v>
      </c>
      <c r="L2623" s="1" t="s">
        <v>2</v>
      </c>
      <c r="M2623" s="1" t="s">
        <v>2</v>
      </c>
      <c r="O2623" s="2"/>
      <c r="P2623" s="2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</row>
    <row r="2624" spans="1:32" s="1" customFormat="1" ht="20.25" customHeight="1" x14ac:dyDescent="0.25">
      <c r="A2624" s="2"/>
      <c r="B2624" s="2"/>
      <c r="C2624" s="2"/>
      <c r="D2624" s="2">
        <f>COUNTIF(contact[[#This Row],[Bagossy]:[Szo
03:00 - 10:00]],"=~?")</f>
        <v>0</v>
      </c>
      <c r="E2624" s="2">
        <f>COUNTIF(contact[[#This Row],[Bagossy]:[Szo
03:00 - 10:00]],"=x")</f>
        <v>0</v>
      </c>
      <c r="F2624" s="2">
        <f>SUM(contact[[#This Row],[?]:[x]])</f>
        <v>0</v>
      </c>
      <c r="G26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4" s="3" t="s">
        <v>2747</v>
      </c>
      <c r="K2624" s="1" t="s">
        <v>2</v>
      </c>
      <c r="L2624" s="1" t="s">
        <v>2</v>
      </c>
      <c r="M2624" s="1" t="s">
        <v>2</v>
      </c>
      <c r="O2624" s="2"/>
      <c r="P2624" s="2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</row>
    <row r="2625" spans="1:32" s="1" customFormat="1" ht="20.25" customHeight="1" x14ac:dyDescent="0.25">
      <c r="A2625" s="2"/>
      <c r="B2625" s="2"/>
      <c r="C2625" s="2"/>
      <c r="D2625" s="2">
        <f>COUNTIF(contact[[#This Row],[Bagossy]:[Szo
03:00 - 10:00]],"=~?")</f>
        <v>0</v>
      </c>
      <c r="E2625" s="2">
        <f>COUNTIF(contact[[#This Row],[Bagossy]:[Szo
03:00 - 10:00]],"=x")</f>
        <v>0</v>
      </c>
      <c r="F2625" s="2">
        <f>SUM(contact[[#This Row],[?]:[x]])</f>
        <v>0</v>
      </c>
      <c r="G26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5" s="3" t="s">
        <v>3905</v>
      </c>
      <c r="K2625" s="1" t="s">
        <v>1006</v>
      </c>
      <c r="L2625" s="1" t="s">
        <v>2</v>
      </c>
      <c r="M2625" s="1" t="s">
        <v>2</v>
      </c>
      <c r="O2625" s="2"/>
      <c r="P2625" s="2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</row>
    <row r="2626" spans="1:32" s="1" customFormat="1" ht="20.25" customHeight="1" x14ac:dyDescent="0.25">
      <c r="A2626" s="2"/>
      <c r="B2626" s="2"/>
      <c r="C2626" s="2"/>
      <c r="D2626" s="2">
        <f>COUNTIF(contact[[#This Row],[Bagossy]:[Szo
03:00 - 10:00]],"=~?")</f>
        <v>0</v>
      </c>
      <c r="E2626" s="2">
        <f>COUNTIF(contact[[#This Row],[Bagossy]:[Szo
03:00 - 10:00]],"=x")</f>
        <v>0</v>
      </c>
      <c r="F2626" s="2">
        <f>SUM(contact[[#This Row],[?]:[x]])</f>
        <v>0</v>
      </c>
      <c r="G26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6" s="3" t="s">
        <v>3916</v>
      </c>
      <c r="K2626" s="1" t="s">
        <v>2</v>
      </c>
      <c r="L2626" s="1" t="s">
        <v>2</v>
      </c>
      <c r="M2626" s="1" t="s">
        <v>2</v>
      </c>
      <c r="O2626" s="2"/>
      <c r="P2626" s="2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</row>
    <row r="2627" spans="1:32" s="1" customFormat="1" ht="20.25" customHeight="1" x14ac:dyDescent="0.25">
      <c r="A2627" s="2"/>
      <c r="B2627" s="2"/>
      <c r="C2627" s="2"/>
      <c r="D2627" s="2">
        <f>COUNTIF(contact[[#This Row],[Bagossy]:[Szo
03:00 - 10:00]],"=~?")</f>
        <v>0</v>
      </c>
      <c r="E2627" s="2">
        <f>COUNTIF(contact[[#This Row],[Bagossy]:[Szo
03:00 - 10:00]],"=x")</f>
        <v>0</v>
      </c>
      <c r="F2627" s="2">
        <f>SUM(contact[[#This Row],[?]:[x]])</f>
        <v>0</v>
      </c>
      <c r="G26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7" s="3" t="s">
        <v>1122</v>
      </c>
      <c r="K2627" s="1" t="s">
        <v>2</v>
      </c>
      <c r="L2627" s="1" t="s">
        <v>2</v>
      </c>
      <c r="M2627" s="1" t="s">
        <v>2</v>
      </c>
      <c r="O2627" s="2"/>
      <c r="P2627" s="2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</row>
    <row r="2628" spans="1:32" s="1" customFormat="1" ht="20.25" customHeight="1" x14ac:dyDescent="0.25">
      <c r="A2628" s="2"/>
      <c r="B2628" s="2"/>
      <c r="C2628" s="2"/>
      <c r="D2628" s="2">
        <f>COUNTIF(contact[[#This Row],[Bagossy]:[Szo
03:00 - 10:00]],"=~?")</f>
        <v>0</v>
      </c>
      <c r="E2628" s="2">
        <f>COUNTIF(contact[[#This Row],[Bagossy]:[Szo
03:00 - 10:00]],"=x")</f>
        <v>0</v>
      </c>
      <c r="F2628" s="2">
        <f>SUM(contact[[#This Row],[?]:[x]])</f>
        <v>0</v>
      </c>
      <c r="G26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8" s="3" t="s">
        <v>4592</v>
      </c>
      <c r="K2628" s="1" t="s">
        <v>2</v>
      </c>
      <c r="L2628" s="1" t="s">
        <v>2</v>
      </c>
      <c r="M2628" s="1" t="s">
        <v>2</v>
      </c>
      <c r="O2628" s="2"/>
      <c r="P2628" s="2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</row>
    <row r="2629" spans="1:32" s="1" customFormat="1" ht="20.25" customHeight="1" x14ac:dyDescent="0.25">
      <c r="A2629" s="2"/>
      <c r="B2629" s="2"/>
      <c r="C2629" s="2"/>
      <c r="D2629" s="2">
        <f>COUNTIF(contact[[#This Row],[Bagossy]:[Szo
03:00 - 10:00]],"=~?")</f>
        <v>0</v>
      </c>
      <c r="E2629" s="2">
        <f>COUNTIF(contact[[#This Row],[Bagossy]:[Szo
03:00 - 10:00]],"=x")</f>
        <v>0</v>
      </c>
      <c r="F2629" s="2">
        <f>SUM(contact[[#This Row],[?]:[x]])</f>
        <v>0</v>
      </c>
      <c r="G26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29" s="3" t="s">
        <v>3768</v>
      </c>
      <c r="K2629" s="1" t="s">
        <v>1711</v>
      </c>
      <c r="L2629" s="1" t="s">
        <v>2</v>
      </c>
      <c r="M2629" s="1" t="s">
        <v>2</v>
      </c>
      <c r="O2629" s="2"/>
      <c r="P2629" s="2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</row>
    <row r="2630" spans="1:32" s="1" customFormat="1" ht="20.25" customHeight="1" x14ac:dyDescent="0.25">
      <c r="A2630" s="2"/>
      <c r="B2630" s="2"/>
      <c r="C2630" s="2"/>
      <c r="D2630" s="2">
        <f>COUNTIF(contact[[#This Row],[Bagossy]:[Szo
03:00 - 10:00]],"=~?")</f>
        <v>0</v>
      </c>
      <c r="E2630" s="2">
        <f>COUNTIF(contact[[#This Row],[Bagossy]:[Szo
03:00 - 10:00]],"=x")</f>
        <v>0</v>
      </c>
      <c r="F2630" s="2">
        <f>SUM(contact[[#This Row],[?]:[x]])</f>
        <v>0</v>
      </c>
      <c r="G26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0" s="3" t="s">
        <v>2153</v>
      </c>
      <c r="K2630" s="1" t="s">
        <v>1349</v>
      </c>
      <c r="L2630" s="1" t="s">
        <v>2</v>
      </c>
      <c r="M2630" s="1" t="s">
        <v>2</v>
      </c>
      <c r="O2630" s="2"/>
      <c r="P2630" s="2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</row>
    <row r="2631" spans="1:32" s="1" customFormat="1" ht="20.25" customHeight="1" x14ac:dyDescent="0.25">
      <c r="A2631" s="2"/>
      <c r="B2631" s="2"/>
      <c r="C2631" s="2"/>
      <c r="D2631" s="2">
        <f>COUNTIF(contact[[#This Row],[Bagossy]:[Szo
03:00 - 10:00]],"=~?")</f>
        <v>0</v>
      </c>
      <c r="E2631" s="2">
        <f>COUNTIF(contact[[#This Row],[Bagossy]:[Szo
03:00 - 10:00]],"=x")</f>
        <v>0</v>
      </c>
      <c r="F2631" s="2">
        <f>SUM(contact[[#This Row],[?]:[x]])</f>
        <v>0</v>
      </c>
      <c r="G26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1" s="3" t="s">
        <v>4090</v>
      </c>
      <c r="K2631" s="1" t="s">
        <v>1781</v>
      </c>
      <c r="L2631" s="1" t="s">
        <v>2</v>
      </c>
      <c r="M2631" s="1" t="s">
        <v>2</v>
      </c>
      <c r="O2631" s="2"/>
      <c r="P2631" s="2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</row>
    <row r="2632" spans="1:32" s="1" customFormat="1" ht="20.25" customHeight="1" x14ac:dyDescent="0.25">
      <c r="A2632" s="2"/>
      <c r="B2632" s="2"/>
      <c r="C2632" s="2"/>
      <c r="D2632" s="2">
        <f>COUNTIF(contact[[#This Row],[Bagossy]:[Szo
03:00 - 10:00]],"=~?")</f>
        <v>0</v>
      </c>
      <c r="E2632" s="2">
        <f>COUNTIF(contact[[#This Row],[Bagossy]:[Szo
03:00 - 10:00]],"=x")</f>
        <v>0</v>
      </c>
      <c r="F2632" s="2">
        <f>SUM(contact[[#This Row],[?]:[x]])</f>
        <v>0</v>
      </c>
      <c r="G26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2" s="3" t="s">
        <v>4101</v>
      </c>
      <c r="K2632" s="1" t="s">
        <v>1098</v>
      </c>
      <c r="L2632" s="1" t="s">
        <v>2</v>
      </c>
      <c r="M2632" s="1" t="s">
        <v>2</v>
      </c>
      <c r="O2632" s="2"/>
      <c r="P2632" s="2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</row>
    <row r="2633" spans="1:32" s="1" customFormat="1" ht="20.25" customHeight="1" x14ac:dyDescent="0.25">
      <c r="A2633" s="2"/>
      <c r="B2633" s="2"/>
      <c r="C2633" s="2"/>
      <c r="D2633" s="2">
        <f>COUNTIF(contact[[#This Row],[Bagossy]:[Szo
03:00 - 10:00]],"=~?")</f>
        <v>0</v>
      </c>
      <c r="E2633" s="2">
        <f>COUNTIF(contact[[#This Row],[Bagossy]:[Szo
03:00 - 10:00]],"=x")</f>
        <v>0</v>
      </c>
      <c r="F2633" s="2">
        <f>SUM(contact[[#This Row],[?]:[x]])</f>
        <v>0</v>
      </c>
      <c r="G26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3" s="3" t="s">
        <v>1123</v>
      </c>
      <c r="K2633" s="1" t="s">
        <v>2</v>
      </c>
      <c r="L2633" s="1" t="s">
        <v>2</v>
      </c>
      <c r="M2633" s="1" t="s">
        <v>2</v>
      </c>
      <c r="O2633" s="2"/>
      <c r="P2633" s="2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</row>
    <row r="2634" spans="1:32" s="1" customFormat="1" ht="20.25" customHeight="1" x14ac:dyDescent="0.25">
      <c r="A2634" s="2"/>
      <c r="B2634" s="2"/>
      <c r="C2634" s="2"/>
      <c r="D2634" s="2">
        <f>COUNTIF(contact[[#This Row],[Bagossy]:[Szo
03:00 - 10:00]],"=~?")</f>
        <v>0</v>
      </c>
      <c r="E2634" s="2">
        <f>COUNTIF(contact[[#This Row],[Bagossy]:[Szo
03:00 - 10:00]],"=x")</f>
        <v>0</v>
      </c>
      <c r="F2634" s="2">
        <f>SUM(contact[[#This Row],[?]:[x]])</f>
        <v>0</v>
      </c>
      <c r="G26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4" s="3" t="s">
        <v>2358</v>
      </c>
      <c r="K2634" s="1" t="s">
        <v>1293</v>
      </c>
      <c r="L2634" s="1" t="s">
        <v>2</v>
      </c>
      <c r="M2634" s="1" t="s">
        <v>2</v>
      </c>
      <c r="O2634" s="2"/>
      <c r="P2634" s="2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</row>
    <row r="2635" spans="1:32" s="1" customFormat="1" ht="20.25" customHeight="1" x14ac:dyDescent="0.25">
      <c r="A2635" s="2"/>
      <c r="B2635" s="2"/>
      <c r="C2635" s="2"/>
      <c r="D2635" s="2">
        <f>COUNTIF(contact[[#This Row],[Bagossy]:[Szo
03:00 - 10:00]],"=~?")</f>
        <v>0</v>
      </c>
      <c r="E2635" s="2">
        <f>COUNTIF(contact[[#This Row],[Bagossy]:[Szo
03:00 - 10:00]],"=x")</f>
        <v>0</v>
      </c>
      <c r="F2635" s="2">
        <f>SUM(contact[[#This Row],[?]:[x]])</f>
        <v>0</v>
      </c>
      <c r="G26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5" s="3" t="s">
        <v>1124</v>
      </c>
      <c r="K2635" s="1" t="s">
        <v>2</v>
      </c>
      <c r="L2635" s="1" t="s">
        <v>2</v>
      </c>
      <c r="M2635" s="1" t="s">
        <v>2</v>
      </c>
      <c r="O2635" s="2"/>
      <c r="P2635" s="2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</row>
    <row r="2636" spans="1:32" s="1" customFormat="1" ht="20.25" customHeight="1" x14ac:dyDescent="0.25">
      <c r="A2636" s="2"/>
      <c r="B2636" s="2"/>
      <c r="C2636" s="2"/>
      <c r="D2636" s="2">
        <f>COUNTIF(contact[[#This Row],[Bagossy]:[Szo
03:00 - 10:00]],"=~?")</f>
        <v>0</v>
      </c>
      <c r="E2636" s="2">
        <f>COUNTIF(contact[[#This Row],[Bagossy]:[Szo
03:00 - 10:00]],"=x")</f>
        <v>0</v>
      </c>
      <c r="F2636" s="2">
        <f>SUM(contact[[#This Row],[?]:[x]])</f>
        <v>0</v>
      </c>
      <c r="G26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6" s="3" t="s">
        <v>2220</v>
      </c>
      <c r="K2636" s="1" t="s">
        <v>2</v>
      </c>
      <c r="L2636" s="1" t="s">
        <v>2</v>
      </c>
      <c r="M2636" s="1" t="s">
        <v>2</v>
      </c>
      <c r="O2636" s="2"/>
      <c r="P2636" s="2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</row>
    <row r="2637" spans="1:32" s="1" customFormat="1" ht="20.25" customHeight="1" x14ac:dyDescent="0.25">
      <c r="A2637" s="2"/>
      <c r="B2637" s="2"/>
      <c r="C2637" s="2"/>
      <c r="D2637" s="2">
        <f>COUNTIF(contact[[#This Row],[Bagossy]:[Szo
03:00 - 10:00]],"=~?")</f>
        <v>0</v>
      </c>
      <c r="E2637" s="2">
        <f>COUNTIF(contact[[#This Row],[Bagossy]:[Szo
03:00 - 10:00]],"=x")</f>
        <v>0</v>
      </c>
      <c r="F2637" s="2">
        <f>SUM(contact[[#This Row],[?]:[x]])</f>
        <v>0</v>
      </c>
      <c r="G26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7" s="3" t="s">
        <v>3680</v>
      </c>
      <c r="K2637" s="1" t="s">
        <v>964</v>
      </c>
      <c r="L2637" s="1" t="s">
        <v>2</v>
      </c>
      <c r="M2637" s="1" t="s">
        <v>2</v>
      </c>
      <c r="O2637" s="2"/>
      <c r="P2637" s="2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</row>
    <row r="2638" spans="1:32" s="1" customFormat="1" ht="20.25" customHeight="1" x14ac:dyDescent="0.25">
      <c r="A2638" s="2"/>
      <c r="B2638" s="2"/>
      <c r="C2638" s="2"/>
      <c r="D2638" s="2">
        <f>COUNTIF(contact[[#This Row],[Bagossy]:[Szo
03:00 - 10:00]],"=~?")</f>
        <v>0</v>
      </c>
      <c r="E2638" s="2">
        <f>COUNTIF(contact[[#This Row],[Bagossy]:[Szo
03:00 - 10:00]],"=x")</f>
        <v>0</v>
      </c>
      <c r="F2638" s="2">
        <f>SUM(contact[[#This Row],[?]:[x]])</f>
        <v>0</v>
      </c>
      <c r="G26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8" s="3" t="s">
        <v>4067</v>
      </c>
      <c r="K2638" s="1" t="s">
        <v>1774</v>
      </c>
      <c r="L2638" s="1" t="s">
        <v>2</v>
      </c>
      <c r="M2638" s="1" t="s">
        <v>2</v>
      </c>
      <c r="O2638" s="2"/>
      <c r="P2638" s="2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</row>
    <row r="2639" spans="1:32" s="1" customFormat="1" ht="20.25" customHeight="1" x14ac:dyDescent="0.25">
      <c r="A2639" s="2"/>
      <c r="B2639" s="2"/>
      <c r="C2639" s="2"/>
      <c r="D2639" s="2">
        <f>COUNTIF(contact[[#This Row],[Bagossy]:[Szo
03:00 - 10:00]],"=~?")</f>
        <v>0</v>
      </c>
      <c r="E2639" s="2">
        <f>COUNTIF(contact[[#This Row],[Bagossy]:[Szo
03:00 - 10:00]],"=x")</f>
        <v>0</v>
      </c>
      <c r="F2639" s="2">
        <f>SUM(contact[[#This Row],[?]:[x]])</f>
        <v>0</v>
      </c>
      <c r="G26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39" s="3" t="s">
        <v>4143</v>
      </c>
      <c r="K2639" s="1" t="s">
        <v>391</v>
      </c>
      <c r="L2639" s="1" t="s">
        <v>2</v>
      </c>
      <c r="M2639" s="1" t="s">
        <v>2</v>
      </c>
      <c r="O2639" s="2"/>
      <c r="P2639" s="2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</row>
    <row r="2640" spans="1:32" s="1" customFormat="1" ht="20.25" customHeight="1" x14ac:dyDescent="0.25">
      <c r="A2640" s="2"/>
      <c r="B2640" s="2"/>
      <c r="C2640" s="2"/>
      <c r="D2640" s="2">
        <f>COUNTIF(contact[[#This Row],[Bagossy]:[Szo
03:00 - 10:00]],"=~?")</f>
        <v>0</v>
      </c>
      <c r="E2640" s="2">
        <f>COUNTIF(contact[[#This Row],[Bagossy]:[Szo
03:00 - 10:00]],"=x")</f>
        <v>0</v>
      </c>
      <c r="F2640" s="2">
        <f>SUM(contact[[#This Row],[?]:[x]])</f>
        <v>0</v>
      </c>
      <c r="G26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0" s="3" t="s">
        <v>4562</v>
      </c>
      <c r="K2640" s="1" t="s">
        <v>391</v>
      </c>
      <c r="L2640" s="1" t="s">
        <v>2</v>
      </c>
      <c r="M2640" s="1" t="s">
        <v>2</v>
      </c>
      <c r="O2640" s="2"/>
      <c r="P2640" s="2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</row>
    <row r="2641" spans="1:32" s="1" customFormat="1" ht="20.25" customHeight="1" x14ac:dyDescent="0.25">
      <c r="A2641" s="2"/>
      <c r="B2641" s="2"/>
      <c r="C2641" s="2"/>
      <c r="D2641" s="2">
        <f>COUNTIF(contact[[#This Row],[Bagossy]:[Szo
03:00 - 10:00]],"=~?")</f>
        <v>0</v>
      </c>
      <c r="E2641" s="2">
        <f>COUNTIF(contact[[#This Row],[Bagossy]:[Szo
03:00 - 10:00]],"=x")</f>
        <v>0</v>
      </c>
      <c r="F2641" s="2">
        <f>SUM(contact[[#This Row],[?]:[x]])</f>
        <v>0</v>
      </c>
      <c r="G26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1" s="3" t="s">
        <v>4562</v>
      </c>
      <c r="K2641" s="1" t="s">
        <v>2</v>
      </c>
      <c r="L2641" s="1" t="s">
        <v>2</v>
      </c>
      <c r="M2641" s="1" t="s">
        <v>2</v>
      </c>
      <c r="O2641" s="2"/>
      <c r="P2641" s="2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</row>
    <row r="2642" spans="1:32" s="1" customFormat="1" ht="20.25" customHeight="1" x14ac:dyDescent="0.25">
      <c r="A2642" s="2"/>
      <c r="B2642" s="2"/>
      <c r="C2642" s="2"/>
      <c r="D2642" s="2">
        <f>COUNTIF(contact[[#This Row],[Bagossy]:[Szo
03:00 - 10:00]],"=~?")</f>
        <v>0</v>
      </c>
      <c r="E2642" s="2">
        <f>COUNTIF(contact[[#This Row],[Bagossy]:[Szo
03:00 - 10:00]],"=x")</f>
        <v>0</v>
      </c>
      <c r="F2642" s="2">
        <f>SUM(contact[[#This Row],[?]:[x]])</f>
        <v>0</v>
      </c>
      <c r="G26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2" s="3" t="s">
        <v>4319</v>
      </c>
      <c r="K2642" s="1" t="s">
        <v>893</v>
      </c>
      <c r="L2642" s="1" t="s">
        <v>2</v>
      </c>
      <c r="M2642" s="1" t="s">
        <v>2</v>
      </c>
      <c r="O2642" s="2"/>
      <c r="P2642" s="2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</row>
    <row r="2643" spans="1:32" s="1" customFormat="1" ht="20.25" customHeight="1" x14ac:dyDescent="0.25">
      <c r="A2643" s="2"/>
      <c r="B2643" s="2"/>
      <c r="C2643" s="2"/>
      <c r="D2643" s="2">
        <f>COUNTIF(contact[[#This Row],[Bagossy]:[Szo
03:00 - 10:00]],"=~?")</f>
        <v>0</v>
      </c>
      <c r="E2643" s="2">
        <f>COUNTIF(contact[[#This Row],[Bagossy]:[Szo
03:00 - 10:00]],"=x")</f>
        <v>0</v>
      </c>
      <c r="F2643" s="2">
        <f>SUM(contact[[#This Row],[?]:[x]])</f>
        <v>0</v>
      </c>
      <c r="G26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3" s="3" t="s">
        <v>3906</v>
      </c>
      <c r="K2643" s="1" t="s">
        <v>2</v>
      </c>
      <c r="L2643" s="1" t="s">
        <v>2</v>
      </c>
      <c r="M2643" s="1" t="s">
        <v>2</v>
      </c>
      <c r="O2643" s="2"/>
      <c r="P2643" s="2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</row>
    <row r="2644" spans="1:32" s="1" customFormat="1" ht="20.25" customHeight="1" x14ac:dyDescent="0.25">
      <c r="A2644" s="2"/>
      <c r="B2644" s="2"/>
      <c r="C2644" s="2"/>
      <c r="D2644" s="2">
        <f>COUNTIF(contact[[#This Row],[Bagossy]:[Szo
03:00 - 10:00]],"=~?")</f>
        <v>0</v>
      </c>
      <c r="E2644" s="2">
        <f>COUNTIF(contact[[#This Row],[Bagossy]:[Szo
03:00 - 10:00]],"=x")</f>
        <v>0</v>
      </c>
      <c r="F2644" s="2">
        <f>SUM(contact[[#This Row],[?]:[x]])</f>
        <v>0</v>
      </c>
      <c r="G26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4" s="3" t="s">
        <v>2673</v>
      </c>
      <c r="K2644" s="1" t="s">
        <v>30</v>
      </c>
      <c r="L2644" s="1" t="s">
        <v>2</v>
      </c>
      <c r="M2644" s="1" t="s">
        <v>2</v>
      </c>
      <c r="O2644" s="2"/>
      <c r="P2644" s="2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</row>
    <row r="2645" spans="1:32" s="1" customFormat="1" ht="20.25" customHeight="1" x14ac:dyDescent="0.25">
      <c r="A2645" s="2"/>
      <c r="B2645" s="2"/>
      <c r="C2645" s="2"/>
      <c r="D2645" s="2">
        <f>COUNTIF(contact[[#This Row],[Bagossy]:[Szo
03:00 - 10:00]],"=~?")</f>
        <v>0</v>
      </c>
      <c r="E2645" s="2">
        <f>COUNTIF(contact[[#This Row],[Bagossy]:[Szo
03:00 - 10:00]],"=x")</f>
        <v>0</v>
      </c>
      <c r="F2645" s="2">
        <f>SUM(contact[[#This Row],[?]:[x]])</f>
        <v>0</v>
      </c>
      <c r="G26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5" s="3" t="s">
        <v>4320</v>
      </c>
      <c r="K2645" s="1" t="s">
        <v>2</v>
      </c>
      <c r="L2645" s="1" t="s">
        <v>2</v>
      </c>
      <c r="M2645" s="1" t="s">
        <v>2</v>
      </c>
      <c r="O2645" s="2"/>
      <c r="P2645" s="2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</row>
    <row r="2646" spans="1:32" s="1" customFormat="1" ht="20.25" customHeight="1" x14ac:dyDescent="0.25">
      <c r="A2646" s="2"/>
      <c r="B2646" s="2"/>
      <c r="C2646" s="2"/>
      <c r="D2646" s="2">
        <f>COUNTIF(contact[[#This Row],[Bagossy]:[Szo
03:00 - 10:00]],"=~?")</f>
        <v>0</v>
      </c>
      <c r="E2646" s="2">
        <f>COUNTIF(contact[[#This Row],[Bagossy]:[Szo
03:00 - 10:00]],"=x")</f>
        <v>0</v>
      </c>
      <c r="F2646" s="2">
        <f>SUM(contact[[#This Row],[?]:[x]])</f>
        <v>0</v>
      </c>
      <c r="G26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6" s="3" t="s">
        <v>2207</v>
      </c>
      <c r="K2646" s="1" t="s">
        <v>2</v>
      </c>
      <c r="L2646" s="1" t="s">
        <v>2</v>
      </c>
      <c r="M2646" s="1" t="s">
        <v>2</v>
      </c>
      <c r="O2646" s="2"/>
      <c r="P2646" s="2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</row>
    <row r="2647" spans="1:32" s="1" customFormat="1" ht="20.25" customHeight="1" x14ac:dyDescent="0.25">
      <c r="A2647" s="2"/>
      <c r="B2647" s="2"/>
      <c r="C2647" s="2"/>
      <c r="D2647" s="2">
        <f>COUNTIF(contact[[#This Row],[Bagossy]:[Szo
03:00 - 10:00]],"=~?")</f>
        <v>0</v>
      </c>
      <c r="E2647" s="2">
        <f>COUNTIF(contact[[#This Row],[Bagossy]:[Szo
03:00 - 10:00]],"=x")</f>
        <v>0</v>
      </c>
      <c r="F2647" s="2">
        <f>SUM(contact[[#This Row],[?]:[x]])</f>
        <v>0</v>
      </c>
      <c r="G26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7" s="3" t="s">
        <v>2359</v>
      </c>
      <c r="K2647" s="1" t="s">
        <v>260</v>
      </c>
      <c r="L2647" s="1" t="s">
        <v>2</v>
      </c>
      <c r="M2647" s="1" t="s">
        <v>2</v>
      </c>
      <c r="O2647" s="2"/>
      <c r="P2647" s="2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</row>
    <row r="2648" spans="1:32" s="1" customFormat="1" ht="20.25" customHeight="1" x14ac:dyDescent="0.25">
      <c r="A2648" s="2"/>
      <c r="B2648" s="2"/>
      <c r="C2648" s="2"/>
      <c r="D2648" s="2">
        <f>COUNTIF(contact[[#This Row],[Bagossy]:[Szo
03:00 - 10:00]],"=~?")</f>
        <v>0</v>
      </c>
      <c r="E2648" s="2">
        <f>COUNTIF(contact[[#This Row],[Bagossy]:[Szo
03:00 - 10:00]],"=x")</f>
        <v>0</v>
      </c>
      <c r="F2648" s="2">
        <f>SUM(contact[[#This Row],[?]:[x]])</f>
        <v>0</v>
      </c>
      <c r="G26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8" s="3" t="s">
        <v>3322</v>
      </c>
      <c r="K2648" s="1" t="s">
        <v>2</v>
      </c>
      <c r="L2648" s="1" t="s">
        <v>2</v>
      </c>
      <c r="M2648" s="1" t="s">
        <v>2</v>
      </c>
      <c r="O2648" s="2"/>
      <c r="P2648" s="2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</row>
    <row r="2649" spans="1:32" s="1" customFormat="1" ht="20.25" customHeight="1" x14ac:dyDescent="0.25">
      <c r="A2649" s="2"/>
      <c r="B2649" s="2"/>
      <c r="C2649" s="2"/>
      <c r="D2649" s="2">
        <f>COUNTIF(contact[[#This Row],[Bagossy]:[Szo
03:00 - 10:00]],"=~?")</f>
        <v>0</v>
      </c>
      <c r="E2649" s="2">
        <f>COUNTIF(contact[[#This Row],[Bagossy]:[Szo
03:00 - 10:00]],"=x")</f>
        <v>0</v>
      </c>
      <c r="F2649" s="2">
        <f>SUM(contact[[#This Row],[?]:[x]])</f>
        <v>0</v>
      </c>
      <c r="G26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49" s="3" t="s">
        <v>2010</v>
      </c>
      <c r="K2649" s="1" t="s">
        <v>1313</v>
      </c>
      <c r="L2649" s="1" t="s">
        <v>2</v>
      </c>
      <c r="M2649" s="1" t="s">
        <v>2</v>
      </c>
      <c r="O2649" s="2"/>
      <c r="P2649" s="2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</row>
    <row r="2650" spans="1:32" s="1" customFormat="1" ht="20.25" customHeight="1" x14ac:dyDescent="0.25">
      <c r="A2650" s="2" t="s">
        <v>1285</v>
      </c>
      <c r="B2650" s="2" t="s">
        <v>1285</v>
      </c>
      <c r="C2650" s="2" t="s">
        <v>1285</v>
      </c>
      <c r="D2650" s="2">
        <f>COUNTIF(contact[[#This Row],[Bagossy]:[Szo
03:00 - 10:00]],"=~?")</f>
        <v>0</v>
      </c>
      <c r="E2650" s="2">
        <f>COUNTIF(contact[[#This Row],[Bagossy]:[Szo
03:00 - 10:00]],"=x")</f>
        <v>1</v>
      </c>
      <c r="F2650" s="2">
        <f>SUM(contact[[#This Row],[?]:[x]])</f>
        <v>1</v>
      </c>
      <c r="G26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I2650" s="2"/>
      <c r="J2650" s="3" t="s">
        <v>4239</v>
      </c>
      <c r="K2650" s="1" t="s">
        <v>243</v>
      </c>
      <c r="L2650" s="1" t="s">
        <v>2</v>
      </c>
      <c r="M2650" s="1" t="s">
        <v>2</v>
      </c>
      <c r="N2650" s="2" t="s">
        <v>4612</v>
      </c>
      <c r="O2650" s="2"/>
      <c r="P2650" s="2"/>
      <c r="Q2650" s="6"/>
      <c r="R2650" s="6"/>
      <c r="S2650" s="6"/>
      <c r="T2650" s="6"/>
      <c r="U2650" s="6"/>
      <c r="V2650" s="6"/>
      <c r="W2650" s="6" t="s">
        <v>1285</v>
      </c>
      <c r="X2650" s="6"/>
      <c r="Y2650" s="6"/>
      <c r="Z2650" s="6"/>
      <c r="AA2650" s="6"/>
      <c r="AB2650" s="6"/>
      <c r="AC2650" s="6"/>
      <c r="AD2650" s="6"/>
      <c r="AE2650" s="6"/>
      <c r="AF2650" s="6"/>
    </row>
    <row r="2651" spans="1:32" s="1" customFormat="1" ht="20.25" customHeight="1" x14ac:dyDescent="0.25">
      <c r="A2651" s="2"/>
      <c r="B2651" s="2"/>
      <c r="C2651" s="2"/>
      <c r="D2651" s="2">
        <f>COUNTIF(contact[[#This Row],[Bagossy]:[Szo
03:00 - 10:00]],"=~?")</f>
        <v>0</v>
      </c>
      <c r="E2651" s="2">
        <f>COUNTIF(contact[[#This Row],[Bagossy]:[Szo
03:00 - 10:00]],"=x")</f>
        <v>0</v>
      </c>
      <c r="F2651" s="2">
        <f>SUM(contact[[#This Row],[?]:[x]])</f>
        <v>0</v>
      </c>
      <c r="G26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51" s="3" t="s">
        <v>2953</v>
      </c>
      <c r="K2651" s="1" t="s">
        <v>576</v>
      </c>
      <c r="L2651" s="1" t="s">
        <v>2</v>
      </c>
      <c r="M2651" s="1" t="s">
        <v>2</v>
      </c>
      <c r="O2651" s="2"/>
      <c r="P2651" s="2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</row>
    <row r="2652" spans="1:32" s="1" customFormat="1" ht="20.25" customHeight="1" x14ac:dyDescent="0.25">
      <c r="A2652" s="2"/>
      <c r="B2652" s="2"/>
      <c r="C2652" s="2"/>
      <c r="D2652" s="2">
        <f>COUNTIF(contact[[#This Row],[Bagossy]:[Szo
03:00 - 10:00]],"=~?")</f>
        <v>0</v>
      </c>
      <c r="E2652" s="2">
        <f>COUNTIF(contact[[#This Row],[Bagossy]:[Szo
03:00 - 10:00]],"=x")</f>
        <v>0</v>
      </c>
      <c r="F2652" s="2">
        <f>SUM(contact[[#This Row],[?]:[x]])</f>
        <v>0</v>
      </c>
      <c r="G26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52" s="2"/>
      <c r="I2652" s="2"/>
      <c r="J2652" s="3" t="s">
        <v>4240</v>
      </c>
      <c r="K2652" s="1" t="s">
        <v>779</v>
      </c>
      <c r="L2652" s="1" t="s">
        <v>2</v>
      </c>
      <c r="M2652" s="1" t="s">
        <v>2</v>
      </c>
      <c r="O2652" s="2"/>
      <c r="P2652" s="2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</row>
    <row r="2653" spans="1:32" s="1" customFormat="1" ht="20.25" customHeight="1" x14ac:dyDescent="0.25">
      <c r="A2653" s="2"/>
      <c r="B2653" s="2"/>
      <c r="C2653" s="2"/>
      <c r="D2653" s="2">
        <f>COUNTIF(contact[[#This Row],[Bagossy]:[Szo
03:00 - 10:00]],"=~?")</f>
        <v>0</v>
      </c>
      <c r="E2653" s="2">
        <f>COUNTIF(contact[[#This Row],[Bagossy]:[Szo
03:00 - 10:00]],"=x")</f>
        <v>0</v>
      </c>
      <c r="F2653" s="2">
        <f>SUM(contact[[#This Row],[?]:[x]])</f>
        <v>0</v>
      </c>
      <c r="G26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53" s="3" t="s">
        <v>4117</v>
      </c>
      <c r="K2653" s="1" t="s">
        <v>1792</v>
      </c>
      <c r="L2653" s="1" t="s">
        <v>250</v>
      </c>
      <c r="M2653" s="1" t="s">
        <v>1105</v>
      </c>
      <c r="O2653" s="2"/>
      <c r="P2653" s="2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</row>
    <row r="2654" spans="1:32" s="1" customFormat="1" ht="20.25" customHeight="1" x14ac:dyDescent="0.25">
      <c r="A2654" s="2"/>
      <c r="B2654" s="2"/>
      <c r="C2654" s="2"/>
      <c r="D2654" s="2">
        <f>COUNTIF(contact[[#This Row],[Bagossy]:[Szo
03:00 - 10:00]],"=~?")</f>
        <v>0</v>
      </c>
      <c r="E2654" s="2">
        <f>COUNTIF(contact[[#This Row],[Bagossy]:[Szo
03:00 - 10:00]],"=x")</f>
        <v>0</v>
      </c>
      <c r="F2654" s="2">
        <f>SUM(contact[[#This Row],[?]:[x]])</f>
        <v>0</v>
      </c>
      <c r="G26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54" s="3" t="s">
        <v>4248</v>
      </c>
      <c r="K2654" s="1" t="s">
        <v>1293</v>
      </c>
      <c r="L2654" s="1" t="s">
        <v>2</v>
      </c>
      <c r="M2654" s="1" t="s">
        <v>2</v>
      </c>
      <c r="O2654" s="2"/>
      <c r="P2654" s="2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</row>
    <row r="2655" spans="1:32" s="1" customFormat="1" ht="20.25" customHeight="1" x14ac:dyDescent="0.25">
      <c r="A2655" s="2"/>
      <c r="B2655" s="2"/>
      <c r="C2655" s="2"/>
      <c r="D2655" s="2">
        <f>COUNTIF(contact[[#This Row],[Bagossy]:[Szo
03:00 - 10:00]],"=~?")</f>
        <v>0</v>
      </c>
      <c r="E2655" s="2">
        <f>COUNTIF(contact[[#This Row],[Bagossy]:[Szo
03:00 - 10:00]],"=x")</f>
        <v>0</v>
      </c>
      <c r="F2655" s="2">
        <f>SUM(contact[[#This Row],[?]:[x]])</f>
        <v>0</v>
      </c>
      <c r="G26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55" s="2"/>
      <c r="I2655" s="2"/>
      <c r="J2655" s="3" t="s">
        <v>4244</v>
      </c>
      <c r="K2655" s="1" t="s">
        <v>99</v>
      </c>
      <c r="L2655" s="1" t="s">
        <v>2</v>
      </c>
      <c r="M2655" s="1" t="s">
        <v>2</v>
      </c>
      <c r="O2655" s="2"/>
      <c r="P2655" s="2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</row>
    <row r="2656" spans="1:32" s="1" customFormat="1" ht="20.25" customHeight="1" x14ac:dyDescent="0.25">
      <c r="A2656" s="2"/>
      <c r="B2656" s="2"/>
      <c r="C2656" s="2"/>
      <c r="D2656" s="2">
        <f>COUNTIF(contact[[#This Row],[Bagossy]:[Szo
03:00 - 10:00]],"=~?")</f>
        <v>0</v>
      </c>
      <c r="E2656" s="2">
        <f>COUNTIF(contact[[#This Row],[Bagossy]:[Szo
03:00 - 10:00]],"=x")</f>
        <v>0</v>
      </c>
      <c r="F2656" s="2">
        <f>SUM(contact[[#This Row],[?]:[x]])</f>
        <v>0</v>
      </c>
      <c r="G26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56" s="3" t="s">
        <v>3907</v>
      </c>
      <c r="K2656" s="1" t="s">
        <v>2</v>
      </c>
      <c r="L2656" s="1" t="s">
        <v>2</v>
      </c>
      <c r="M2656" s="1" t="s">
        <v>2</v>
      </c>
      <c r="O2656" s="2"/>
      <c r="P2656" s="2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</row>
    <row r="2657" spans="1:32" s="1" customFormat="1" ht="20.25" customHeight="1" x14ac:dyDescent="0.25">
      <c r="A2657" s="2"/>
      <c r="B2657" s="2"/>
      <c r="C2657" s="2"/>
      <c r="D2657" s="2">
        <f>COUNTIF(contact[[#This Row],[Bagossy]:[Szo
03:00 - 10:00]],"=~?")</f>
        <v>0</v>
      </c>
      <c r="E2657" s="2">
        <f>COUNTIF(contact[[#This Row],[Bagossy]:[Szo
03:00 - 10:00]],"=x")</f>
        <v>0</v>
      </c>
      <c r="F2657" s="2">
        <f>SUM(contact[[#This Row],[?]:[x]])</f>
        <v>0</v>
      </c>
      <c r="G26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57" s="3" t="s">
        <v>3908</v>
      </c>
      <c r="K2657" s="1" t="s">
        <v>2</v>
      </c>
      <c r="L2657" s="1" t="s">
        <v>2</v>
      </c>
      <c r="M2657" s="1" t="s">
        <v>2</v>
      </c>
      <c r="O2657" s="2"/>
      <c r="P2657" s="2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</row>
    <row r="2658" spans="1:32" s="1" customFormat="1" ht="20.25" customHeight="1" x14ac:dyDescent="0.25">
      <c r="A2658" s="2"/>
      <c r="B2658" s="2"/>
      <c r="C2658" s="2" t="s">
        <v>1285</v>
      </c>
      <c r="D2658" s="2">
        <f>COUNTIF(contact[[#This Row],[Bagossy]:[Szo
03:00 - 10:00]],"=~?")</f>
        <v>0</v>
      </c>
      <c r="E2658" s="2">
        <f>COUNTIF(contact[[#This Row],[Bagossy]:[Szo
03:00 - 10:00]],"=x")</f>
        <v>0</v>
      </c>
      <c r="F2658" s="2">
        <f>SUM(contact[[#This Row],[?]:[x]])</f>
        <v>0</v>
      </c>
      <c r="G26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58" s="2"/>
      <c r="I2658" s="2"/>
      <c r="J2658" s="3" t="s">
        <v>4246</v>
      </c>
      <c r="K2658" s="1" t="s">
        <v>145</v>
      </c>
      <c r="L2658" s="1" t="s">
        <v>2</v>
      </c>
      <c r="M2658" s="1" t="s">
        <v>2</v>
      </c>
      <c r="O2658" s="2"/>
      <c r="P2658" s="2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</row>
    <row r="2659" spans="1:32" s="1" customFormat="1" ht="20.25" customHeight="1" x14ac:dyDescent="0.25">
      <c r="A2659" s="2"/>
      <c r="B2659" s="2"/>
      <c r="C2659" s="2" t="s">
        <v>1285</v>
      </c>
      <c r="D2659" s="2">
        <f>COUNTIF(contact[[#This Row],[Bagossy]:[Szo
03:00 - 10:00]],"=~?")</f>
        <v>0</v>
      </c>
      <c r="E2659" s="2">
        <f>COUNTIF(contact[[#This Row],[Bagossy]:[Szo
03:00 - 10:00]],"=x")</f>
        <v>0</v>
      </c>
      <c r="F2659" s="2">
        <f>SUM(contact[[#This Row],[?]:[x]])</f>
        <v>0</v>
      </c>
      <c r="G26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59" s="2"/>
      <c r="I2659" s="2"/>
      <c r="J2659" s="3" t="s">
        <v>4247</v>
      </c>
      <c r="K2659" s="1" t="s">
        <v>145</v>
      </c>
      <c r="L2659" s="1" t="s">
        <v>2</v>
      </c>
      <c r="M2659" s="1" t="s">
        <v>2</v>
      </c>
      <c r="O2659" s="2"/>
      <c r="P2659" s="2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</row>
    <row r="2660" spans="1:32" s="1" customFormat="1" ht="20.25" customHeight="1" x14ac:dyDescent="0.25">
      <c r="A2660" s="2"/>
      <c r="B2660" s="2"/>
      <c r="C2660" s="2"/>
      <c r="D2660" s="2">
        <f>COUNTIF(contact[[#This Row],[Bagossy]:[Szo
03:00 - 10:00]],"=~?")</f>
        <v>0</v>
      </c>
      <c r="E2660" s="2">
        <f>COUNTIF(contact[[#This Row],[Bagossy]:[Szo
03:00 - 10:00]],"=x")</f>
        <v>0</v>
      </c>
      <c r="F2660" s="2">
        <f>SUM(contact[[#This Row],[?]:[x]])</f>
        <v>0</v>
      </c>
      <c r="G26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0" s="3" t="s">
        <v>3405</v>
      </c>
      <c r="K2660" s="1" t="s">
        <v>2</v>
      </c>
      <c r="L2660" s="1" t="s">
        <v>45</v>
      </c>
      <c r="M2660" s="1" t="s">
        <v>782</v>
      </c>
      <c r="O2660" s="2"/>
      <c r="P2660" s="2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</row>
    <row r="2661" spans="1:32" s="1" customFormat="1" ht="20.25" customHeight="1" x14ac:dyDescent="0.25">
      <c r="A2661" s="2"/>
      <c r="B2661" s="2"/>
      <c r="C2661" s="2"/>
      <c r="D2661" s="2">
        <f>COUNTIF(contact[[#This Row],[Bagossy]:[Szo
03:00 - 10:00]],"=~?")</f>
        <v>0</v>
      </c>
      <c r="E2661" s="2">
        <f>COUNTIF(contact[[#This Row],[Bagossy]:[Szo
03:00 - 10:00]],"=x")</f>
        <v>0</v>
      </c>
      <c r="F2661" s="2">
        <f>SUM(contact[[#This Row],[?]:[x]])</f>
        <v>0</v>
      </c>
      <c r="G26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1" s="3" t="s">
        <v>4563</v>
      </c>
      <c r="K2661" s="1" t="s">
        <v>405</v>
      </c>
      <c r="L2661" s="1" t="s">
        <v>2</v>
      </c>
      <c r="M2661" s="1" t="s">
        <v>2</v>
      </c>
      <c r="O2661" s="2"/>
      <c r="P2661" s="2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</row>
    <row r="2662" spans="1:32" s="1" customFormat="1" ht="20.25" customHeight="1" x14ac:dyDescent="0.25">
      <c r="A2662" s="2"/>
      <c r="B2662" s="2"/>
      <c r="C2662" s="2"/>
      <c r="D2662" s="2">
        <f>COUNTIF(contact[[#This Row],[Bagossy]:[Szo
03:00 - 10:00]],"=~?")</f>
        <v>0</v>
      </c>
      <c r="E2662" s="2">
        <f>COUNTIF(contact[[#This Row],[Bagossy]:[Szo
03:00 - 10:00]],"=x")</f>
        <v>0</v>
      </c>
      <c r="F2662" s="2">
        <f>SUM(contact[[#This Row],[?]:[x]])</f>
        <v>0</v>
      </c>
      <c r="G26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2" s="3" t="s">
        <v>4564</v>
      </c>
      <c r="K2662" s="1" t="s">
        <v>1893</v>
      </c>
      <c r="L2662" s="1" t="s">
        <v>2</v>
      </c>
      <c r="M2662" s="1" t="s">
        <v>2</v>
      </c>
      <c r="O2662" s="2"/>
      <c r="P2662" s="2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</row>
    <row r="2663" spans="1:32" s="1" customFormat="1" ht="20.25" customHeight="1" x14ac:dyDescent="0.25">
      <c r="A2663" s="2"/>
      <c r="B2663" s="2"/>
      <c r="C2663" s="2"/>
      <c r="D2663" s="2">
        <f>COUNTIF(contact[[#This Row],[Bagossy]:[Szo
03:00 - 10:00]],"=~?")</f>
        <v>0</v>
      </c>
      <c r="E2663" s="2">
        <f>COUNTIF(contact[[#This Row],[Bagossy]:[Szo
03:00 - 10:00]],"=x")</f>
        <v>0</v>
      </c>
      <c r="F2663" s="2">
        <f>SUM(contact[[#This Row],[?]:[x]])</f>
        <v>0</v>
      </c>
      <c r="G26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63" s="2"/>
      <c r="I2663" s="2"/>
      <c r="J2663" s="3" t="s">
        <v>4253</v>
      </c>
      <c r="K2663" s="1" t="s">
        <v>243</v>
      </c>
      <c r="L2663" s="1" t="s">
        <v>2</v>
      </c>
      <c r="M2663" s="1" t="s">
        <v>2</v>
      </c>
      <c r="O2663" s="2"/>
      <c r="P2663" s="2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</row>
    <row r="2664" spans="1:32" s="1" customFormat="1" ht="20.25" customHeight="1" x14ac:dyDescent="0.25">
      <c r="A2664" s="2"/>
      <c r="B2664" s="2"/>
      <c r="C2664" s="2"/>
      <c r="D2664" s="2">
        <f>COUNTIF(contact[[#This Row],[Bagossy]:[Szo
03:00 - 10:00]],"=~?")</f>
        <v>0</v>
      </c>
      <c r="E2664" s="2">
        <f>COUNTIF(contact[[#This Row],[Bagossy]:[Szo
03:00 - 10:00]],"=x")</f>
        <v>0</v>
      </c>
      <c r="F2664" s="2">
        <f>SUM(contact[[#This Row],[?]:[x]])</f>
        <v>0</v>
      </c>
      <c r="G26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4" s="3" t="s">
        <v>2274</v>
      </c>
      <c r="K2664" s="1" t="s">
        <v>222</v>
      </c>
      <c r="L2664" s="1" t="s">
        <v>2</v>
      </c>
      <c r="M2664" s="1" t="s">
        <v>2</v>
      </c>
      <c r="O2664" s="2"/>
      <c r="P2664" s="2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</row>
    <row r="2665" spans="1:32" s="1" customFormat="1" ht="20.25" customHeight="1" x14ac:dyDescent="0.25">
      <c r="A2665" s="2"/>
      <c r="B2665" s="2"/>
      <c r="C2665" s="2"/>
      <c r="D2665" s="2">
        <f>COUNTIF(contact[[#This Row],[Bagossy]:[Szo
03:00 - 10:00]],"=~?")</f>
        <v>0</v>
      </c>
      <c r="E2665" s="2">
        <f>COUNTIF(contact[[#This Row],[Bagossy]:[Szo
03:00 - 10:00]],"=x")</f>
        <v>0</v>
      </c>
      <c r="F2665" s="2">
        <f>SUM(contact[[#This Row],[?]:[x]])</f>
        <v>0</v>
      </c>
      <c r="G26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5" s="3" t="s">
        <v>4249</v>
      </c>
      <c r="K2665" s="1" t="s">
        <v>1156</v>
      </c>
      <c r="L2665" s="1" t="s">
        <v>2</v>
      </c>
      <c r="M2665" s="1" t="s">
        <v>2</v>
      </c>
      <c r="O2665" s="2"/>
      <c r="P2665" s="2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</row>
    <row r="2666" spans="1:32" s="1" customFormat="1" ht="20.25" customHeight="1" x14ac:dyDescent="0.25">
      <c r="A2666" s="2"/>
      <c r="B2666" s="2"/>
      <c r="C2666" s="2"/>
      <c r="D2666" s="2">
        <f>COUNTIF(contact[[#This Row],[Bagossy]:[Szo
03:00 - 10:00]],"=~?")</f>
        <v>0</v>
      </c>
      <c r="E2666" s="2">
        <f>COUNTIF(contact[[#This Row],[Bagossy]:[Szo
03:00 - 10:00]],"=x")</f>
        <v>0</v>
      </c>
      <c r="F2666" s="2">
        <f>SUM(contact[[#This Row],[?]:[x]])</f>
        <v>0</v>
      </c>
      <c r="G26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6" s="3" t="s">
        <v>3361</v>
      </c>
      <c r="K2666" s="1" t="s">
        <v>1621</v>
      </c>
      <c r="L2666" s="1" t="s">
        <v>2</v>
      </c>
      <c r="M2666" s="1" t="s">
        <v>2</v>
      </c>
      <c r="O2666" s="2"/>
      <c r="P2666" s="2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</row>
    <row r="2667" spans="1:32" s="1" customFormat="1" ht="20.25" customHeight="1" x14ac:dyDescent="0.25">
      <c r="A2667" s="2"/>
      <c r="B2667" s="2"/>
      <c r="C2667" s="2"/>
      <c r="D2667" s="2">
        <f>COUNTIF(contact[[#This Row],[Bagossy]:[Szo
03:00 - 10:00]],"=~?")</f>
        <v>0</v>
      </c>
      <c r="E2667" s="2">
        <f>COUNTIF(contact[[#This Row],[Bagossy]:[Szo
03:00 - 10:00]],"=x")</f>
        <v>0</v>
      </c>
      <c r="F2667" s="2">
        <f>SUM(contact[[#This Row],[?]:[x]])</f>
        <v>0</v>
      </c>
      <c r="G26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7" s="3" t="s">
        <v>2031</v>
      </c>
      <c r="K2667" s="1" t="s">
        <v>75</v>
      </c>
      <c r="L2667" s="1" t="s">
        <v>2</v>
      </c>
      <c r="M2667" s="1" t="s">
        <v>2</v>
      </c>
      <c r="O2667" s="2"/>
      <c r="P2667" s="2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</row>
    <row r="2668" spans="1:32" s="1" customFormat="1" ht="20.25" customHeight="1" x14ac:dyDescent="0.25">
      <c r="A2668" s="2"/>
      <c r="B2668" s="2"/>
      <c r="C2668" s="2"/>
      <c r="D2668" s="2">
        <f>COUNTIF(contact[[#This Row],[Bagossy]:[Szo
03:00 - 10:00]],"=~?")</f>
        <v>0</v>
      </c>
      <c r="E2668" s="2">
        <f>COUNTIF(contact[[#This Row],[Bagossy]:[Szo
03:00 - 10:00]],"=x")</f>
        <v>0</v>
      </c>
      <c r="F2668" s="2">
        <f>SUM(contact[[#This Row],[?]:[x]])</f>
        <v>0</v>
      </c>
      <c r="G26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8" s="3" t="s">
        <v>2643</v>
      </c>
      <c r="K2668" s="1" t="s">
        <v>2</v>
      </c>
      <c r="L2668" s="1" t="s">
        <v>2</v>
      </c>
      <c r="M2668" s="1" t="s">
        <v>2</v>
      </c>
      <c r="O2668" s="2"/>
      <c r="P2668" s="2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</row>
    <row r="2669" spans="1:32" s="1" customFormat="1" ht="20.25" customHeight="1" x14ac:dyDescent="0.25">
      <c r="A2669" s="2"/>
      <c r="B2669" s="2"/>
      <c r="C2669" s="2"/>
      <c r="D2669" s="2">
        <f>COUNTIF(contact[[#This Row],[Bagossy]:[Szo
03:00 - 10:00]],"=~?")</f>
        <v>0</v>
      </c>
      <c r="E2669" s="2">
        <f>COUNTIF(contact[[#This Row],[Bagossy]:[Szo
03:00 - 10:00]],"=x")</f>
        <v>0</v>
      </c>
      <c r="F2669" s="2">
        <f>SUM(contact[[#This Row],[?]:[x]])</f>
        <v>0</v>
      </c>
      <c r="G26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69" s="3" t="s">
        <v>4147</v>
      </c>
      <c r="K2669" s="1" t="s">
        <v>2</v>
      </c>
      <c r="L2669" s="1" t="s">
        <v>2</v>
      </c>
      <c r="M2669" s="1" t="s">
        <v>2</v>
      </c>
      <c r="O2669" s="2"/>
      <c r="P2669" s="2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</row>
    <row r="2670" spans="1:32" s="1" customFormat="1" ht="20.25" customHeight="1" x14ac:dyDescent="0.25">
      <c r="A2670" s="2"/>
      <c r="B2670" s="2"/>
      <c r="C2670" s="2"/>
      <c r="D2670" s="2">
        <f>COUNTIF(contact[[#This Row],[Bagossy]:[Szo
03:00 - 10:00]],"=~?")</f>
        <v>0</v>
      </c>
      <c r="E2670" s="2">
        <f>COUNTIF(contact[[#This Row],[Bagossy]:[Szo
03:00 - 10:00]],"=x")</f>
        <v>0</v>
      </c>
      <c r="F2670" s="2">
        <f>SUM(contact[[#This Row],[?]:[x]])</f>
        <v>0</v>
      </c>
      <c r="G26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0" s="3" t="s">
        <v>2155</v>
      </c>
      <c r="K2670" s="1" t="s">
        <v>2</v>
      </c>
      <c r="L2670" s="1" t="s">
        <v>2</v>
      </c>
      <c r="M2670" s="1" t="s">
        <v>2</v>
      </c>
      <c r="O2670" s="2"/>
      <c r="P2670" s="2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</row>
    <row r="2671" spans="1:32" s="1" customFormat="1" ht="20.25" customHeight="1" x14ac:dyDescent="0.25">
      <c r="A2671" s="2"/>
      <c r="B2671" s="2"/>
      <c r="C2671" s="2"/>
      <c r="D2671" s="2">
        <f>COUNTIF(contact[[#This Row],[Bagossy]:[Szo
03:00 - 10:00]],"=~?")</f>
        <v>0</v>
      </c>
      <c r="E2671" s="2">
        <f>COUNTIF(contact[[#This Row],[Bagossy]:[Szo
03:00 - 10:00]],"=x")</f>
        <v>0</v>
      </c>
      <c r="F2671" s="2">
        <f>SUM(contact[[#This Row],[?]:[x]])</f>
        <v>0</v>
      </c>
      <c r="G26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71" s="2"/>
      <c r="I2671" s="2"/>
      <c r="J2671" s="3" t="s">
        <v>4255</v>
      </c>
      <c r="K2671" s="1" t="s">
        <v>1823</v>
      </c>
      <c r="L2671" s="1" t="s">
        <v>2</v>
      </c>
      <c r="M2671" s="1" t="s">
        <v>2</v>
      </c>
      <c r="O2671" s="2"/>
      <c r="P2671" s="2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</row>
    <row r="2672" spans="1:32" s="1" customFormat="1" ht="20.25" customHeight="1" x14ac:dyDescent="0.25">
      <c r="A2672" s="2"/>
      <c r="B2672" s="2"/>
      <c r="C2672" s="2"/>
      <c r="D2672" s="2">
        <f>COUNTIF(contact[[#This Row],[Bagossy]:[Szo
03:00 - 10:00]],"=~?")</f>
        <v>0</v>
      </c>
      <c r="E2672" s="2">
        <f>COUNTIF(contact[[#This Row],[Bagossy]:[Szo
03:00 - 10:00]],"=x")</f>
        <v>0</v>
      </c>
      <c r="F2672" s="2">
        <f>SUM(contact[[#This Row],[?]:[x]])</f>
        <v>0</v>
      </c>
      <c r="G26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2" s="3" t="s">
        <v>1914</v>
      </c>
      <c r="K2672" s="1" t="s">
        <v>1290</v>
      </c>
      <c r="L2672" s="1" t="s">
        <v>2</v>
      </c>
      <c r="M2672" s="1" t="s">
        <v>2</v>
      </c>
      <c r="O2672" s="2"/>
      <c r="P2672" s="2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</row>
    <row r="2673" spans="1:32" s="1" customFormat="1" ht="20.25" customHeight="1" x14ac:dyDescent="0.25">
      <c r="A2673" s="2" t="s">
        <v>1285</v>
      </c>
      <c r="B2673" s="2" t="s">
        <v>1285</v>
      </c>
      <c r="C2673" s="2" t="s">
        <v>1285</v>
      </c>
      <c r="D2673" s="2">
        <f>COUNTIF(contact[[#This Row],[Bagossy]:[Szo
03:00 - 10:00]],"=~?")</f>
        <v>0</v>
      </c>
      <c r="E2673" s="2">
        <f>COUNTIF(contact[[#This Row],[Bagossy]:[Szo
03:00 - 10:00]],"=x")</f>
        <v>0</v>
      </c>
      <c r="F2673" s="2">
        <f>SUM(contact[[#This Row],[?]:[x]])</f>
        <v>0</v>
      </c>
      <c r="G26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73" s="2" t="s">
        <v>4622</v>
      </c>
      <c r="I2673" s="2"/>
      <c r="J2673" s="3" t="s">
        <v>950</v>
      </c>
      <c r="K2673" s="1" t="s">
        <v>1329</v>
      </c>
      <c r="L2673" s="1" t="s">
        <v>2</v>
      </c>
      <c r="M2673" s="1" t="s">
        <v>2</v>
      </c>
      <c r="N2673" s="2" t="s">
        <v>4612</v>
      </c>
      <c r="O2673" s="2"/>
      <c r="P2673" s="2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</row>
    <row r="2674" spans="1:32" s="1" customFormat="1" ht="20.25" customHeight="1" x14ac:dyDescent="0.25">
      <c r="A2674" s="2"/>
      <c r="B2674" s="2"/>
      <c r="C2674" s="2"/>
      <c r="D2674" s="2">
        <f>COUNTIF(contact[[#This Row],[Bagossy]:[Szo
03:00 - 10:00]],"=~?")</f>
        <v>0</v>
      </c>
      <c r="E2674" s="2">
        <f>COUNTIF(contact[[#This Row],[Bagossy]:[Szo
03:00 - 10:00]],"=x")</f>
        <v>0</v>
      </c>
      <c r="F2674" s="2">
        <f>SUM(contact[[#This Row],[?]:[x]])</f>
        <v>0</v>
      </c>
      <c r="G26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4" s="3" t="s">
        <v>2067</v>
      </c>
      <c r="K2674" s="1" t="s">
        <v>1327</v>
      </c>
      <c r="L2674" s="1" t="s">
        <v>2</v>
      </c>
      <c r="M2674" s="1" t="s">
        <v>2</v>
      </c>
      <c r="O2674" s="2"/>
      <c r="P2674" s="2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</row>
    <row r="2675" spans="1:32" s="1" customFormat="1" ht="20.25" customHeight="1" x14ac:dyDescent="0.25">
      <c r="A2675" s="2"/>
      <c r="B2675" s="2"/>
      <c r="C2675" s="2"/>
      <c r="D2675" s="2">
        <f>COUNTIF(contact[[#This Row],[Bagossy]:[Szo
03:00 - 10:00]],"=~?")</f>
        <v>0</v>
      </c>
      <c r="E2675" s="2">
        <f>COUNTIF(contact[[#This Row],[Bagossy]:[Szo
03:00 - 10:00]],"=x")</f>
        <v>0</v>
      </c>
      <c r="F2675" s="2">
        <f>SUM(contact[[#This Row],[?]:[x]])</f>
        <v>0</v>
      </c>
      <c r="G26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5" s="3" t="s">
        <v>2140</v>
      </c>
      <c r="K2675" s="1" t="s">
        <v>132</v>
      </c>
      <c r="L2675" s="1" t="s">
        <v>2</v>
      </c>
      <c r="M2675" s="1" t="s">
        <v>2</v>
      </c>
      <c r="O2675" s="2"/>
      <c r="P2675" s="2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</row>
    <row r="2676" spans="1:32" s="1" customFormat="1" ht="20.25" customHeight="1" x14ac:dyDescent="0.25">
      <c r="A2676" s="2"/>
      <c r="B2676" s="2"/>
      <c r="C2676" s="2"/>
      <c r="D2676" s="2">
        <f>COUNTIF(contact[[#This Row],[Bagossy]:[Szo
03:00 - 10:00]],"=~?")</f>
        <v>0</v>
      </c>
      <c r="E2676" s="2">
        <f>COUNTIF(contact[[#This Row],[Bagossy]:[Szo
03:00 - 10:00]],"=x")</f>
        <v>0</v>
      </c>
      <c r="F2676" s="2">
        <f>SUM(contact[[#This Row],[?]:[x]])</f>
        <v>0</v>
      </c>
      <c r="G26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6" s="3" t="s">
        <v>2372</v>
      </c>
      <c r="K2676" s="1" t="s">
        <v>2</v>
      </c>
      <c r="L2676" s="1" t="s">
        <v>2</v>
      </c>
      <c r="M2676" s="1" t="s">
        <v>2</v>
      </c>
      <c r="O2676" s="2"/>
      <c r="P2676" s="2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</row>
    <row r="2677" spans="1:32" s="1" customFormat="1" ht="20.25" customHeight="1" x14ac:dyDescent="0.25">
      <c r="A2677" s="2"/>
      <c r="B2677" s="2"/>
      <c r="C2677" s="2"/>
      <c r="D2677" s="2">
        <f>COUNTIF(contact[[#This Row],[Bagossy]:[Szo
03:00 - 10:00]],"=~?")</f>
        <v>0</v>
      </c>
      <c r="E2677" s="2">
        <f>COUNTIF(contact[[#This Row],[Bagossy]:[Szo
03:00 - 10:00]],"=x")</f>
        <v>0</v>
      </c>
      <c r="F2677" s="2">
        <f>SUM(contact[[#This Row],[?]:[x]])</f>
        <v>0</v>
      </c>
      <c r="G26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7" s="3" t="s">
        <v>2607</v>
      </c>
      <c r="K2677" s="1" t="s">
        <v>1454</v>
      </c>
      <c r="L2677" s="1" t="s">
        <v>2</v>
      </c>
      <c r="M2677" s="1" t="s">
        <v>2</v>
      </c>
      <c r="O2677" s="2"/>
      <c r="P2677" s="2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</row>
    <row r="2678" spans="1:32" s="1" customFormat="1" ht="20.25" customHeight="1" x14ac:dyDescent="0.25">
      <c r="A2678" s="2"/>
      <c r="B2678" s="2"/>
      <c r="C2678" s="2"/>
      <c r="D2678" s="2">
        <f>COUNTIF(contact[[#This Row],[Bagossy]:[Szo
03:00 - 10:00]],"=~?")</f>
        <v>0</v>
      </c>
      <c r="E2678" s="2">
        <f>COUNTIF(contact[[#This Row],[Bagossy]:[Szo
03:00 - 10:00]],"=x")</f>
        <v>0</v>
      </c>
      <c r="F2678" s="2">
        <f>SUM(contact[[#This Row],[?]:[x]])</f>
        <v>0</v>
      </c>
      <c r="G26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8" s="3" t="s">
        <v>2684</v>
      </c>
      <c r="K2678" s="1" t="s">
        <v>2</v>
      </c>
      <c r="L2678" s="1" t="s">
        <v>2</v>
      </c>
      <c r="M2678" s="1" t="s">
        <v>2</v>
      </c>
      <c r="O2678" s="2"/>
      <c r="P2678" s="2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</row>
    <row r="2679" spans="1:32" s="1" customFormat="1" ht="20.25" customHeight="1" x14ac:dyDescent="0.25">
      <c r="A2679" s="2"/>
      <c r="B2679" s="2"/>
      <c r="C2679" s="2"/>
      <c r="D2679" s="2">
        <f>COUNTIF(contact[[#This Row],[Bagossy]:[Szo
03:00 - 10:00]],"=~?")</f>
        <v>0</v>
      </c>
      <c r="E2679" s="2">
        <f>COUNTIF(contact[[#This Row],[Bagossy]:[Szo
03:00 - 10:00]],"=x")</f>
        <v>0</v>
      </c>
      <c r="F2679" s="2">
        <f>SUM(contact[[#This Row],[?]:[x]])</f>
        <v>0</v>
      </c>
      <c r="G26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79" s="3" t="s">
        <v>2783</v>
      </c>
      <c r="K2679" s="1" t="s">
        <v>491</v>
      </c>
      <c r="L2679" s="1" t="s">
        <v>2</v>
      </c>
      <c r="M2679" s="1" t="s">
        <v>2</v>
      </c>
      <c r="O2679" s="2"/>
      <c r="P2679" s="2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</row>
    <row r="2680" spans="1:32" s="1" customFormat="1" ht="20.25" customHeight="1" x14ac:dyDescent="0.25">
      <c r="A2680" s="2"/>
      <c r="B2680" s="2"/>
      <c r="C2680" s="2"/>
      <c r="D2680" s="2">
        <f>COUNTIF(contact[[#This Row],[Bagossy]:[Szo
03:00 - 10:00]],"=~?")</f>
        <v>0</v>
      </c>
      <c r="E2680" s="2">
        <f>COUNTIF(contact[[#This Row],[Bagossy]:[Szo
03:00 - 10:00]],"=x")</f>
        <v>0</v>
      </c>
      <c r="F2680" s="2">
        <f>SUM(contact[[#This Row],[?]:[x]])</f>
        <v>0</v>
      </c>
      <c r="G26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0" s="3" t="s">
        <v>3045</v>
      </c>
      <c r="K2680" s="1" t="s">
        <v>1552</v>
      </c>
      <c r="L2680" s="1" t="s">
        <v>2</v>
      </c>
      <c r="M2680" s="1" t="s">
        <v>2</v>
      </c>
      <c r="O2680" s="2"/>
      <c r="P2680" s="2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</row>
    <row r="2681" spans="1:32" s="1" customFormat="1" ht="20.25" customHeight="1" x14ac:dyDescent="0.25">
      <c r="A2681" s="2"/>
      <c r="B2681" s="2"/>
      <c r="C2681" s="2" t="s">
        <v>1285</v>
      </c>
      <c r="D2681" s="2">
        <f>COUNTIF(contact[[#This Row],[Bagossy]:[Szo
03:00 - 10:00]],"=~?")</f>
        <v>0</v>
      </c>
      <c r="E2681" s="2">
        <f>COUNTIF(contact[[#This Row],[Bagossy]:[Szo
03:00 - 10:00]],"=x")</f>
        <v>0</v>
      </c>
      <c r="F2681" s="2">
        <f>SUM(contact[[#This Row],[?]:[x]])</f>
        <v>0</v>
      </c>
      <c r="G26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81" s="2"/>
      <c r="I2681" s="2"/>
      <c r="J2681" s="3" t="s">
        <v>4265</v>
      </c>
      <c r="K2681" s="1" t="s">
        <v>1825</v>
      </c>
      <c r="L2681" s="1" t="s">
        <v>2</v>
      </c>
      <c r="M2681" s="1" t="s">
        <v>2</v>
      </c>
      <c r="O2681" s="2"/>
      <c r="P2681" s="2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</row>
    <row r="2682" spans="1:32" s="1" customFormat="1" ht="20.25" customHeight="1" x14ac:dyDescent="0.25">
      <c r="A2682" s="2"/>
      <c r="B2682" s="2"/>
      <c r="C2682" s="2"/>
      <c r="D2682" s="2">
        <f>COUNTIF(contact[[#This Row],[Bagossy]:[Szo
03:00 - 10:00]],"=~?")</f>
        <v>0</v>
      </c>
      <c r="E2682" s="2">
        <f>COUNTIF(contact[[#This Row],[Bagossy]:[Szo
03:00 - 10:00]],"=x")</f>
        <v>0</v>
      </c>
      <c r="F2682" s="2">
        <f>SUM(contact[[#This Row],[?]:[x]])</f>
        <v>0</v>
      </c>
      <c r="G26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2" s="3" t="s">
        <v>3511</v>
      </c>
      <c r="K2682" s="1" t="s">
        <v>2</v>
      </c>
      <c r="L2682" s="1" t="s">
        <v>2</v>
      </c>
      <c r="M2682" s="1" t="s">
        <v>2</v>
      </c>
      <c r="O2682" s="2"/>
      <c r="P2682" s="2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</row>
    <row r="2683" spans="1:32" s="1" customFormat="1" ht="20.25" customHeight="1" x14ac:dyDescent="0.25">
      <c r="A2683" s="2"/>
      <c r="B2683" s="2"/>
      <c r="C2683" s="2"/>
      <c r="D2683" s="2">
        <f>COUNTIF(contact[[#This Row],[Bagossy]:[Szo
03:00 - 10:00]],"=~?")</f>
        <v>0</v>
      </c>
      <c r="E2683" s="2">
        <f>COUNTIF(contact[[#This Row],[Bagossy]:[Szo
03:00 - 10:00]],"=x")</f>
        <v>0</v>
      </c>
      <c r="F2683" s="2">
        <f>SUM(contact[[#This Row],[?]:[x]])</f>
        <v>0</v>
      </c>
      <c r="G26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3" s="3" t="s">
        <v>3791</v>
      </c>
      <c r="K2683" s="1" t="s">
        <v>2</v>
      </c>
      <c r="L2683" s="1" t="s">
        <v>403</v>
      </c>
      <c r="M2683" s="1" t="s">
        <v>950</v>
      </c>
      <c r="O2683" s="2"/>
      <c r="P2683" s="2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</row>
    <row r="2684" spans="1:32" s="1" customFormat="1" ht="20.25" customHeight="1" x14ac:dyDescent="0.25">
      <c r="A2684" s="2"/>
      <c r="B2684" s="2"/>
      <c r="C2684" s="2"/>
      <c r="D2684" s="2">
        <f>COUNTIF(contact[[#This Row],[Bagossy]:[Szo
03:00 - 10:00]],"=~?")</f>
        <v>0</v>
      </c>
      <c r="E2684" s="2">
        <f>COUNTIF(contact[[#This Row],[Bagossy]:[Szo
03:00 - 10:00]],"=x")</f>
        <v>0</v>
      </c>
      <c r="F2684" s="2">
        <f>SUM(contact[[#This Row],[?]:[x]])</f>
        <v>0</v>
      </c>
      <c r="G26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4" s="3" t="s">
        <v>4037</v>
      </c>
      <c r="K2684" s="1" t="s">
        <v>1074</v>
      </c>
      <c r="L2684" s="1" t="s">
        <v>2</v>
      </c>
      <c r="M2684" s="1" t="s">
        <v>2</v>
      </c>
      <c r="O2684" s="2"/>
      <c r="P2684" s="2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</row>
    <row r="2685" spans="1:32" s="1" customFormat="1" ht="20.25" customHeight="1" x14ac:dyDescent="0.25">
      <c r="A2685" s="2"/>
      <c r="B2685" s="2"/>
      <c r="C2685" s="2"/>
      <c r="D2685" s="2">
        <f>COUNTIF(contact[[#This Row],[Bagossy]:[Szo
03:00 - 10:00]],"=~?")</f>
        <v>0</v>
      </c>
      <c r="E2685" s="2">
        <f>COUNTIF(contact[[#This Row],[Bagossy]:[Szo
03:00 - 10:00]],"=x")</f>
        <v>0</v>
      </c>
      <c r="F2685" s="2">
        <f>SUM(contact[[#This Row],[?]:[x]])</f>
        <v>0</v>
      </c>
      <c r="G26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5" s="3" t="s">
        <v>4372</v>
      </c>
      <c r="K2685" s="1" t="s">
        <v>1847</v>
      </c>
      <c r="L2685" s="1" t="s">
        <v>2</v>
      </c>
      <c r="M2685" s="1" t="s">
        <v>2</v>
      </c>
      <c r="O2685" s="2"/>
      <c r="P2685" s="2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</row>
    <row r="2686" spans="1:32" s="1" customFormat="1" ht="20.25" customHeight="1" x14ac:dyDescent="0.25">
      <c r="A2686" s="2"/>
      <c r="B2686" s="2"/>
      <c r="C2686" s="2"/>
      <c r="D2686" s="2">
        <f>COUNTIF(contact[[#This Row],[Bagossy]:[Szo
03:00 - 10:00]],"=~?")</f>
        <v>0</v>
      </c>
      <c r="E2686" s="2">
        <f>COUNTIF(contact[[#This Row],[Bagossy]:[Szo
03:00 - 10:00]],"=x")</f>
        <v>0</v>
      </c>
      <c r="F2686" s="2">
        <f>SUM(contact[[#This Row],[?]:[x]])</f>
        <v>0</v>
      </c>
      <c r="G26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6" s="3" t="s">
        <v>2712</v>
      </c>
      <c r="K2686" s="1" t="s">
        <v>198</v>
      </c>
      <c r="L2686" s="1" t="s">
        <v>2</v>
      </c>
      <c r="M2686" s="1" t="s">
        <v>2</v>
      </c>
      <c r="O2686" s="2"/>
      <c r="P2686" s="2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</row>
    <row r="2687" spans="1:32" s="1" customFormat="1" ht="20.25" customHeight="1" x14ac:dyDescent="0.25">
      <c r="A2687" s="2"/>
      <c r="B2687" s="2"/>
      <c r="C2687" s="2"/>
      <c r="D2687" s="2">
        <f>COUNTIF(contact[[#This Row],[Bagossy]:[Szo
03:00 - 10:00]],"=~?")</f>
        <v>0</v>
      </c>
      <c r="E2687" s="2">
        <f>COUNTIF(contact[[#This Row],[Bagossy]:[Szo
03:00 - 10:00]],"=x")</f>
        <v>0</v>
      </c>
      <c r="F2687" s="2">
        <f>SUM(contact[[#This Row],[?]:[x]])</f>
        <v>0</v>
      </c>
      <c r="G26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7" s="3" t="s">
        <v>4250</v>
      </c>
      <c r="K2687" s="1" t="s">
        <v>2</v>
      </c>
      <c r="L2687" s="1" t="s">
        <v>2</v>
      </c>
      <c r="M2687" s="1" t="s">
        <v>2</v>
      </c>
      <c r="O2687" s="2"/>
      <c r="P2687" s="2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</row>
    <row r="2688" spans="1:32" s="1" customFormat="1" ht="20.25" customHeight="1" x14ac:dyDescent="0.25">
      <c r="A2688" s="2"/>
      <c r="B2688" s="2"/>
      <c r="C2688" s="2"/>
      <c r="D2688" s="2">
        <f>COUNTIF(contact[[#This Row],[Bagossy]:[Szo
03:00 - 10:00]],"=~?")</f>
        <v>0</v>
      </c>
      <c r="E2688" s="2">
        <f>COUNTIF(contact[[#This Row],[Bagossy]:[Szo
03:00 - 10:00]],"=x")</f>
        <v>0</v>
      </c>
      <c r="F2688" s="2">
        <f>SUM(contact[[#This Row],[?]:[x]])</f>
        <v>0</v>
      </c>
      <c r="G26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88" s="2"/>
      <c r="I2688" s="2"/>
      <c r="J2688" s="3" t="s">
        <v>4266</v>
      </c>
      <c r="K2688" s="1" t="s">
        <v>1826</v>
      </c>
      <c r="L2688" s="1" t="s">
        <v>2</v>
      </c>
      <c r="M2688" s="1" t="s">
        <v>2</v>
      </c>
      <c r="O2688" s="2"/>
      <c r="P2688" s="2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</row>
    <row r="2689" spans="1:32" s="1" customFormat="1" ht="20.25" customHeight="1" x14ac:dyDescent="0.25">
      <c r="A2689" s="2"/>
      <c r="B2689" s="2"/>
      <c r="C2689" s="2"/>
      <c r="D2689" s="2">
        <f>COUNTIF(contact[[#This Row],[Bagossy]:[Szo
03:00 - 10:00]],"=~?")</f>
        <v>0</v>
      </c>
      <c r="E2689" s="2">
        <f>COUNTIF(contact[[#This Row],[Bagossy]:[Szo
03:00 - 10:00]],"=x")</f>
        <v>0</v>
      </c>
      <c r="F2689" s="2">
        <f>SUM(contact[[#This Row],[?]:[x]])</f>
        <v>0</v>
      </c>
      <c r="G26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89" s="3" t="s">
        <v>2087</v>
      </c>
      <c r="K2689" s="1" t="s">
        <v>111</v>
      </c>
      <c r="L2689" s="1" t="s">
        <v>2</v>
      </c>
      <c r="M2689" s="1" t="s">
        <v>2</v>
      </c>
      <c r="O2689" s="2"/>
      <c r="P2689" s="2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</row>
    <row r="2690" spans="1:32" s="1" customFormat="1" ht="20.25" customHeight="1" x14ac:dyDescent="0.25">
      <c r="A2690" s="2"/>
      <c r="B2690" s="2"/>
      <c r="C2690" s="2"/>
      <c r="D2690" s="2">
        <f>COUNTIF(contact[[#This Row],[Bagossy]:[Szo
03:00 - 10:00]],"=~?")</f>
        <v>0</v>
      </c>
      <c r="E2690" s="2">
        <f>COUNTIF(contact[[#This Row],[Bagossy]:[Szo
03:00 - 10:00]],"=x")</f>
        <v>0</v>
      </c>
      <c r="F2690" s="2">
        <f>SUM(contact[[#This Row],[?]:[x]])</f>
        <v>0</v>
      </c>
      <c r="G26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0" s="3" t="s">
        <v>2341</v>
      </c>
      <c r="K2690" s="1" t="s">
        <v>252</v>
      </c>
      <c r="L2690" s="1" t="s">
        <v>2</v>
      </c>
      <c r="M2690" s="1" t="s">
        <v>2</v>
      </c>
      <c r="O2690" s="2"/>
      <c r="P2690" s="2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</row>
    <row r="2691" spans="1:32" s="1" customFormat="1" ht="20.25" customHeight="1" x14ac:dyDescent="0.25">
      <c r="A2691" s="2"/>
      <c r="B2691" s="2"/>
      <c r="C2691" s="2"/>
      <c r="D2691" s="2">
        <f>COUNTIF(contact[[#This Row],[Bagossy]:[Szo
03:00 - 10:00]],"=~?")</f>
        <v>0</v>
      </c>
      <c r="E2691" s="2">
        <f>COUNTIF(contact[[#This Row],[Bagossy]:[Szo
03:00 - 10:00]],"=x")</f>
        <v>0</v>
      </c>
      <c r="F2691" s="2">
        <f>SUM(contact[[#This Row],[?]:[x]])</f>
        <v>0</v>
      </c>
      <c r="G26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691" s="2"/>
      <c r="I2691" s="2"/>
      <c r="J2691" s="3" t="s">
        <v>4267</v>
      </c>
      <c r="K2691" s="1" t="s">
        <v>555</v>
      </c>
      <c r="L2691" s="1" t="s">
        <v>2</v>
      </c>
      <c r="M2691" s="1" t="s">
        <v>2</v>
      </c>
      <c r="O2691" s="2"/>
      <c r="P2691" s="2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</row>
    <row r="2692" spans="1:32" s="1" customFormat="1" ht="20.25" customHeight="1" x14ac:dyDescent="0.25">
      <c r="A2692" s="2"/>
      <c r="B2692" s="2"/>
      <c r="C2692" s="2"/>
      <c r="D2692" s="2">
        <f>COUNTIF(contact[[#This Row],[Bagossy]:[Szo
03:00 - 10:00]],"=~?")</f>
        <v>0</v>
      </c>
      <c r="E2692" s="2">
        <f>COUNTIF(contact[[#This Row],[Bagossy]:[Szo
03:00 - 10:00]],"=x")</f>
        <v>0</v>
      </c>
      <c r="F2692" s="2">
        <f>SUM(contact[[#This Row],[?]:[x]])</f>
        <v>0</v>
      </c>
      <c r="G26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2" s="3" t="s">
        <v>3117</v>
      </c>
      <c r="K2692" s="1" t="s">
        <v>2</v>
      </c>
      <c r="L2692" s="1" t="s">
        <v>2</v>
      </c>
      <c r="M2692" s="1" t="s">
        <v>2</v>
      </c>
      <c r="O2692" s="2"/>
      <c r="P2692" s="2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</row>
    <row r="2693" spans="1:32" s="1" customFormat="1" ht="20.25" customHeight="1" x14ac:dyDescent="0.25">
      <c r="A2693" s="2"/>
      <c r="B2693" s="2"/>
      <c r="C2693" s="2"/>
      <c r="D2693" s="2">
        <f>COUNTIF(contact[[#This Row],[Bagossy]:[Szo
03:00 - 10:00]],"=~?")</f>
        <v>0</v>
      </c>
      <c r="E2693" s="2">
        <f>COUNTIF(contact[[#This Row],[Bagossy]:[Szo
03:00 - 10:00]],"=x")</f>
        <v>0</v>
      </c>
      <c r="F2693" s="2">
        <f>SUM(contact[[#This Row],[?]:[x]])</f>
        <v>0</v>
      </c>
      <c r="G26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3" s="3" t="s">
        <v>3215</v>
      </c>
      <c r="K2693" s="1" t="s">
        <v>30</v>
      </c>
      <c r="L2693" s="1" t="s">
        <v>2</v>
      </c>
      <c r="M2693" s="1" t="s">
        <v>2</v>
      </c>
      <c r="O2693" s="2"/>
      <c r="P2693" s="2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</row>
    <row r="2694" spans="1:32" s="1" customFormat="1" ht="20.25" customHeight="1" x14ac:dyDescent="0.25">
      <c r="A2694" s="2"/>
      <c r="B2694" s="2"/>
      <c r="C2694" s="2"/>
      <c r="D2694" s="2">
        <f>COUNTIF(contact[[#This Row],[Bagossy]:[Szo
03:00 - 10:00]],"=~?")</f>
        <v>0</v>
      </c>
      <c r="E2694" s="2">
        <f>COUNTIF(contact[[#This Row],[Bagossy]:[Szo
03:00 - 10:00]],"=x")</f>
        <v>0</v>
      </c>
      <c r="F2694" s="2">
        <f>SUM(contact[[#This Row],[?]:[x]])</f>
        <v>0</v>
      </c>
      <c r="G26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4" s="3" t="s">
        <v>3621</v>
      </c>
      <c r="K2694" s="1" t="s">
        <v>2</v>
      </c>
      <c r="L2694" s="1" t="s">
        <v>2</v>
      </c>
      <c r="M2694" s="1" t="s">
        <v>2</v>
      </c>
      <c r="O2694" s="2"/>
      <c r="P2694" s="2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</row>
    <row r="2695" spans="1:32" s="1" customFormat="1" ht="20.25" customHeight="1" x14ac:dyDescent="0.25">
      <c r="A2695" s="2"/>
      <c r="B2695" s="2"/>
      <c r="C2695" s="2"/>
      <c r="D2695" s="2">
        <f>COUNTIF(contact[[#This Row],[Bagossy]:[Szo
03:00 - 10:00]],"=~?")</f>
        <v>0</v>
      </c>
      <c r="E2695" s="2">
        <f>COUNTIF(contact[[#This Row],[Bagossy]:[Szo
03:00 - 10:00]],"=x")</f>
        <v>0</v>
      </c>
      <c r="F2695" s="2">
        <f>SUM(contact[[#This Row],[?]:[x]])</f>
        <v>0</v>
      </c>
      <c r="G26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5" s="3" t="s">
        <v>2797</v>
      </c>
      <c r="K2695" s="1" t="s">
        <v>2</v>
      </c>
      <c r="L2695" s="1" t="s">
        <v>2</v>
      </c>
      <c r="M2695" s="1" t="s">
        <v>2</v>
      </c>
      <c r="O2695" s="2"/>
      <c r="P2695" s="2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</row>
    <row r="2696" spans="1:32" s="1" customFormat="1" ht="20.25" customHeight="1" x14ac:dyDescent="0.25">
      <c r="A2696" s="2"/>
      <c r="B2696" s="2"/>
      <c r="C2696" s="2"/>
      <c r="D2696" s="2">
        <f>COUNTIF(contact[[#This Row],[Bagossy]:[Szo
03:00 - 10:00]],"=~?")</f>
        <v>0</v>
      </c>
      <c r="E2696" s="2">
        <f>COUNTIF(contact[[#This Row],[Bagossy]:[Szo
03:00 - 10:00]],"=x")</f>
        <v>0</v>
      </c>
      <c r="F2696" s="2">
        <f>SUM(contact[[#This Row],[?]:[x]])</f>
        <v>0</v>
      </c>
      <c r="G26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6" s="3" t="s">
        <v>2156</v>
      </c>
      <c r="K2696" s="1" t="s">
        <v>146</v>
      </c>
      <c r="L2696" s="1" t="s">
        <v>2</v>
      </c>
      <c r="M2696" s="1" t="s">
        <v>2</v>
      </c>
      <c r="O2696" s="2"/>
      <c r="P2696" s="2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</row>
    <row r="2697" spans="1:32" s="1" customFormat="1" ht="20.25" customHeight="1" x14ac:dyDescent="0.25">
      <c r="A2697" s="2"/>
      <c r="B2697" s="2"/>
      <c r="C2697" s="2"/>
      <c r="D2697" s="2">
        <f>COUNTIF(contact[[#This Row],[Bagossy]:[Szo
03:00 - 10:00]],"=~?")</f>
        <v>0</v>
      </c>
      <c r="E2697" s="2">
        <f>COUNTIF(contact[[#This Row],[Bagossy]:[Szo
03:00 - 10:00]],"=x")</f>
        <v>0</v>
      </c>
      <c r="F2697" s="2">
        <f>SUM(contact[[#This Row],[?]:[x]])</f>
        <v>0</v>
      </c>
      <c r="G26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7" s="3" t="s">
        <v>2883</v>
      </c>
      <c r="K2697" s="1" t="s">
        <v>541</v>
      </c>
      <c r="L2697" s="1" t="s">
        <v>2</v>
      </c>
      <c r="M2697" s="1" t="s">
        <v>2</v>
      </c>
      <c r="O2697" s="2"/>
      <c r="P2697" s="2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</row>
    <row r="2698" spans="1:32" s="1" customFormat="1" ht="20.25" customHeight="1" x14ac:dyDescent="0.25">
      <c r="A2698" s="2"/>
      <c r="B2698" s="2"/>
      <c r="C2698" s="2"/>
      <c r="D2698" s="2">
        <f>COUNTIF(contact[[#This Row],[Bagossy]:[Szo
03:00 - 10:00]],"=~?")</f>
        <v>0</v>
      </c>
      <c r="E2698" s="2">
        <f>COUNTIF(contact[[#This Row],[Bagossy]:[Szo
03:00 - 10:00]],"=x")</f>
        <v>0</v>
      </c>
      <c r="F2698" s="2">
        <f>SUM(contact[[#This Row],[?]:[x]])</f>
        <v>0</v>
      </c>
      <c r="G26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8" s="3" t="s">
        <v>3492</v>
      </c>
      <c r="K2698" s="1" t="s">
        <v>812</v>
      </c>
      <c r="L2698" s="1" t="s">
        <v>2</v>
      </c>
      <c r="M2698" s="1" t="s">
        <v>2</v>
      </c>
      <c r="O2698" s="2"/>
      <c r="P2698" s="2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</row>
    <row r="2699" spans="1:32" s="1" customFormat="1" ht="20.25" customHeight="1" x14ac:dyDescent="0.25">
      <c r="A2699" s="2"/>
      <c r="B2699" s="2"/>
      <c r="C2699" s="2"/>
      <c r="D2699" s="2">
        <f>COUNTIF(contact[[#This Row],[Bagossy]:[Szo
03:00 - 10:00]],"=~?")</f>
        <v>0</v>
      </c>
      <c r="E2699" s="2">
        <f>COUNTIF(contact[[#This Row],[Bagossy]:[Szo
03:00 - 10:00]],"=x")</f>
        <v>0</v>
      </c>
      <c r="F2699" s="2">
        <f>SUM(contact[[#This Row],[?]:[x]])</f>
        <v>0</v>
      </c>
      <c r="G26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699" s="3" t="s">
        <v>59</v>
      </c>
      <c r="K2699" s="1" t="s">
        <v>2</v>
      </c>
      <c r="L2699" s="1" t="s">
        <v>2</v>
      </c>
      <c r="M2699" s="1" t="s">
        <v>2</v>
      </c>
      <c r="O2699" s="2"/>
      <c r="P2699" s="2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</row>
    <row r="2700" spans="1:32" s="1" customFormat="1" ht="20.25" customHeight="1" x14ac:dyDescent="0.25">
      <c r="A2700" s="2"/>
      <c r="B2700" s="2"/>
      <c r="C2700" s="2" t="s">
        <v>1285</v>
      </c>
      <c r="D2700" s="2">
        <f>COUNTIF(contact[[#This Row],[Bagossy]:[Szo
03:00 - 10:00]],"=~?")</f>
        <v>0</v>
      </c>
      <c r="E2700" s="2">
        <f>COUNTIF(contact[[#This Row],[Bagossy]:[Szo
03:00 - 10:00]],"=x")</f>
        <v>0</v>
      </c>
      <c r="F2700" s="2">
        <f>SUM(contact[[#This Row],[?]:[x]])</f>
        <v>0</v>
      </c>
      <c r="G27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00" s="2"/>
      <c r="I2700" s="2"/>
      <c r="J2700" s="3" t="s">
        <v>4268</v>
      </c>
      <c r="K2700" s="1" t="s">
        <v>1827</v>
      </c>
      <c r="L2700" s="1" t="s">
        <v>2</v>
      </c>
      <c r="M2700" s="1" t="s">
        <v>2</v>
      </c>
      <c r="O2700" s="2"/>
      <c r="P2700" s="2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</row>
    <row r="2701" spans="1:32" s="1" customFormat="1" ht="20.25" customHeight="1" x14ac:dyDescent="0.25">
      <c r="A2701" s="2"/>
      <c r="B2701" s="2"/>
      <c r="C2701" s="2"/>
      <c r="D2701" s="2">
        <f>COUNTIF(contact[[#This Row],[Bagossy]:[Szo
03:00 - 10:00]],"=~?")</f>
        <v>0</v>
      </c>
      <c r="E2701" s="2">
        <f>COUNTIF(contact[[#This Row],[Bagossy]:[Szo
03:00 - 10:00]],"=x")</f>
        <v>0</v>
      </c>
      <c r="F2701" s="2">
        <f>SUM(contact[[#This Row],[?]:[x]])</f>
        <v>0</v>
      </c>
      <c r="G27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01" s="3" t="s">
        <v>2103</v>
      </c>
      <c r="K2701" s="1" t="s">
        <v>2</v>
      </c>
      <c r="L2701" s="1" t="s">
        <v>2</v>
      </c>
      <c r="M2701" s="1" t="s">
        <v>2</v>
      </c>
      <c r="O2701" s="2"/>
      <c r="P2701" s="2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</row>
    <row r="2702" spans="1:32" s="1" customFormat="1" ht="20.25" customHeight="1" x14ac:dyDescent="0.25">
      <c r="A2702" s="2"/>
      <c r="B2702" s="2"/>
      <c r="C2702" s="2"/>
      <c r="D2702" s="2">
        <f>COUNTIF(contact[[#This Row],[Bagossy]:[Szo
03:00 - 10:00]],"=~?")</f>
        <v>0</v>
      </c>
      <c r="E2702" s="2">
        <f>COUNTIF(contact[[#This Row],[Bagossy]:[Szo
03:00 - 10:00]],"=x")</f>
        <v>0</v>
      </c>
      <c r="F2702" s="2">
        <f>SUM(contact[[#This Row],[?]:[x]])</f>
        <v>0</v>
      </c>
      <c r="G27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02" s="2"/>
      <c r="I2702" s="2"/>
      <c r="J2702" s="3" t="s">
        <v>4275</v>
      </c>
      <c r="K2702" s="1" t="s">
        <v>174</v>
      </c>
      <c r="L2702" s="1" t="s">
        <v>2</v>
      </c>
      <c r="M2702" s="1" t="s">
        <v>2</v>
      </c>
      <c r="O2702" s="2"/>
      <c r="P2702" s="2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</row>
    <row r="2703" spans="1:32" s="1" customFormat="1" ht="20.25" customHeight="1" x14ac:dyDescent="0.25">
      <c r="A2703" s="2"/>
      <c r="B2703" s="2"/>
      <c r="C2703" s="2"/>
      <c r="D2703" s="2">
        <f>COUNTIF(contact[[#This Row],[Bagossy]:[Szo
03:00 - 10:00]],"=~?")</f>
        <v>0</v>
      </c>
      <c r="E2703" s="2">
        <f>COUNTIF(contact[[#This Row],[Bagossy]:[Szo
03:00 - 10:00]],"=x")</f>
        <v>0</v>
      </c>
      <c r="F2703" s="2">
        <f>SUM(contact[[#This Row],[?]:[x]])</f>
        <v>0</v>
      </c>
      <c r="G27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03" s="3" t="s">
        <v>2784</v>
      </c>
      <c r="K2703" s="1" t="s">
        <v>492</v>
      </c>
      <c r="L2703" s="1" t="s">
        <v>2</v>
      </c>
      <c r="M2703" s="1" t="s">
        <v>2</v>
      </c>
      <c r="O2703" s="2"/>
      <c r="P2703" s="2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</row>
    <row r="2704" spans="1:32" s="1" customFormat="1" ht="20.25" customHeight="1" x14ac:dyDescent="0.25">
      <c r="A2704" s="2"/>
      <c r="B2704" s="2"/>
      <c r="C2704" s="2"/>
      <c r="D2704" s="2">
        <f>COUNTIF(contact[[#This Row],[Bagossy]:[Szo
03:00 - 10:00]],"=~?")</f>
        <v>0</v>
      </c>
      <c r="E2704" s="2">
        <f>COUNTIF(contact[[#This Row],[Bagossy]:[Szo
03:00 - 10:00]],"=x")</f>
        <v>0</v>
      </c>
      <c r="F2704" s="2">
        <f>SUM(contact[[#This Row],[?]:[x]])</f>
        <v>0</v>
      </c>
      <c r="G27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04" s="2"/>
      <c r="I2704" s="2"/>
      <c r="J2704" s="3" t="s">
        <v>4279</v>
      </c>
      <c r="K2704" s="1" t="s">
        <v>172</v>
      </c>
      <c r="L2704" s="1" t="s">
        <v>2</v>
      </c>
      <c r="M2704" s="1" t="s">
        <v>2</v>
      </c>
      <c r="O2704" s="2"/>
      <c r="P2704" s="2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</row>
    <row r="2705" spans="1:32" s="1" customFormat="1" ht="20.25" customHeight="1" x14ac:dyDescent="0.25">
      <c r="A2705" s="2"/>
      <c r="B2705" s="2"/>
      <c r="C2705" s="2"/>
      <c r="D2705" s="2">
        <f>COUNTIF(contact[[#This Row],[Bagossy]:[Szo
03:00 - 10:00]],"=~?")</f>
        <v>0</v>
      </c>
      <c r="E2705" s="2">
        <f>COUNTIF(contact[[#This Row],[Bagossy]:[Szo
03:00 - 10:00]],"=x")</f>
        <v>0</v>
      </c>
      <c r="F2705" s="2">
        <f>SUM(contact[[#This Row],[?]:[x]])</f>
        <v>0</v>
      </c>
      <c r="G27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05" s="3" t="s">
        <v>3118</v>
      </c>
      <c r="K2705" s="1" t="s">
        <v>1568</v>
      </c>
      <c r="L2705" s="1" t="s">
        <v>2</v>
      </c>
      <c r="M2705" s="1" t="s">
        <v>2</v>
      </c>
      <c r="O2705" s="2"/>
      <c r="P2705" s="2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</row>
    <row r="2706" spans="1:32" s="1" customFormat="1" ht="20.25" customHeight="1" x14ac:dyDescent="0.25">
      <c r="A2706" s="2"/>
      <c r="B2706" s="2"/>
      <c r="C2706" s="2"/>
      <c r="D2706" s="2">
        <f>COUNTIF(contact[[#This Row],[Bagossy]:[Szo
03:00 - 10:00]],"=~?")</f>
        <v>0</v>
      </c>
      <c r="E2706" s="2">
        <f>COUNTIF(contact[[#This Row],[Bagossy]:[Szo
03:00 - 10:00]],"=x")</f>
        <v>0</v>
      </c>
      <c r="F2706" s="2">
        <f>SUM(contact[[#This Row],[?]:[x]])</f>
        <v>0</v>
      </c>
      <c r="G27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06" s="3" t="s">
        <v>4430</v>
      </c>
      <c r="K2706" s="1" t="s">
        <v>1857</v>
      </c>
      <c r="L2706" s="1" t="s">
        <v>2</v>
      </c>
      <c r="M2706" s="1" t="s">
        <v>2</v>
      </c>
      <c r="O2706" s="2"/>
      <c r="P2706" s="2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</row>
    <row r="2707" spans="1:32" s="1" customFormat="1" ht="20.25" customHeight="1" x14ac:dyDescent="0.25">
      <c r="A2707" s="2"/>
      <c r="B2707" s="2"/>
      <c r="C2707" s="2" t="s">
        <v>1285</v>
      </c>
      <c r="D2707" s="2">
        <f>COUNTIF(contact[[#This Row],[Bagossy]:[Szo
03:00 - 10:00]],"=~?")</f>
        <v>0</v>
      </c>
      <c r="E2707" s="2">
        <f>COUNTIF(contact[[#This Row],[Bagossy]:[Szo
03:00 - 10:00]],"=x")</f>
        <v>0</v>
      </c>
      <c r="F2707" s="2">
        <f>SUM(contact[[#This Row],[?]:[x]])</f>
        <v>0</v>
      </c>
      <c r="G27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07" s="2"/>
      <c r="I2707" s="2"/>
      <c r="J2707" s="3" t="s">
        <v>4280</v>
      </c>
      <c r="K2707" s="1" t="s">
        <v>178</v>
      </c>
      <c r="L2707" s="1" t="s">
        <v>2</v>
      </c>
      <c r="M2707" s="1" t="s">
        <v>2</v>
      </c>
      <c r="O2707" s="2"/>
      <c r="P2707" s="2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</row>
    <row r="2708" spans="1:32" s="1" customFormat="1" ht="20.25" customHeight="1" x14ac:dyDescent="0.25">
      <c r="A2708" s="2"/>
      <c r="B2708" s="2"/>
      <c r="C2708" s="2"/>
      <c r="D2708" s="2">
        <f>COUNTIF(contact[[#This Row],[Bagossy]:[Szo
03:00 - 10:00]],"=~?")</f>
        <v>0</v>
      </c>
      <c r="E2708" s="2">
        <f>COUNTIF(contact[[#This Row],[Bagossy]:[Szo
03:00 - 10:00]],"=x")</f>
        <v>0</v>
      </c>
      <c r="F2708" s="2">
        <f>SUM(contact[[#This Row],[?]:[x]])</f>
        <v>0</v>
      </c>
      <c r="G27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08" s="3" t="s">
        <v>2554</v>
      </c>
      <c r="K2708" s="1" t="s">
        <v>2</v>
      </c>
      <c r="L2708" s="1" t="s">
        <v>2</v>
      </c>
      <c r="M2708" s="1" t="s">
        <v>2</v>
      </c>
      <c r="O2708" s="2"/>
      <c r="P2708" s="2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</row>
    <row r="2709" spans="1:32" s="1" customFormat="1" ht="20.25" customHeight="1" x14ac:dyDescent="0.25">
      <c r="A2709" s="2"/>
      <c r="B2709" s="2"/>
      <c r="C2709" s="2"/>
      <c r="D2709" s="2">
        <f>COUNTIF(contact[[#This Row],[Bagossy]:[Szo
03:00 - 10:00]],"=~?")</f>
        <v>0</v>
      </c>
      <c r="E2709" s="2">
        <f>COUNTIF(contact[[#This Row],[Bagossy]:[Szo
03:00 - 10:00]],"=x")</f>
        <v>0</v>
      </c>
      <c r="F2709" s="2">
        <f>SUM(contact[[#This Row],[?]:[x]])</f>
        <v>0</v>
      </c>
      <c r="G27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09" s="3" t="s">
        <v>2582</v>
      </c>
      <c r="K2709" s="1" t="s">
        <v>2</v>
      </c>
      <c r="L2709" s="1" t="s">
        <v>2</v>
      </c>
      <c r="M2709" s="1" t="s">
        <v>2</v>
      </c>
      <c r="O2709" s="2"/>
      <c r="P2709" s="2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</row>
    <row r="2710" spans="1:32" s="1" customFormat="1" ht="20.25" customHeight="1" x14ac:dyDescent="0.25">
      <c r="A2710" s="2"/>
      <c r="B2710" s="2"/>
      <c r="C2710" s="2"/>
      <c r="D2710" s="2">
        <f>COUNTIF(contact[[#This Row],[Bagossy]:[Szo
03:00 - 10:00]],"=~?")</f>
        <v>0</v>
      </c>
      <c r="E2710" s="2">
        <f>COUNTIF(contact[[#This Row],[Bagossy]:[Szo
03:00 - 10:00]],"=x")</f>
        <v>0</v>
      </c>
      <c r="F2710" s="2">
        <f>SUM(contact[[#This Row],[?]:[x]])</f>
        <v>0</v>
      </c>
      <c r="G27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0" s="3" t="s">
        <v>2789</v>
      </c>
      <c r="K2710" s="1" t="s">
        <v>496</v>
      </c>
      <c r="L2710" s="1" t="s">
        <v>2</v>
      </c>
      <c r="M2710" s="1" t="s">
        <v>2</v>
      </c>
      <c r="O2710" s="2"/>
      <c r="P2710" s="2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</row>
    <row r="2711" spans="1:32" s="1" customFormat="1" ht="20.25" customHeight="1" x14ac:dyDescent="0.25">
      <c r="A2711" s="2"/>
      <c r="B2711" s="2"/>
      <c r="C2711" s="2"/>
      <c r="D2711" s="2">
        <f>COUNTIF(contact[[#This Row],[Bagossy]:[Szo
03:00 - 10:00]],"=~?")</f>
        <v>0</v>
      </c>
      <c r="E2711" s="2">
        <f>COUNTIF(contact[[#This Row],[Bagossy]:[Szo
03:00 - 10:00]],"=x")</f>
        <v>0</v>
      </c>
      <c r="F2711" s="2">
        <f>SUM(contact[[#This Row],[?]:[x]])</f>
        <v>0</v>
      </c>
      <c r="G27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1" s="3" t="s">
        <v>2897</v>
      </c>
      <c r="K2711" s="1" t="s">
        <v>546</v>
      </c>
      <c r="L2711" s="1" t="s">
        <v>2</v>
      </c>
      <c r="M2711" s="1" t="s">
        <v>2</v>
      </c>
      <c r="O2711" s="2"/>
      <c r="P2711" s="2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</row>
    <row r="2712" spans="1:32" s="1" customFormat="1" ht="20.25" customHeight="1" x14ac:dyDescent="0.25">
      <c r="A2712" s="2"/>
      <c r="B2712" s="2"/>
      <c r="C2712" s="2"/>
      <c r="D2712" s="2">
        <f>COUNTIF(contact[[#This Row],[Bagossy]:[Szo
03:00 - 10:00]],"=~?")</f>
        <v>0</v>
      </c>
      <c r="E2712" s="2">
        <f>COUNTIF(contact[[#This Row],[Bagossy]:[Szo
03:00 - 10:00]],"=x")</f>
        <v>0</v>
      </c>
      <c r="F2712" s="2">
        <f>SUM(contact[[#This Row],[?]:[x]])</f>
        <v>0</v>
      </c>
      <c r="G27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2" s="3" t="s">
        <v>3286</v>
      </c>
      <c r="K2712" s="1" t="s">
        <v>1610</v>
      </c>
      <c r="L2712" s="1" t="s">
        <v>2</v>
      </c>
      <c r="M2712" s="1" t="s">
        <v>2</v>
      </c>
      <c r="O2712" s="2"/>
      <c r="P2712" s="2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</row>
    <row r="2713" spans="1:32" s="1" customFormat="1" ht="20.25" customHeight="1" x14ac:dyDescent="0.25">
      <c r="A2713" s="2"/>
      <c r="B2713" s="2"/>
      <c r="C2713" s="2"/>
      <c r="D2713" s="2">
        <f>COUNTIF(contact[[#This Row],[Bagossy]:[Szo
03:00 - 10:00]],"=~?")</f>
        <v>0</v>
      </c>
      <c r="E2713" s="2">
        <f>COUNTIF(contact[[#This Row],[Bagossy]:[Szo
03:00 - 10:00]],"=x")</f>
        <v>0</v>
      </c>
      <c r="F2713" s="2">
        <f>SUM(contact[[#This Row],[?]:[x]])</f>
        <v>0</v>
      </c>
      <c r="G27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3" s="3" t="s">
        <v>3352</v>
      </c>
      <c r="K2713" s="1" t="s">
        <v>2</v>
      </c>
      <c r="L2713" s="1" t="s">
        <v>2</v>
      </c>
      <c r="M2713" s="1" t="s">
        <v>2</v>
      </c>
      <c r="O2713" s="2"/>
      <c r="P2713" s="2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</row>
    <row r="2714" spans="1:32" s="1" customFormat="1" ht="20.25" customHeight="1" x14ac:dyDescent="0.25">
      <c r="A2714" s="2"/>
      <c r="B2714" s="2"/>
      <c r="C2714" s="2"/>
      <c r="D2714" s="2">
        <f>COUNTIF(contact[[#This Row],[Bagossy]:[Szo
03:00 - 10:00]],"=~?")</f>
        <v>0</v>
      </c>
      <c r="E2714" s="2">
        <f>COUNTIF(contact[[#This Row],[Bagossy]:[Szo
03:00 - 10:00]],"=x")</f>
        <v>0</v>
      </c>
      <c r="F2714" s="2">
        <f>SUM(contact[[#This Row],[?]:[x]])</f>
        <v>0</v>
      </c>
      <c r="G27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4" s="3" t="s">
        <v>1147</v>
      </c>
      <c r="K2714" s="1" t="s">
        <v>1816</v>
      </c>
      <c r="L2714" s="1" t="s">
        <v>2</v>
      </c>
      <c r="M2714" s="1" t="s">
        <v>2</v>
      </c>
      <c r="O2714" s="2"/>
      <c r="P2714" s="2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</row>
    <row r="2715" spans="1:32" s="1" customFormat="1" ht="20.25" customHeight="1" x14ac:dyDescent="0.25">
      <c r="A2715" s="2"/>
      <c r="B2715" s="2"/>
      <c r="C2715" s="2"/>
      <c r="D2715" s="2">
        <f>COUNTIF(contact[[#This Row],[Bagossy]:[Szo
03:00 - 10:00]],"=~?")</f>
        <v>0</v>
      </c>
      <c r="E2715" s="2">
        <f>COUNTIF(contact[[#This Row],[Bagossy]:[Szo
03:00 - 10:00]],"=x")</f>
        <v>0</v>
      </c>
      <c r="F2715" s="2">
        <f>SUM(contact[[#This Row],[?]:[x]])</f>
        <v>0</v>
      </c>
      <c r="G27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5" s="3" t="s">
        <v>3722</v>
      </c>
      <c r="K2715" s="1" t="s">
        <v>911</v>
      </c>
      <c r="L2715" s="1" t="s">
        <v>2</v>
      </c>
      <c r="M2715" s="1" t="s">
        <v>2</v>
      </c>
      <c r="O2715" s="2"/>
      <c r="P2715" s="2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</row>
    <row r="2716" spans="1:32" s="1" customFormat="1" ht="20.25" customHeight="1" x14ac:dyDescent="0.25">
      <c r="A2716" s="2"/>
      <c r="B2716" s="2"/>
      <c r="C2716" s="2"/>
      <c r="D2716" s="2">
        <f>COUNTIF(contact[[#This Row],[Bagossy]:[Szo
03:00 - 10:00]],"=~?")</f>
        <v>0</v>
      </c>
      <c r="E2716" s="2">
        <f>COUNTIF(contact[[#This Row],[Bagossy]:[Szo
03:00 - 10:00]],"=x")</f>
        <v>0</v>
      </c>
      <c r="F2716" s="2">
        <f>SUM(contact[[#This Row],[?]:[x]])</f>
        <v>0</v>
      </c>
      <c r="G27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6" s="3" t="s">
        <v>3734</v>
      </c>
      <c r="K2716" s="1" t="s">
        <v>39</v>
      </c>
      <c r="L2716" s="1" t="s">
        <v>2</v>
      </c>
      <c r="M2716" s="1" t="s">
        <v>2</v>
      </c>
      <c r="O2716" s="2"/>
      <c r="P2716" s="2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</row>
    <row r="2717" spans="1:32" s="1" customFormat="1" ht="20.25" customHeight="1" x14ac:dyDescent="0.25">
      <c r="A2717" s="2"/>
      <c r="B2717" s="2"/>
      <c r="C2717" s="2"/>
      <c r="D2717" s="2">
        <f>COUNTIF(contact[[#This Row],[Bagossy]:[Szo
03:00 - 10:00]],"=~?")</f>
        <v>0</v>
      </c>
      <c r="E2717" s="2">
        <f>COUNTIF(contact[[#This Row],[Bagossy]:[Szo
03:00 - 10:00]],"=x")</f>
        <v>0</v>
      </c>
      <c r="F2717" s="2">
        <f>SUM(contact[[#This Row],[?]:[x]])</f>
        <v>0</v>
      </c>
      <c r="G27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7" s="3" t="s">
        <v>4442</v>
      </c>
      <c r="K2717" s="1" t="s">
        <v>1860</v>
      </c>
      <c r="L2717" s="1" t="s">
        <v>2</v>
      </c>
      <c r="M2717" s="1" t="s">
        <v>2</v>
      </c>
      <c r="O2717" s="2"/>
      <c r="P2717" s="2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</row>
    <row r="2718" spans="1:32" s="1" customFormat="1" ht="20.25" customHeight="1" x14ac:dyDescent="0.25">
      <c r="A2718" s="2"/>
      <c r="B2718" s="2"/>
      <c r="C2718" s="2"/>
      <c r="D2718" s="2">
        <f>COUNTIF(contact[[#This Row],[Bagossy]:[Szo
03:00 - 10:00]],"=~?")</f>
        <v>0</v>
      </c>
      <c r="E2718" s="2">
        <f>COUNTIF(contact[[#This Row],[Bagossy]:[Szo
03:00 - 10:00]],"=x")</f>
        <v>0</v>
      </c>
      <c r="F2718" s="2">
        <f>SUM(contact[[#This Row],[?]:[x]])</f>
        <v>0</v>
      </c>
      <c r="G27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8" s="3" t="s">
        <v>2685</v>
      </c>
      <c r="K2718" s="1" t="s">
        <v>443</v>
      </c>
      <c r="L2718" s="1" t="s">
        <v>2</v>
      </c>
      <c r="M2718" s="1" t="s">
        <v>2</v>
      </c>
      <c r="O2718" s="2"/>
      <c r="P2718" s="2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</row>
    <row r="2719" spans="1:32" s="1" customFormat="1" ht="20.25" customHeight="1" x14ac:dyDescent="0.25">
      <c r="A2719" s="2"/>
      <c r="B2719" s="2"/>
      <c r="C2719" s="2"/>
      <c r="D2719" s="2">
        <f>COUNTIF(contact[[#This Row],[Bagossy]:[Szo
03:00 - 10:00]],"=~?")</f>
        <v>0</v>
      </c>
      <c r="E2719" s="2">
        <f>COUNTIF(contact[[#This Row],[Bagossy]:[Szo
03:00 - 10:00]],"=x")</f>
        <v>0</v>
      </c>
      <c r="F2719" s="2">
        <f>SUM(contact[[#This Row],[?]:[x]])</f>
        <v>0</v>
      </c>
      <c r="G27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19" s="3" t="s">
        <v>2506</v>
      </c>
      <c r="K2719" s="1" t="s">
        <v>1432</v>
      </c>
      <c r="L2719" s="1" t="s">
        <v>2</v>
      </c>
      <c r="M2719" s="1" t="s">
        <v>2</v>
      </c>
      <c r="O2719" s="2"/>
      <c r="P2719" s="2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</row>
    <row r="2720" spans="1:32" s="1" customFormat="1" ht="20.25" customHeight="1" x14ac:dyDescent="0.25">
      <c r="A2720" s="2"/>
      <c r="B2720" s="2"/>
      <c r="C2720" s="2"/>
      <c r="D2720" s="2">
        <f>COUNTIF(contact[[#This Row],[Bagossy]:[Szo
03:00 - 10:00]],"=~?")</f>
        <v>0</v>
      </c>
      <c r="E2720" s="2">
        <f>COUNTIF(contact[[#This Row],[Bagossy]:[Szo
03:00 - 10:00]],"=x")</f>
        <v>0</v>
      </c>
      <c r="F2720" s="2">
        <f>SUM(contact[[#This Row],[?]:[x]])</f>
        <v>0</v>
      </c>
      <c r="G27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0" s="3" t="s">
        <v>2507</v>
      </c>
      <c r="K2720" s="1" t="s">
        <v>1433</v>
      </c>
      <c r="L2720" s="1" t="s">
        <v>2</v>
      </c>
      <c r="M2720" s="1" t="s">
        <v>2</v>
      </c>
      <c r="O2720" s="2"/>
      <c r="P2720" s="2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</row>
    <row r="2721" spans="1:32" s="1" customFormat="1" ht="20.25" customHeight="1" x14ac:dyDescent="0.25">
      <c r="A2721" s="2"/>
      <c r="B2721" s="2"/>
      <c r="C2721" s="2"/>
      <c r="D2721" s="2">
        <f>COUNTIF(contact[[#This Row],[Bagossy]:[Szo
03:00 - 10:00]],"=~?")</f>
        <v>0</v>
      </c>
      <c r="E2721" s="2">
        <f>COUNTIF(contact[[#This Row],[Bagossy]:[Szo
03:00 - 10:00]],"=x")</f>
        <v>0</v>
      </c>
      <c r="F2721" s="2">
        <f>SUM(contact[[#This Row],[?]:[x]])</f>
        <v>0</v>
      </c>
      <c r="G27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1" s="3" t="s">
        <v>2884</v>
      </c>
      <c r="K2721" s="1" t="s">
        <v>542</v>
      </c>
      <c r="L2721" s="1" t="s">
        <v>2</v>
      </c>
      <c r="M2721" s="1" t="s">
        <v>2</v>
      </c>
      <c r="O2721" s="2"/>
      <c r="P2721" s="2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</row>
    <row r="2722" spans="1:32" s="1" customFormat="1" ht="20.25" customHeight="1" x14ac:dyDescent="0.25">
      <c r="A2722" s="2"/>
      <c r="B2722" s="2"/>
      <c r="C2722" s="2"/>
      <c r="D2722" s="2">
        <f>COUNTIF(contact[[#This Row],[Bagossy]:[Szo
03:00 - 10:00]],"=~?")</f>
        <v>0</v>
      </c>
      <c r="E2722" s="2">
        <f>COUNTIF(contact[[#This Row],[Bagossy]:[Szo
03:00 - 10:00]],"=x")</f>
        <v>0</v>
      </c>
      <c r="F2722" s="2">
        <f>SUM(contact[[#This Row],[?]:[x]])</f>
        <v>0</v>
      </c>
      <c r="G27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2" s="3" t="s">
        <v>2141</v>
      </c>
      <c r="K2722" s="1" t="s">
        <v>1346</v>
      </c>
      <c r="L2722" s="1" t="s">
        <v>2</v>
      </c>
      <c r="M2722" s="1" t="s">
        <v>2</v>
      </c>
      <c r="O2722" s="2"/>
      <c r="P2722" s="2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</row>
    <row r="2723" spans="1:32" s="1" customFormat="1" ht="20.25" customHeight="1" x14ac:dyDescent="0.25">
      <c r="A2723" s="2"/>
      <c r="B2723" s="2"/>
      <c r="C2723" s="2"/>
      <c r="D2723" s="2">
        <f>COUNTIF(contact[[#This Row],[Bagossy]:[Szo
03:00 - 10:00]],"=~?")</f>
        <v>0</v>
      </c>
      <c r="E2723" s="2">
        <f>COUNTIF(contact[[#This Row],[Bagossy]:[Szo
03:00 - 10:00]],"=x")</f>
        <v>0</v>
      </c>
      <c r="F2723" s="2">
        <f>SUM(contact[[#This Row],[?]:[x]])</f>
        <v>0</v>
      </c>
      <c r="G27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23" s="2"/>
      <c r="I2723" s="2"/>
      <c r="J2723" s="3" t="s">
        <v>4289</v>
      </c>
      <c r="K2723" s="1" t="s">
        <v>1833</v>
      </c>
      <c r="L2723" s="1" t="s">
        <v>2</v>
      </c>
      <c r="M2723" s="1" t="s">
        <v>2</v>
      </c>
      <c r="O2723" s="2"/>
      <c r="P2723" s="2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</row>
    <row r="2724" spans="1:32" s="1" customFormat="1" ht="20.25" customHeight="1" x14ac:dyDescent="0.25">
      <c r="A2724" s="2"/>
      <c r="B2724" s="2"/>
      <c r="C2724" s="2"/>
      <c r="D2724" s="2">
        <f>COUNTIF(contact[[#This Row],[Bagossy]:[Szo
03:00 - 10:00]],"=~?")</f>
        <v>0</v>
      </c>
      <c r="E2724" s="2">
        <f>COUNTIF(contact[[#This Row],[Bagossy]:[Szo
03:00 - 10:00]],"=x")</f>
        <v>0</v>
      </c>
      <c r="F2724" s="2">
        <f>SUM(contact[[#This Row],[?]:[x]])</f>
        <v>0</v>
      </c>
      <c r="G27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4" s="3" t="s">
        <v>2380</v>
      </c>
      <c r="K2724" s="1" t="s">
        <v>278</v>
      </c>
      <c r="L2724" s="1" t="s">
        <v>2</v>
      </c>
      <c r="M2724" s="1" t="s">
        <v>2</v>
      </c>
      <c r="O2724" s="2"/>
      <c r="P2724" s="2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</row>
    <row r="2725" spans="1:32" s="1" customFormat="1" ht="20.25" customHeight="1" x14ac:dyDescent="0.25">
      <c r="A2725" s="2"/>
      <c r="B2725" s="2"/>
      <c r="C2725" s="2"/>
      <c r="D2725" s="2">
        <f>COUNTIF(contact[[#This Row],[Bagossy]:[Szo
03:00 - 10:00]],"=~?")</f>
        <v>0</v>
      </c>
      <c r="E2725" s="2">
        <f>COUNTIF(contact[[#This Row],[Bagossy]:[Szo
03:00 - 10:00]],"=x")</f>
        <v>0</v>
      </c>
      <c r="F2725" s="2">
        <f>SUM(contact[[#This Row],[?]:[x]])</f>
        <v>0</v>
      </c>
      <c r="G27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5" s="3" t="s">
        <v>3671</v>
      </c>
      <c r="K2725" s="1" t="s">
        <v>1327</v>
      </c>
      <c r="L2725" s="1" t="s">
        <v>2</v>
      </c>
      <c r="M2725" s="1" t="s">
        <v>2</v>
      </c>
      <c r="O2725" s="2"/>
      <c r="P2725" s="2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</row>
    <row r="2726" spans="1:32" s="1" customFormat="1" ht="20.25" customHeight="1" x14ac:dyDescent="0.25">
      <c r="A2726" s="2"/>
      <c r="B2726" s="2"/>
      <c r="C2726" s="2"/>
      <c r="D2726" s="2">
        <f>COUNTIF(contact[[#This Row],[Bagossy]:[Szo
03:00 - 10:00]],"=~?")</f>
        <v>0</v>
      </c>
      <c r="E2726" s="2">
        <f>COUNTIF(contact[[#This Row],[Bagossy]:[Szo
03:00 - 10:00]],"=x")</f>
        <v>0</v>
      </c>
      <c r="F2726" s="2">
        <f>SUM(contact[[#This Row],[?]:[x]])</f>
        <v>0</v>
      </c>
      <c r="G27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6" s="3" t="s">
        <v>3493</v>
      </c>
      <c r="K2726" s="1" t="s">
        <v>1659</v>
      </c>
      <c r="L2726" s="1" t="s">
        <v>2</v>
      </c>
      <c r="M2726" s="1" t="s">
        <v>2</v>
      </c>
      <c r="O2726" s="2"/>
      <c r="P2726" s="2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</row>
    <row r="2727" spans="1:32" s="1" customFormat="1" ht="20.25" customHeight="1" x14ac:dyDescent="0.25">
      <c r="A2727" s="2"/>
      <c r="B2727" s="2"/>
      <c r="C2727" s="2"/>
      <c r="D2727" s="2">
        <f>COUNTIF(contact[[#This Row],[Bagossy]:[Szo
03:00 - 10:00]],"=~?")</f>
        <v>0</v>
      </c>
      <c r="E2727" s="2">
        <f>COUNTIF(contact[[#This Row],[Bagossy]:[Szo
03:00 - 10:00]],"=x")</f>
        <v>0</v>
      </c>
      <c r="F2727" s="2">
        <f>SUM(contact[[#This Row],[?]:[x]])</f>
        <v>0</v>
      </c>
      <c r="G27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7" s="3" t="s">
        <v>3120</v>
      </c>
      <c r="K2727" s="1" t="s">
        <v>1570</v>
      </c>
      <c r="L2727" s="1" t="s">
        <v>2</v>
      </c>
      <c r="M2727" s="1" t="s">
        <v>2</v>
      </c>
      <c r="O2727" s="2"/>
      <c r="P2727" s="2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</row>
    <row r="2728" spans="1:32" s="1" customFormat="1" ht="20.25" customHeight="1" x14ac:dyDescent="0.25">
      <c r="A2728" s="2"/>
      <c r="B2728" s="2"/>
      <c r="C2728" s="2"/>
      <c r="D2728" s="2">
        <f>COUNTIF(contact[[#This Row],[Bagossy]:[Szo
03:00 - 10:00]],"=~?")</f>
        <v>0</v>
      </c>
      <c r="E2728" s="2">
        <f>COUNTIF(contact[[#This Row],[Bagossy]:[Szo
03:00 - 10:00]],"=x")</f>
        <v>0</v>
      </c>
      <c r="F2728" s="2">
        <f>SUM(contact[[#This Row],[?]:[x]])</f>
        <v>0</v>
      </c>
      <c r="G27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8" s="3" t="s">
        <v>4497</v>
      </c>
      <c r="K2728" s="1" t="s">
        <v>1880</v>
      </c>
      <c r="L2728" s="1" t="s">
        <v>2</v>
      </c>
      <c r="M2728" s="1" t="s">
        <v>2</v>
      </c>
      <c r="O2728" s="2"/>
      <c r="P2728" s="2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</row>
    <row r="2729" spans="1:32" s="1" customFormat="1" ht="20.25" customHeight="1" x14ac:dyDescent="0.25">
      <c r="A2729" s="2"/>
      <c r="B2729" s="2"/>
      <c r="C2729" s="2"/>
      <c r="D2729" s="2">
        <f>COUNTIF(contact[[#This Row],[Bagossy]:[Szo
03:00 - 10:00]],"=~?")</f>
        <v>0</v>
      </c>
      <c r="E2729" s="2">
        <f>COUNTIF(contact[[#This Row],[Bagossy]:[Szo
03:00 - 10:00]],"=x")</f>
        <v>0</v>
      </c>
      <c r="F2729" s="2">
        <f>SUM(contact[[#This Row],[?]:[x]])</f>
        <v>0</v>
      </c>
      <c r="G27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29" s="3" t="s">
        <v>2885</v>
      </c>
      <c r="K2729" s="1" t="s">
        <v>1507</v>
      </c>
      <c r="L2729" s="1" t="s">
        <v>2</v>
      </c>
      <c r="M2729" s="1" t="s">
        <v>2</v>
      </c>
      <c r="O2729" s="2"/>
      <c r="P2729" s="2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</row>
    <row r="2730" spans="1:32" s="1" customFormat="1" ht="20.25" customHeight="1" x14ac:dyDescent="0.25">
      <c r="A2730" s="2"/>
      <c r="B2730" s="2"/>
      <c r="C2730" s="2"/>
      <c r="D2730" s="2">
        <f>COUNTIF(contact[[#This Row],[Bagossy]:[Szo
03:00 - 10:00]],"=~?")</f>
        <v>0</v>
      </c>
      <c r="E2730" s="2">
        <f>COUNTIF(contact[[#This Row],[Bagossy]:[Szo
03:00 - 10:00]],"=x")</f>
        <v>0</v>
      </c>
      <c r="F2730" s="2">
        <f>SUM(contact[[#This Row],[?]:[x]])</f>
        <v>0</v>
      </c>
      <c r="G27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0" s="3" t="s">
        <v>2568</v>
      </c>
      <c r="K2730" s="1" t="s">
        <v>381</v>
      </c>
      <c r="L2730" s="1" t="s">
        <v>2</v>
      </c>
      <c r="M2730" s="1" t="s">
        <v>2</v>
      </c>
      <c r="O2730" s="2"/>
      <c r="P2730" s="2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</row>
    <row r="2731" spans="1:32" s="1" customFormat="1" ht="20.25" customHeight="1" x14ac:dyDescent="0.25">
      <c r="A2731" s="2"/>
      <c r="B2731" s="2"/>
      <c r="C2731" s="2"/>
      <c r="D2731" s="2">
        <f>COUNTIF(contact[[#This Row],[Bagossy]:[Szo
03:00 - 10:00]],"=~?")</f>
        <v>0</v>
      </c>
      <c r="E2731" s="2">
        <f>COUNTIF(contact[[#This Row],[Bagossy]:[Szo
03:00 - 10:00]],"=x")</f>
        <v>0</v>
      </c>
      <c r="F2731" s="2">
        <f>SUM(contact[[#This Row],[?]:[x]])</f>
        <v>0</v>
      </c>
      <c r="G27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1" s="3" t="s">
        <v>2674</v>
      </c>
      <c r="K2731" s="1" t="s">
        <v>2</v>
      </c>
      <c r="L2731" s="1" t="s">
        <v>2</v>
      </c>
      <c r="M2731" s="1" t="s">
        <v>2</v>
      </c>
      <c r="O2731" s="2"/>
      <c r="P2731" s="2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</row>
    <row r="2732" spans="1:32" s="1" customFormat="1" ht="20.25" customHeight="1" x14ac:dyDescent="0.25">
      <c r="A2732" s="2"/>
      <c r="B2732" s="2"/>
      <c r="C2732" s="2"/>
      <c r="D2732" s="2">
        <f>COUNTIF(contact[[#This Row],[Bagossy]:[Szo
03:00 - 10:00]],"=~?")</f>
        <v>0</v>
      </c>
      <c r="E2732" s="2">
        <f>COUNTIF(contact[[#This Row],[Bagossy]:[Szo
03:00 - 10:00]],"=x")</f>
        <v>0</v>
      </c>
      <c r="F2732" s="2">
        <f>SUM(contact[[#This Row],[?]:[x]])</f>
        <v>0</v>
      </c>
      <c r="G27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32" s="2"/>
      <c r="I2732" s="2"/>
      <c r="J2732" s="3" t="s">
        <v>4293</v>
      </c>
      <c r="K2732" s="1" t="s">
        <v>1007</v>
      </c>
      <c r="L2732" s="1" t="s">
        <v>2</v>
      </c>
      <c r="M2732" s="1" t="s">
        <v>2</v>
      </c>
      <c r="O2732" s="2"/>
      <c r="P2732" s="2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</row>
    <row r="2733" spans="1:32" s="1" customFormat="1" ht="20.25" customHeight="1" x14ac:dyDescent="0.25">
      <c r="A2733" s="2" t="s">
        <v>1285</v>
      </c>
      <c r="B2733" s="2" t="s">
        <v>1285</v>
      </c>
      <c r="C2733" s="2" t="s">
        <v>1285</v>
      </c>
      <c r="D2733" s="2">
        <f>COUNTIF(contact[[#This Row],[Bagossy]:[Szo
03:00 - 10:00]],"=~?")</f>
        <v>4</v>
      </c>
      <c r="E2733" s="2">
        <f>COUNTIF(contact[[#This Row],[Bagossy]:[Szo
03:00 - 10:00]],"=x")</f>
        <v>4</v>
      </c>
      <c r="F2733" s="2">
        <f>SUM(contact[[#This Row],[?]:[x]])</f>
        <v>8</v>
      </c>
      <c r="G2733" s="2">
        <f>COUNTIF(contact[[#This Row],[Sze
10:00 - 22:00]:[Cs
03:00 - 08:00]],"=x")+COUNTIF(contact[[#This Row],[P
08:00 - 12:00]:[P
03:00 - 08:00]],"=x")+COUNTIF(contact[[#This Row],[Szo
08:00 - 12:00]:[Szo
03:00 - 10:00]],"=x")</f>
        <v>4</v>
      </c>
      <c r="H2733" s="2" t="s">
        <v>4620</v>
      </c>
      <c r="I2733" s="2"/>
      <c r="J2733" s="3" t="s">
        <v>4308</v>
      </c>
      <c r="K2733" s="1" t="s">
        <v>175</v>
      </c>
      <c r="L2733" s="1" t="s">
        <v>2</v>
      </c>
      <c r="M2733" s="1" t="s">
        <v>2</v>
      </c>
      <c r="N2733" s="2" t="s">
        <v>4612</v>
      </c>
      <c r="O2733" s="2"/>
      <c r="P2733" s="2"/>
      <c r="Q2733" s="6" t="s">
        <v>4616</v>
      </c>
      <c r="R2733" s="6" t="s">
        <v>4616</v>
      </c>
      <c r="S2733" s="6"/>
      <c r="T2733" s="6" t="s">
        <v>1285</v>
      </c>
      <c r="U2733" s="6" t="s">
        <v>1285</v>
      </c>
      <c r="V2733" s="6"/>
      <c r="W2733" s="6"/>
      <c r="X2733" s="6"/>
      <c r="Y2733" s="6"/>
      <c r="Z2733" s="6" t="s">
        <v>1285</v>
      </c>
      <c r="AA2733" s="6"/>
      <c r="AB2733" s="6"/>
      <c r="AC2733" s="6" t="s">
        <v>4616</v>
      </c>
      <c r="AD2733" s="6" t="s">
        <v>4616</v>
      </c>
      <c r="AE2733" s="6" t="s">
        <v>1285</v>
      </c>
      <c r="AF2733" s="6"/>
    </row>
    <row r="2734" spans="1:32" s="1" customFormat="1" ht="20.25" customHeight="1" x14ac:dyDescent="0.25">
      <c r="A2734" s="2" t="s">
        <v>1285</v>
      </c>
      <c r="B2734" s="2" t="s">
        <v>1285</v>
      </c>
      <c r="C2734" s="2" t="s">
        <v>1285</v>
      </c>
      <c r="D2734" s="2">
        <f>COUNTIF(contact[[#This Row],[Bagossy]:[Szo
03:00 - 10:00]],"=~?")</f>
        <v>0</v>
      </c>
      <c r="E2734" s="2">
        <f>COUNTIF(contact[[#This Row],[Bagossy]:[Szo
03:00 - 10:00]],"=x")</f>
        <v>6</v>
      </c>
      <c r="F2734" s="2">
        <f>SUM(contact[[#This Row],[?]:[x]])</f>
        <v>6</v>
      </c>
      <c r="G2734" s="2">
        <f>COUNTIF(contact[[#This Row],[Sze
10:00 - 22:00]:[Cs
03:00 - 08:00]],"=x")+COUNTIF(contact[[#This Row],[P
08:00 - 12:00]:[P
03:00 - 08:00]],"=x")+COUNTIF(contact[[#This Row],[Szo
08:00 - 12:00]:[Szo
03:00 - 10:00]],"=x")</f>
        <v>6</v>
      </c>
      <c r="H2734" s="2" t="s">
        <v>4623</v>
      </c>
      <c r="J2734" s="3" t="s">
        <v>4311</v>
      </c>
      <c r="K2734" s="1" t="s">
        <v>246</v>
      </c>
      <c r="L2734" s="1" t="s">
        <v>2</v>
      </c>
      <c r="M2734" s="1" t="s">
        <v>2</v>
      </c>
      <c r="N2734" s="2" t="s">
        <v>4612</v>
      </c>
      <c r="O2734" s="2"/>
      <c r="P2734" s="2"/>
      <c r="Q2734" s="6"/>
      <c r="R2734" s="6"/>
      <c r="S2734" s="6"/>
      <c r="T2734" s="6"/>
      <c r="U2734" s="6" t="s">
        <v>1285</v>
      </c>
      <c r="V2734" s="6" t="s">
        <v>1285</v>
      </c>
      <c r="W2734" s="6"/>
      <c r="X2734" s="6"/>
      <c r="Y2734" s="6"/>
      <c r="Z2734" s="6" t="s">
        <v>1285</v>
      </c>
      <c r="AA2734" s="6" t="s">
        <v>1285</v>
      </c>
      <c r="AB2734" s="6"/>
      <c r="AC2734" s="6"/>
      <c r="AD2734" s="6" t="s">
        <v>1285</v>
      </c>
      <c r="AE2734" s="6" t="s">
        <v>1285</v>
      </c>
      <c r="AF2734" s="6"/>
    </row>
    <row r="2735" spans="1:32" s="1" customFormat="1" ht="20.25" customHeight="1" x14ac:dyDescent="0.25">
      <c r="A2735" s="2"/>
      <c r="B2735" s="2"/>
      <c r="C2735" s="2"/>
      <c r="D2735" s="2">
        <f>COUNTIF(contact[[#This Row],[Bagossy]:[Szo
03:00 - 10:00]],"=~?")</f>
        <v>0</v>
      </c>
      <c r="E2735" s="2">
        <f>COUNTIF(contact[[#This Row],[Bagossy]:[Szo
03:00 - 10:00]],"=x")</f>
        <v>0</v>
      </c>
      <c r="F2735" s="2">
        <f>SUM(contact[[#This Row],[?]:[x]])</f>
        <v>0</v>
      </c>
      <c r="G27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5" s="3" t="s">
        <v>3567</v>
      </c>
      <c r="K2735" s="1" t="s">
        <v>1646</v>
      </c>
      <c r="L2735" s="1" t="s">
        <v>2</v>
      </c>
      <c r="M2735" s="1" t="s">
        <v>2</v>
      </c>
      <c r="O2735" s="2"/>
      <c r="P2735" s="2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</row>
    <row r="2736" spans="1:32" s="1" customFormat="1" ht="20.25" customHeight="1" x14ac:dyDescent="0.25">
      <c r="A2736" s="2"/>
      <c r="B2736" s="2"/>
      <c r="C2736" s="2"/>
      <c r="D2736" s="2">
        <f>COUNTIF(contact[[#This Row],[Bagossy]:[Szo
03:00 - 10:00]],"=~?")</f>
        <v>0</v>
      </c>
      <c r="E2736" s="2">
        <f>COUNTIF(contact[[#This Row],[Bagossy]:[Szo
03:00 - 10:00]],"=x")</f>
        <v>0</v>
      </c>
      <c r="F2736" s="2">
        <f>SUM(contact[[#This Row],[?]:[x]])</f>
        <v>0</v>
      </c>
      <c r="G27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6" s="3" t="s">
        <v>3660</v>
      </c>
      <c r="K2736" s="1" t="s">
        <v>2</v>
      </c>
      <c r="L2736" s="1" t="s">
        <v>2</v>
      </c>
      <c r="M2736" s="1" t="s">
        <v>2</v>
      </c>
      <c r="O2736" s="2"/>
      <c r="P2736" s="2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</row>
    <row r="2737" spans="1:32" s="1" customFormat="1" ht="20.25" customHeight="1" x14ac:dyDescent="0.25">
      <c r="A2737" s="2"/>
      <c r="B2737" s="2"/>
      <c r="C2737" s="2"/>
      <c r="D2737" s="2">
        <f>COUNTIF(contact[[#This Row],[Bagossy]:[Szo
03:00 - 10:00]],"=~?")</f>
        <v>0</v>
      </c>
      <c r="E2737" s="2">
        <f>COUNTIF(contact[[#This Row],[Bagossy]:[Szo
03:00 - 10:00]],"=x")</f>
        <v>0</v>
      </c>
      <c r="F2737" s="2">
        <f>SUM(contact[[#This Row],[?]:[x]])</f>
        <v>0</v>
      </c>
      <c r="G27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7" s="3" t="s">
        <v>2573</v>
      </c>
      <c r="K2737" s="1" t="s">
        <v>68</v>
      </c>
      <c r="L2737" s="1" t="s">
        <v>2</v>
      </c>
      <c r="M2737" s="1" t="s">
        <v>2</v>
      </c>
      <c r="O2737" s="2"/>
      <c r="P2737" s="2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</row>
    <row r="2738" spans="1:32" s="1" customFormat="1" ht="20.25" customHeight="1" x14ac:dyDescent="0.25">
      <c r="A2738" s="2"/>
      <c r="B2738" s="2"/>
      <c r="C2738" s="2"/>
      <c r="D2738" s="2">
        <f>COUNTIF(contact[[#This Row],[Bagossy]:[Szo
03:00 - 10:00]],"=~?")</f>
        <v>0</v>
      </c>
      <c r="E2738" s="2">
        <f>COUNTIF(contact[[#This Row],[Bagossy]:[Szo
03:00 - 10:00]],"=x")</f>
        <v>0</v>
      </c>
      <c r="F2738" s="2">
        <f>SUM(contact[[#This Row],[?]:[x]])</f>
        <v>0</v>
      </c>
      <c r="G27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8" s="3" t="s">
        <v>3406</v>
      </c>
      <c r="K2738" s="1" t="s">
        <v>1293</v>
      </c>
      <c r="L2738" s="1" t="s">
        <v>2</v>
      </c>
      <c r="M2738" s="1" t="s">
        <v>2</v>
      </c>
      <c r="O2738" s="2"/>
      <c r="P2738" s="2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</row>
    <row r="2739" spans="1:32" s="1" customFormat="1" ht="20.25" customHeight="1" x14ac:dyDescent="0.25">
      <c r="A2739" s="2"/>
      <c r="B2739" s="2"/>
      <c r="C2739" s="2"/>
      <c r="D2739" s="2">
        <f>COUNTIF(contact[[#This Row],[Bagossy]:[Szo
03:00 - 10:00]],"=~?")</f>
        <v>0</v>
      </c>
      <c r="E2739" s="2">
        <f>COUNTIF(contact[[#This Row],[Bagossy]:[Szo
03:00 - 10:00]],"=x")</f>
        <v>0</v>
      </c>
      <c r="F2739" s="2">
        <f>SUM(contact[[#This Row],[?]:[x]])</f>
        <v>0</v>
      </c>
      <c r="G27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39" s="3" t="s">
        <v>2343</v>
      </c>
      <c r="K2739" s="1" t="s">
        <v>253</v>
      </c>
      <c r="L2739" s="1" t="s">
        <v>2</v>
      </c>
      <c r="M2739" s="1" t="s">
        <v>2</v>
      </c>
      <c r="O2739" s="2"/>
      <c r="P2739" s="2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</row>
    <row r="2740" spans="1:32" s="1" customFormat="1" ht="20.25" customHeight="1" x14ac:dyDescent="0.25">
      <c r="A2740" s="2"/>
      <c r="B2740" s="2"/>
      <c r="C2740" s="2"/>
      <c r="D2740" s="2">
        <f>COUNTIF(contact[[#This Row],[Bagossy]:[Szo
03:00 - 10:00]],"=~?")</f>
        <v>0</v>
      </c>
      <c r="E2740" s="2">
        <f>COUNTIF(contact[[#This Row],[Bagossy]:[Szo
03:00 - 10:00]],"=x")</f>
        <v>0</v>
      </c>
      <c r="F2740" s="2">
        <f>SUM(contact[[#This Row],[?]:[x]])</f>
        <v>0</v>
      </c>
      <c r="G27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0" s="3" t="s">
        <v>3049</v>
      </c>
      <c r="K2740" s="1" t="s">
        <v>619</v>
      </c>
      <c r="L2740" s="1" t="s">
        <v>2</v>
      </c>
      <c r="M2740" s="1" t="s">
        <v>2</v>
      </c>
      <c r="O2740" s="2"/>
      <c r="P2740" s="2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</row>
    <row r="2741" spans="1:32" s="1" customFormat="1" ht="20.25" customHeight="1" x14ac:dyDescent="0.25">
      <c r="A2741" s="2"/>
      <c r="B2741" s="2"/>
      <c r="C2741" s="2"/>
      <c r="D2741" s="2">
        <f>COUNTIF(contact[[#This Row],[Bagossy]:[Szo
03:00 - 10:00]],"=~?")</f>
        <v>0</v>
      </c>
      <c r="E2741" s="2">
        <f>COUNTIF(contact[[#This Row],[Bagossy]:[Szo
03:00 - 10:00]],"=x")</f>
        <v>0</v>
      </c>
      <c r="F2741" s="2">
        <f>SUM(contact[[#This Row],[?]:[x]])</f>
        <v>0</v>
      </c>
      <c r="G27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1" s="3" t="s">
        <v>3970</v>
      </c>
      <c r="K2741" s="1" t="s">
        <v>2</v>
      </c>
      <c r="L2741" s="1" t="s">
        <v>2</v>
      </c>
      <c r="M2741" s="1" t="s">
        <v>2</v>
      </c>
      <c r="O2741" s="2"/>
      <c r="P2741" s="2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</row>
    <row r="2742" spans="1:32" s="1" customFormat="1" ht="20.25" customHeight="1" x14ac:dyDescent="0.25">
      <c r="A2742" s="2"/>
      <c r="B2742" s="2"/>
      <c r="C2742" s="2"/>
      <c r="D2742" s="2">
        <f>COUNTIF(contact[[#This Row],[Bagossy]:[Szo
03:00 - 10:00]],"=~?")</f>
        <v>0</v>
      </c>
      <c r="E2742" s="2">
        <f>COUNTIF(contact[[#This Row],[Bagossy]:[Szo
03:00 - 10:00]],"=x")</f>
        <v>0</v>
      </c>
      <c r="F2742" s="2">
        <f>SUM(contact[[#This Row],[?]:[x]])</f>
        <v>0</v>
      </c>
      <c r="G27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2" s="3" t="s">
        <v>4566</v>
      </c>
      <c r="K2742" s="1" t="s">
        <v>2</v>
      </c>
      <c r="L2742" s="1" t="s">
        <v>2</v>
      </c>
      <c r="M2742" s="1" t="s">
        <v>2</v>
      </c>
      <c r="O2742" s="2"/>
      <c r="P2742" s="2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</row>
    <row r="2743" spans="1:32" s="1" customFormat="1" ht="20.25" customHeight="1" x14ac:dyDescent="0.25">
      <c r="A2743" s="2"/>
      <c r="B2743" s="2"/>
      <c r="C2743" s="2"/>
      <c r="D2743" s="2">
        <f>COUNTIF(contact[[#This Row],[Bagossy]:[Szo
03:00 - 10:00]],"=~?")</f>
        <v>0</v>
      </c>
      <c r="E2743" s="2">
        <f>COUNTIF(contact[[#This Row],[Bagossy]:[Szo
03:00 - 10:00]],"=x")</f>
        <v>0</v>
      </c>
      <c r="F2743" s="2">
        <f>SUM(contact[[#This Row],[?]:[x]])</f>
        <v>0</v>
      </c>
      <c r="G27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3" s="3" t="s">
        <v>2734</v>
      </c>
      <c r="K2743" s="1" t="s">
        <v>2</v>
      </c>
      <c r="L2743" s="1" t="s">
        <v>2</v>
      </c>
      <c r="M2743" s="1" t="s">
        <v>2</v>
      </c>
      <c r="O2743" s="2"/>
      <c r="P2743" s="2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</row>
    <row r="2744" spans="1:32" s="1" customFormat="1" ht="20.25" customHeight="1" x14ac:dyDescent="0.25">
      <c r="A2744" s="2"/>
      <c r="B2744" s="2"/>
      <c r="C2744" s="2"/>
      <c r="D2744" s="2">
        <f>COUNTIF(contact[[#This Row],[Bagossy]:[Szo
03:00 - 10:00]],"=~?")</f>
        <v>0</v>
      </c>
      <c r="E2744" s="2">
        <f>COUNTIF(contact[[#This Row],[Bagossy]:[Szo
03:00 - 10:00]],"=x")</f>
        <v>0</v>
      </c>
      <c r="F2744" s="2">
        <f>SUM(contact[[#This Row],[?]:[x]])</f>
        <v>0</v>
      </c>
      <c r="G27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4" s="3" t="s">
        <v>3278</v>
      </c>
      <c r="K2744" s="1" t="s">
        <v>2</v>
      </c>
      <c r="L2744" s="1" t="s">
        <v>2</v>
      </c>
      <c r="M2744" s="1" t="s">
        <v>2</v>
      </c>
      <c r="O2744" s="2"/>
      <c r="P2744" s="2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</row>
    <row r="2745" spans="1:32" s="1" customFormat="1" ht="20.25" customHeight="1" x14ac:dyDescent="0.25">
      <c r="A2745" s="2"/>
      <c r="B2745" s="2"/>
      <c r="C2745" s="2"/>
      <c r="D2745" s="2">
        <f>COUNTIF(contact[[#This Row],[Bagossy]:[Szo
03:00 - 10:00]],"=~?")</f>
        <v>0</v>
      </c>
      <c r="E2745" s="2">
        <f>COUNTIF(contact[[#This Row],[Bagossy]:[Szo
03:00 - 10:00]],"=x")</f>
        <v>0</v>
      </c>
      <c r="F2745" s="2">
        <f>SUM(contact[[#This Row],[?]:[x]])</f>
        <v>0</v>
      </c>
      <c r="G27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5" s="3" t="s">
        <v>4014</v>
      </c>
      <c r="K2745" s="1" t="s">
        <v>2</v>
      </c>
      <c r="L2745" s="1" t="s">
        <v>2</v>
      </c>
      <c r="M2745" s="1" t="s">
        <v>2</v>
      </c>
      <c r="O2745" s="2"/>
      <c r="P2745" s="2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</row>
    <row r="2746" spans="1:32" s="1" customFormat="1" ht="20.25" customHeight="1" x14ac:dyDescent="0.25">
      <c r="A2746" s="2"/>
      <c r="B2746" s="2"/>
      <c r="C2746" s="2"/>
      <c r="D2746" s="2">
        <f>COUNTIF(contact[[#This Row],[Bagossy]:[Szo
03:00 - 10:00]],"=~?")</f>
        <v>0</v>
      </c>
      <c r="E2746" s="2">
        <f>COUNTIF(contact[[#This Row],[Bagossy]:[Szo
03:00 - 10:00]],"=x")</f>
        <v>0</v>
      </c>
      <c r="F2746" s="2">
        <f>SUM(contact[[#This Row],[?]:[x]])</f>
        <v>0</v>
      </c>
      <c r="G27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6" s="3" t="s">
        <v>2735</v>
      </c>
      <c r="K2746" s="1" t="s">
        <v>1478</v>
      </c>
      <c r="L2746" s="1" t="s">
        <v>2</v>
      </c>
      <c r="M2746" s="1" t="s">
        <v>2</v>
      </c>
      <c r="O2746" s="2"/>
      <c r="P2746" s="2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</row>
    <row r="2747" spans="1:32" s="1" customFormat="1" ht="20.25" customHeight="1" x14ac:dyDescent="0.25">
      <c r="A2747" s="2"/>
      <c r="B2747" s="2"/>
      <c r="C2747" s="2" t="s">
        <v>1285</v>
      </c>
      <c r="D2747" s="2">
        <f>COUNTIF(contact[[#This Row],[Bagossy]:[Szo
03:00 - 10:00]],"=~?")</f>
        <v>0</v>
      </c>
      <c r="E2747" s="2">
        <f>COUNTIF(contact[[#This Row],[Bagossy]:[Szo
03:00 - 10:00]],"=x")</f>
        <v>0</v>
      </c>
      <c r="F2747" s="2">
        <f>SUM(contact[[#This Row],[?]:[x]])</f>
        <v>0</v>
      </c>
      <c r="G27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47" s="2" t="s">
        <v>4616</v>
      </c>
      <c r="I2747" s="2"/>
      <c r="J2747" s="3" t="s">
        <v>4331</v>
      </c>
      <c r="K2747" s="1" t="s">
        <v>622</v>
      </c>
      <c r="L2747" s="1" t="s">
        <v>2</v>
      </c>
      <c r="M2747" s="1" t="s">
        <v>2</v>
      </c>
      <c r="O2747" s="2"/>
      <c r="P2747" s="2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</row>
    <row r="2748" spans="1:32" s="1" customFormat="1" ht="20.25" customHeight="1" x14ac:dyDescent="0.25">
      <c r="A2748" s="2"/>
      <c r="B2748" s="2"/>
      <c r="C2748" s="2"/>
      <c r="D2748" s="2">
        <f>COUNTIF(contact[[#This Row],[Bagossy]:[Szo
03:00 - 10:00]],"=~?")</f>
        <v>0</v>
      </c>
      <c r="E2748" s="2">
        <f>COUNTIF(contact[[#This Row],[Bagossy]:[Szo
03:00 - 10:00]],"=x")</f>
        <v>0</v>
      </c>
      <c r="F2748" s="2">
        <f>SUM(contact[[#This Row],[?]:[x]])</f>
        <v>0</v>
      </c>
      <c r="G27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8" s="3" t="s">
        <v>3934</v>
      </c>
      <c r="K2748" s="1" t="s">
        <v>1014</v>
      </c>
      <c r="L2748" s="1" t="s">
        <v>2</v>
      </c>
      <c r="M2748" s="1" t="s">
        <v>2</v>
      </c>
      <c r="O2748" s="2"/>
      <c r="P2748" s="2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</row>
    <row r="2749" spans="1:32" s="1" customFormat="1" ht="20.25" customHeight="1" x14ac:dyDescent="0.25">
      <c r="A2749" s="2"/>
      <c r="B2749" s="2"/>
      <c r="C2749" s="2"/>
      <c r="D2749" s="2">
        <f>COUNTIF(contact[[#This Row],[Bagossy]:[Szo
03:00 - 10:00]],"=~?")</f>
        <v>0</v>
      </c>
      <c r="E2749" s="2">
        <f>COUNTIF(contact[[#This Row],[Bagossy]:[Szo
03:00 - 10:00]],"=x")</f>
        <v>0</v>
      </c>
      <c r="F2749" s="2">
        <f>SUM(contact[[#This Row],[?]:[x]])</f>
        <v>0</v>
      </c>
      <c r="G27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49" s="3" t="s">
        <v>1164</v>
      </c>
      <c r="K2749" s="1" t="s">
        <v>1165</v>
      </c>
      <c r="L2749" s="1" t="s">
        <v>2</v>
      </c>
      <c r="M2749" s="1" t="s">
        <v>2</v>
      </c>
      <c r="O2749" s="2"/>
      <c r="P2749" s="2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</row>
    <row r="2750" spans="1:32" s="1" customFormat="1" ht="20.25" customHeight="1" x14ac:dyDescent="0.25">
      <c r="A2750" s="2"/>
      <c r="B2750" s="2"/>
      <c r="C2750" s="2"/>
      <c r="D2750" s="2">
        <f>COUNTIF(contact[[#This Row],[Bagossy]:[Szo
03:00 - 10:00]],"=~?")</f>
        <v>0</v>
      </c>
      <c r="E2750" s="2">
        <f>COUNTIF(contact[[#This Row],[Bagossy]:[Szo
03:00 - 10:00]],"=x")</f>
        <v>0</v>
      </c>
      <c r="F2750" s="2">
        <f>SUM(contact[[#This Row],[?]:[x]])</f>
        <v>0</v>
      </c>
      <c r="G27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0" s="3" t="s">
        <v>1166</v>
      </c>
      <c r="K2750" s="1" t="s">
        <v>2</v>
      </c>
      <c r="L2750" s="1" t="s">
        <v>2</v>
      </c>
      <c r="M2750" s="1" t="s">
        <v>2</v>
      </c>
      <c r="O2750" s="2"/>
      <c r="P2750" s="2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</row>
    <row r="2751" spans="1:32" s="1" customFormat="1" ht="20.25" customHeight="1" x14ac:dyDescent="0.25">
      <c r="A2751" s="2"/>
      <c r="B2751" s="2"/>
      <c r="C2751" s="2"/>
      <c r="D2751" s="2">
        <f>COUNTIF(contact[[#This Row],[Bagossy]:[Szo
03:00 - 10:00]],"=~?")</f>
        <v>0</v>
      </c>
      <c r="E2751" s="2">
        <f>COUNTIF(contact[[#This Row],[Bagossy]:[Szo
03:00 - 10:00]],"=x")</f>
        <v>0</v>
      </c>
      <c r="F2751" s="2">
        <f>SUM(contact[[#This Row],[?]:[x]])</f>
        <v>0</v>
      </c>
      <c r="G27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1" s="3" t="s">
        <v>1167</v>
      </c>
      <c r="K2751" s="1" t="s">
        <v>2</v>
      </c>
      <c r="L2751" s="1" t="s">
        <v>2</v>
      </c>
      <c r="M2751" s="1" t="s">
        <v>2</v>
      </c>
      <c r="O2751" s="2"/>
      <c r="P2751" s="2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</row>
    <row r="2752" spans="1:32" s="1" customFormat="1" ht="20.25" customHeight="1" x14ac:dyDescent="0.25">
      <c r="A2752" s="2"/>
      <c r="B2752" s="2"/>
      <c r="C2752" s="2"/>
      <c r="D2752" s="2">
        <f>COUNTIF(contact[[#This Row],[Bagossy]:[Szo
03:00 - 10:00]],"=~?")</f>
        <v>0</v>
      </c>
      <c r="E2752" s="2">
        <f>COUNTIF(contact[[#This Row],[Bagossy]:[Szo
03:00 - 10:00]],"=x")</f>
        <v>0</v>
      </c>
      <c r="F2752" s="2">
        <f>SUM(contact[[#This Row],[?]:[x]])</f>
        <v>0</v>
      </c>
      <c r="G27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2" s="3" t="s">
        <v>3699</v>
      </c>
      <c r="K2752" s="1" t="s">
        <v>903</v>
      </c>
      <c r="L2752" s="1" t="s">
        <v>2</v>
      </c>
      <c r="M2752" s="1" t="s">
        <v>2</v>
      </c>
      <c r="O2752" s="2"/>
      <c r="P2752" s="2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</row>
    <row r="2753" spans="1:32" s="1" customFormat="1" ht="20.25" customHeight="1" x14ac:dyDescent="0.25">
      <c r="A2753" s="2"/>
      <c r="B2753" s="2"/>
      <c r="C2753" s="2"/>
      <c r="D2753" s="2">
        <f>COUNTIF(contact[[#This Row],[Bagossy]:[Szo
03:00 - 10:00]],"=~?")</f>
        <v>0</v>
      </c>
      <c r="E2753" s="2">
        <f>COUNTIF(contact[[#This Row],[Bagossy]:[Szo
03:00 - 10:00]],"=x")</f>
        <v>0</v>
      </c>
      <c r="F2753" s="2">
        <f>SUM(contact[[#This Row],[?]:[x]])</f>
        <v>0</v>
      </c>
      <c r="G27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3" s="3" t="s">
        <v>4169</v>
      </c>
      <c r="K2753" s="1" t="s">
        <v>2</v>
      </c>
      <c r="L2753" s="1" t="s">
        <v>2</v>
      </c>
      <c r="M2753" s="1" t="s">
        <v>2</v>
      </c>
      <c r="O2753" s="2"/>
      <c r="P2753" s="2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</row>
    <row r="2754" spans="1:32" s="1" customFormat="1" ht="20.25" customHeight="1" x14ac:dyDescent="0.25">
      <c r="A2754" s="2"/>
      <c r="B2754" s="2"/>
      <c r="C2754" s="2"/>
      <c r="D2754" s="2">
        <f>COUNTIF(contact[[#This Row],[Bagossy]:[Szo
03:00 - 10:00]],"=~?")</f>
        <v>0</v>
      </c>
      <c r="E2754" s="2">
        <f>COUNTIF(contact[[#This Row],[Bagossy]:[Szo
03:00 - 10:00]],"=x")</f>
        <v>0</v>
      </c>
      <c r="F2754" s="2">
        <f>SUM(contact[[#This Row],[?]:[x]])</f>
        <v>0</v>
      </c>
      <c r="G27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4" s="3" t="s">
        <v>4353</v>
      </c>
      <c r="K2754" s="1" t="s">
        <v>1208</v>
      </c>
      <c r="L2754" s="1" t="s">
        <v>2</v>
      </c>
      <c r="M2754" s="1" t="s">
        <v>2</v>
      </c>
      <c r="O2754" s="2"/>
      <c r="P2754" s="2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</row>
    <row r="2755" spans="1:32" s="1" customFormat="1" ht="20.25" customHeight="1" x14ac:dyDescent="0.25">
      <c r="A2755" s="2"/>
      <c r="B2755" s="2"/>
      <c r="C2755" s="2"/>
      <c r="D2755" s="2">
        <f>COUNTIF(contact[[#This Row],[Bagossy]:[Szo
03:00 - 10:00]],"=~?")</f>
        <v>0</v>
      </c>
      <c r="E2755" s="2">
        <f>COUNTIF(contact[[#This Row],[Bagossy]:[Szo
03:00 - 10:00]],"=x")</f>
        <v>0</v>
      </c>
      <c r="F2755" s="2">
        <f>SUM(contact[[#This Row],[?]:[x]])</f>
        <v>0</v>
      </c>
      <c r="G27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5" s="3" t="s">
        <v>4118</v>
      </c>
      <c r="K2755" s="1" t="s">
        <v>2</v>
      </c>
      <c r="L2755" s="1" t="s">
        <v>2</v>
      </c>
      <c r="M2755" s="1" t="s">
        <v>2</v>
      </c>
      <c r="O2755" s="2"/>
      <c r="P2755" s="2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</row>
    <row r="2756" spans="1:32" s="1" customFormat="1" ht="20.25" customHeight="1" x14ac:dyDescent="0.25">
      <c r="A2756" s="2"/>
      <c r="B2756" s="2"/>
      <c r="C2756" s="2"/>
      <c r="D2756" s="2">
        <f>COUNTIF(contact[[#This Row],[Bagossy]:[Szo
03:00 - 10:00]],"=~?")</f>
        <v>0</v>
      </c>
      <c r="E2756" s="2">
        <f>COUNTIF(contact[[#This Row],[Bagossy]:[Szo
03:00 - 10:00]],"=x")</f>
        <v>0</v>
      </c>
      <c r="F2756" s="2">
        <f>SUM(contact[[#This Row],[?]:[x]])</f>
        <v>0</v>
      </c>
      <c r="G27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56" s="2"/>
      <c r="I2756" s="2"/>
      <c r="J2756" s="3" t="s">
        <v>4345</v>
      </c>
      <c r="K2756" s="1" t="s">
        <v>813</v>
      </c>
      <c r="L2756" s="1" t="s">
        <v>2</v>
      </c>
      <c r="M2756" s="1" t="s">
        <v>2</v>
      </c>
      <c r="O2756" s="2"/>
      <c r="P2756" s="2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</row>
    <row r="2757" spans="1:32" s="1" customFormat="1" ht="20.25" customHeight="1" x14ac:dyDescent="0.25">
      <c r="A2757" s="2"/>
      <c r="B2757" s="2"/>
      <c r="C2757" s="2"/>
      <c r="D2757" s="2">
        <f>COUNTIF(contact[[#This Row],[Bagossy]:[Szo
03:00 - 10:00]],"=~?")</f>
        <v>0</v>
      </c>
      <c r="E2757" s="2">
        <f>COUNTIF(contact[[#This Row],[Bagossy]:[Szo
03:00 - 10:00]],"=x")</f>
        <v>0</v>
      </c>
      <c r="F2757" s="2">
        <f>SUM(contact[[#This Row],[?]:[x]])</f>
        <v>0</v>
      </c>
      <c r="G27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7" s="3" t="s">
        <v>4003</v>
      </c>
      <c r="K2757" s="1" t="s">
        <v>2</v>
      </c>
      <c r="L2757" s="1" t="s">
        <v>2</v>
      </c>
      <c r="M2757" s="1" t="s">
        <v>2</v>
      </c>
      <c r="O2757" s="2"/>
      <c r="P2757" s="2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</row>
    <row r="2758" spans="1:32" s="1" customFormat="1" ht="20.25" customHeight="1" x14ac:dyDescent="0.25">
      <c r="A2758" s="2"/>
      <c r="B2758" s="2"/>
      <c r="C2758" s="2"/>
      <c r="D2758" s="2">
        <f>COUNTIF(contact[[#This Row],[Bagossy]:[Szo
03:00 - 10:00]],"=~?")</f>
        <v>0</v>
      </c>
      <c r="E2758" s="2">
        <f>COUNTIF(contact[[#This Row],[Bagossy]:[Szo
03:00 - 10:00]],"=x")</f>
        <v>0</v>
      </c>
      <c r="F2758" s="2">
        <f>SUM(contact[[#This Row],[?]:[x]])</f>
        <v>0</v>
      </c>
      <c r="G27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8" s="3" t="s">
        <v>3121</v>
      </c>
      <c r="K2758" s="1" t="s">
        <v>2</v>
      </c>
      <c r="L2758" s="1" t="s">
        <v>2</v>
      </c>
      <c r="M2758" s="1" t="s">
        <v>2</v>
      </c>
      <c r="O2758" s="2"/>
      <c r="P2758" s="2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</row>
    <row r="2759" spans="1:32" s="1" customFormat="1" ht="20.25" customHeight="1" x14ac:dyDescent="0.25">
      <c r="A2759" s="2"/>
      <c r="B2759" s="2"/>
      <c r="C2759" s="2"/>
      <c r="D2759" s="2">
        <f>COUNTIF(contact[[#This Row],[Bagossy]:[Szo
03:00 - 10:00]],"=~?")</f>
        <v>0</v>
      </c>
      <c r="E2759" s="2">
        <f>COUNTIF(contact[[#This Row],[Bagossy]:[Szo
03:00 - 10:00]],"=x")</f>
        <v>0</v>
      </c>
      <c r="F2759" s="2">
        <f>SUM(contact[[#This Row],[?]:[x]])</f>
        <v>0</v>
      </c>
      <c r="G27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59" s="3" t="s">
        <v>4291</v>
      </c>
      <c r="K2759" s="1" t="s">
        <v>1327</v>
      </c>
      <c r="L2759" s="1" t="s">
        <v>2</v>
      </c>
      <c r="M2759" s="1" t="s">
        <v>2</v>
      </c>
      <c r="O2759" s="2"/>
      <c r="P2759" s="2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</row>
    <row r="2760" spans="1:32" s="1" customFormat="1" ht="20.25" customHeight="1" x14ac:dyDescent="0.25">
      <c r="A2760" s="2"/>
      <c r="B2760" s="2"/>
      <c r="C2760" s="2"/>
      <c r="D2760" s="2">
        <f>COUNTIF(contact[[#This Row],[Bagossy]:[Szo
03:00 - 10:00]],"=~?")</f>
        <v>0</v>
      </c>
      <c r="E2760" s="2">
        <f>COUNTIF(contact[[#This Row],[Bagossy]:[Szo
03:00 - 10:00]],"=x")</f>
        <v>0</v>
      </c>
      <c r="F2760" s="2">
        <f>SUM(contact[[#This Row],[?]:[x]])</f>
        <v>0</v>
      </c>
      <c r="G27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0" s="3" t="s">
        <v>3320</v>
      </c>
      <c r="K2760" s="1" t="s">
        <v>78</v>
      </c>
      <c r="L2760" s="1" t="s">
        <v>2</v>
      </c>
      <c r="M2760" s="1" t="s">
        <v>2</v>
      </c>
      <c r="O2760" s="2"/>
      <c r="P2760" s="2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</row>
    <row r="2761" spans="1:32" s="1" customFormat="1" ht="20.25" customHeight="1" x14ac:dyDescent="0.25">
      <c r="A2761" s="2"/>
      <c r="B2761" s="2"/>
      <c r="C2761" s="2"/>
      <c r="D2761" s="2">
        <f>COUNTIF(contact[[#This Row],[Bagossy]:[Szo
03:00 - 10:00]],"=~?")</f>
        <v>0</v>
      </c>
      <c r="E2761" s="2">
        <f>COUNTIF(contact[[#This Row],[Bagossy]:[Szo
03:00 - 10:00]],"=x")</f>
        <v>0</v>
      </c>
      <c r="F2761" s="2">
        <f>SUM(contact[[#This Row],[?]:[x]])</f>
        <v>0</v>
      </c>
      <c r="G27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1" s="3" t="s">
        <v>2275</v>
      </c>
      <c r="K2761" s="1" t="s">
        <v>1380</v>
      </c>
      <c r="L2761" s="1" t="s">
        <v>2</v>
      </c>
      <c r="M2761" s="1" t="s">
        <v>2</v>
      </c>
      <c r="O2761" s="2"/>
      <c r="P2761" s="2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</row>
    <row r="2762" spans="1:32" s="1" customFormat="1" ht="20.25" customHeight="1" x14ac:dyDescent="0.25">
      <c r="A2762" s="2"/>
      <c r="B2762" s="2"/>
      <c r="C2762" s="2"/>
      <c r="D2762" s="2">
        <f>COUNTIF(contact[[#This Row],[Bagossy]:[Szo
03:00 - 10:00]],"=~?")</f>
        <v>0</v>
      </c>
      <c r="E2762" s="2">
        <f>COUNTIF(contact[[#This Row],[Bagossy]:[Szo
03:00 - 10:00]],"=x")</f>
        <v>0</v>
      </c>
      <c r="F2762" s="2">
        <f>SUM(contact[[#This Row],[?]:[x]])</f>
        <v>0</v>
      </c>
      <c r="G27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2" s="3" t="s">
        <v>3829</v>
      </c>
      <c r="K2762" s="1" t="s">
        <v>570</v>
      </c>
      <c r="L2762" s="1" t="s">
        <v>2</v>
      </c>
      <c r="M2762" s="1" t="s">
        <v>2</v>
      </c>
      <c r="O2762" s="2"/>
      <c r="P2762" s="2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</row>
    <row r="2763" spans="1:32" s="1" customFormat="1" ht="20.25" customHeight="1" x14ac:dyDescent="0.25">
      <c r="A2763" s="2"/>
      <c r="B2763" s="2"/>
      <c r="C2763" s="2"/>
      <c r="D2763" s="2">
        <f>COUNTIF(contact[[#This Row],[Bagossy]:[Szo
03:00 - 10:00]],"=~?")</f>
        <v>0</v>
      </c>
      <c r="E2763" s="2">
        <f>COUNTIF(contact[[#This Row],[Bagossy]:[Szo
03:00 - 10:00]],"=x")</f>
        <v>0</v>
      </c>
      <c r="F2763" s="2">
        <f>SUM(contact[[#This Row],[?]:[x]])</f>
        <v>0</v>
      </c>
      <c r="G27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3" s="3" t="s">
        <v>3000</v>
      </c>
      <c r="K2763" s="1" t="s">
        <v>1332</v>
      </c>
      <c r="L2763" s="1" t="s">
        <v>2</v>
      </c>
      <c r="M2763" s="1" t="s">
        <v>2</v>
      </c>
      <c r="O2763" s="2"/>
      <c r="P2763" s="2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</row>
    <row r="2764" spans="1:32" s="1" customFormat="1" ht="20.25" customHeight="1" x14ac:dyDescent="0.25">
      <c r="A2764" s="2"/>
      <c r="B2764" s="2"/>
      <c r="C2764" s="2"/>
      <c r="D2764" s="2">
        <f>COUNTIF(contact[[#This Row],[Bagossy]:[Szo
03:00 - 10:00]],"=~?")</f>
        <v>0</v>
      </c>
      <c r="E2764" s="2">
        <f>COUNTIF(contact[[#This Row],[Bagossy]:[Szo
03:00 - 10:00]],"=x")</f>
        <v>0</v>
      </c>
      <c r="F2764" s="2">
        <f>SUM(contact[[#This Row],[?]:[x]])</f>
        <v>0</v>
      </c>
      <c r="G27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4" s="3" t="s">
        <v>1181</v>
      </c>
      <c r="K2764" s="1" t="s">
        <v>2</v>
      </c>
      <c r="L2764" s="1" t="s">
        <v>2</v>
      </c>
      <c r="M2764" s="1" t="s">
        <v>2</v>
      </c>
      <c r="O2764" s="2"/>
      <c r="P2764" s="2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</row>
    <row r="2765" spans="1:32" s="1" customFormat="1" ht="20.25" customHeight="1" x14ac:dyDescent="0.25">
      <c r="A2765" s="2"/>
      <c r="B2765" s="2"/>
      <c r="C2765" s="2"/>
      <c r="D2765" s="2">
        <f>COUNTIF(contact[[#This Row],[Bagossy]:[Szo
03:00 - 10:00]],"=~?")</f>
        <v>0</v>
      </c>
      <c r="E2765" s="2">
        <f>COUNTIF(contact[[#This Row],[Bagossy]:[Szo
03:00 - 10:00]],"=x")</f>
        <v>0</v>
      </c>
      <c r="F2765" s="2">
        <f>SUM(contact[[#This Row],[?]:[x]])</f>
        <v>0</v>
      </c>
      <c r="G27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5" s="3" t="s">
        <v>4251</v>
      </c>
      <c r="K2765" s="1" t="s">
        <v>66</v>
      </c>
      <c r="L2765" s="1" t="s">
        <v>2</v>
      </c>
      <c r="M2765" s="1" t="s">
        <v>2</v>
      </c>
      <c r="O2765" s="2"/>
      <c r="P2765" s="2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</row>
    <row r="2766" spans="1:32" s="1" customFormat="1" ht="20.25" customHeight="1" x14ac:dyDescent="0.25">
      <c r="A2766" s="2"/>
      <c r="B2766" s="2"/>
      <c r="C2766" s="2"/>
      <c r="D2766" s="2">
        <f>COUNTIF(contact[[#This Row],[Bagossy]:[Szo
03:00 - 10:00]],"=~?")</f>
        <v>0</v>
      </c>
      <c r="E2766" s="2">
        <f>COUNTIF(contact[[#This Row],[Bagossy]:[Szo
03:00 - 10:00]],"=x")</f>
        <v>0</v>
      </c>
      <c r="F2766" s="2">
        <f>SUM(contact[[#This Row],[?]:[x]])</f>
        <v>0</v>
      </c>
      <c r="G27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6" s="3" t="s">
        <v>3547</v>
      </c>
      <c r="K2766" s="1" t="s">
        <v>2</v>
      </c>
      <c r="L2766" s="1" t="s">
        <v>2</v>
      </c>
      <c r="M2766" s="1" t="s">
        <v>2</v>
      </c>
      <c r="O2766" s="2"/>
      <c r="P2766" s="2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</row>
    <row r="2767" spans="1:32" s="1" customFormat="1" ht="20.25" customHeight="1" x14ac:dyDescent="0.25">
      <c r="A2767" s="2"/>
      <c r="B2767" s="2"/>
      <c r="C2767" s="2"/>
      <c r="D2767" s="2">
        <f>COUNTIF(contact[[#This Row],[Bagossy]:[Szo
03:00 - 10:00]],"=~?")</f>
        <v>0</v>
      </c>
      <c r="E2767" s="2">
        <f>COUNTIF(contact[[#This Row],[Bagossy]:[Szo
03:00 - 10:00]],"=x")</f>
        <v>0</v>
      </c>
      <c r="F2767" s="2">
        <f>SUM(contact[[#This Row],[?]:[x]])</f>
        <v>0</v>
      </c>
      <c r="G27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7" s="3" t="s">
        <v>4062</v>
      </c>
      <c r="K2767" s="1" t="s">
        <v>2</v>
      </c>
      <c r="L2767" s="1" t="s">
        <v>2</v>
      </c>
      <c r="M2767" s="1" t="s">
        <v>2</v>
      </c>
      <c r="O2767" s="2"/>
      <c r="P2767" s="2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</row>
    <row r="2768" spans="1:32" s="1" customFormat="1" ht="20.25" customHeight="1" x14ac:dyDescent="0.25">
      <c r="A2768" s="2"/>
      <c r="B2768" s="2"/>
      <c r="C2768" s="2"/>
      <c r="D2768" s="2">
        <f>COUNTIF(contact[[#This Row],[Bagossy]:[Szo
03:00 - 10:00]],"=~?")</f>
        <v>0</v>
      </c>
      <c r="E2768" s="2">
        <f>COUNTIF(contact[[#This Row],[Bagossy]:[Szo
03:00 - 10:00]],"=x")</f>
        <v>0</v>
      </c>
      <c r="F2768" s="2">
        <f>SUM(contact[[#This Row],[?]:[x]])</f>
        <v>0</v>
      </c>
      <c r="G27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8" s="3" t="s">
        <v>4307</v>
      </c>
      <c r="K2768" s="1" t="s">
        <v>1182</v>
      </c>
      <c r="L2768" s="1" t="s">
        <v>2</v>
      </c>
      <c r="M2768" s="1" t="s">
        <v>2</v>
      </c>
      <c r="O2768" s="2"/>
      <c r="P2768" s="2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</row>
    <row r="2769" spans="1:32" s="1" customFormat="1" ht="20.25" customHeight="1" x14ac:dyDescent="0.25">
      <c r="A2769" s="2"/>
      <c r="B2769" s="2"/>
      <c r="C2769" s="2"/>
      <c r="D2769" s="2">
        <f>COUNTIF(contact[[#This Row],[Bagossy]:[Szo
03:00 - 10:00]],"=~?")</f>
        <v>0</v>
      </c>
      <c r="E2769" s="2">
        <f>COUNTIF(contact[[#This Row],[Bagossy]:[Szo
03:00 - 10:00]],"=x")</f>
        <v>0</v>
      </c>
      <c r="F2769" s="2">
        <f>SUM(contact[[#This Row],[?]:[x]])</f>
        <v>0</v>
      </c>
      <c r="G27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69" s="3" t="s">
        <v>1129</v>
      </c>
      <c r="K2769" s="1" t="s">
        <v>2</v>
      </c>
      <c r="L2769" s="1" t="s">
        <v>2</v>
      </c>
      <c r="M2769" s="1" t="s">
        <v>2</v>
      </c>
      <c r="O2769" s="2"/>
      <c r="P2769" s="2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</row>
    <row r="2770" spans="1:32" s="1" customFormat="1" ht="20.25" customHeight="1" x14ac:dyDescent="0.25">
      <c r="A2770" s="2"/>
      <c r="B2770" s="2"/>
      <c r="C2770" s="2"/>
      <c r="D2770" s="2">
        <f>COUNTIF(contact[[#This Row],[Bagossy]:[Szo
03:00 - 10:00]],"=~?")</f>
        <v>0</v>
      </c>
      <c r="E2770" s="2">
        <f>COUNTIF(contact[[#This Row],[Bagossy]:[Szo
03:00 - 10:00]],"=x")</f>
        <v>0</v>
      </c>
      <c r="F2770" s="2">
        <f>SUM(contact[[#This Row],[?]:[x]])</f>
        <v>0</v>
      </c>
      <c r="G27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0" s="3" t="s">
        <v>3971</v>
      </c>
      <c r="K2770" s="1" t="s">
        <v>1332</v>
      </c>
      <c r="L2770" s="1" t="s">
        <v>2</v>
      </c>
      <c r="M2770" s="1" t="s">
        <v>2</v>
      </c>
      <c r="O2770" s="2"/>
      <c r="P2770" s="2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</row>
    <row r="2771" spans="1:32" s="1" customFormat="1" ht="20.25" customHeight="1" x14ac:dyDescent="0.25">
      <c r="A2771" s="2"/>
      <c r="B2771" s="2"/>
      <c r="C2771" s="2"/>
      <c r="D2771" s="2">
        <f>COUNTIF(contact[[#This Row],[Bagossy]:[Szo
03:00 - 10:00]],"=~?")</f>
        <v>0</v>
      </c>
      <c r="E2771" s="2">
        <f>COUNTIF(contact[[#This Row],[Bagossy]:[Szo
03:00 - 10:00]],"=x")</f>
        <v>0</v>
      </c>
      <c r="F2771" s="2">
        <f>SUM(contact[[#This Row],[?]:[x]])</f>
        <v>0</v>
      </c>
      <c r="G27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1" s="3" t="s">
        <v>3568</v>
      </c>
      <c r="K2771" s="1" t="s">
        <v>391</v>
      </c>
      <c r="L2771" s="1" t="s">
        <v>2</v>
      </c>
      <c r="M2771" s="1" t="s">
        <v>2</v>
      </c>
      <c r="O2771" s="2"/>
      <c r="P2771" s="2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</row>
    <row r="2772" spans="1:32" s="1" customFormat="1" ht="20.25" customHeight="1" x14ac:dyDescent="0.25">
      <c r="A2772" s="2"/>
      <c r="B2772" s="2"/>
      <c r="C2772" s="2"/>
      <c r="D2772" s="2">
        <f>COUNTIF(contact[[#This Row],[Bagossy]:[Szo
03:00 - 10:00]],"=~?")</f>
        <v>0</v>
      </c>
      <c r="E2772" s="2">
        <f>COUNTIF(contact[[#This Row],[Bagossy]:[Szo
03:00 - 10:00]],"=x")</f>
        <v>0</v>
      </c>
      <c r="F2772" s="2">
        <f>SUM(contact[[#This Row],[?]:[x]])</f>
        <v>0</v>
      </c>
      <c r="G27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2" s="3" t="s">
        <v>2954</v>
      </c>
      <c r="K2772" s="1" t="s">
        <v>577</v>
      </c>
      <c r="L2772" s="1" t="s">
        <v>2</v>
      </c>
      <c r="M2772" s="1" t="s">
        <v>2</v>
      </c>
      <c r="O2772" s="2"/>
      <c r="P2772" s="2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</row>
    <row r="2773" spans="1:32" s="1" customFormat="1" ht="20.25" customHeight="1" x14ac:dyDescent="0.25">
      <c r="A2773" s="2"/>
      <c r="B2773" s="2"/>
      <c r="C2773" s="2"/>
      <c r="D2773" s="2">
        <f>COUNTIF(contact[[#This Row],[Bagossy]:[Szo
03:00 - 10:00]],"=~?")</f>
        <v>0</v>
      </c>
      <c r="E2773" s="2">
        <f>COUNTIF(contact[[#This Row],[Bagossy]:[Szo
03:00 - 10:00]],"=x")</f>
        <v>0</v>
      </c>
      <c r="F2773" s="2">
        <f>SUM(contact[[#This Row],[?]:[x]])</f>
        <v>0</v>
      </c>
      <c r="G27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3" s="3" t="s">
        <v>2210</v>
      </c>
      <c r="K2773" s="1" t="s">
        <v>2</v>
      </c>
      <c r="L2773" s="1" t="s">
        <v>2</v>
      </c>
      <c r="M2773" s="1" t="s">
        <v>2</v>
      </c>
      <c r="O2773" s="2"/>
      <c r="P2773" s="2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</row>
    <row r="2774" spans="1:32" s="1" customFormat="1" ht="20.25" customHeight="1" x14ac:dyDescent="0.25">
      <c r="A2774" s="2"/>
      <c r="B2774" s="2"/>
      <c r="C2774" s="2"/>
      <c r="D2774" s="2">
        <f>COUNTIF(contact[[#This Row],[Bagossy]:[Szo
03:00 - 10:00]],"=~?")</f>
        <v>0</v>
      </c>
      <c r="E2774" s="2">
        <f>COUNTIF(contact[[#This Row],[Bagossy]:[Szo
03:00 - 10:00]],"=x")</f>
        <v>0</v>
      </c>
      <c r="F2774" s="2">
        <f>SUM(contact[[#This Row],[?]:[x]])</f>
        <v>0</v>
      </c>
      <c r="G27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4" s="3" t="s">
        <v>2459</v>
      </c>
      <c r="K2774" s="1" t="s">
        <v>1327</v>
      </c>
      <c r="L2774" s="1" t="s">
        <v>2</v>
      </c>
      <c r="M2774" s="1" t="s">
        <v>2</v>
      </c>
      <c r="O2774" s="2"/>
      <c r="P2774" s="2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</row>
    <row r="2775" spans="1:32" s="1" customFormat="1" ht="20.25" customHeight="1" x14ac:dyDescent="0.25">
      <c r="A2775" s="2"/>
      <c r="B2775" s="2"/>
      <c r="C2775" s="2"/>
      <c r="D2775" s="2">
        <f>COUNTIF(contact[[#This Row],[Bagossy]:[Szo
03:00 - 10:00]],"=~?")</f>
        <v>0</v>
      </c>
      <c r="E2775" s="2">
        <f>COUNTIF(contact[[#This Row],[Bagossy]:[Szo
03:00 - 10:00]],"=x")</f>
        <v>0</v>
      </c>
      <c r="F2775" s="2">
        <f>SUM(contact[[#This Row],[?]:[x]])</f>
        <v>0</v>
      </c>
      <c r="G27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5" s="3" t="s">
        <v>3525</v>
      </c>
      <c r="K2775" s="1" t="s">
        <v>2</v>
      </c>
      <c r="L2775" s="1" t="s">
        <v>2</v>
      </c>
      <c r="M2775" s="1" t="s">
        <v>2</v>
      </c>
      <c r="O2775" s="2"/>
      <c r="P2775" s="2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</row>
    <row r="2776" spans="1:32" s="1" customFormat="1" ht="20.25" customHeight="1" x14ac:dyDescent="0.25">
      <c r="A2776" s="2"/>
      <c r="B2776" s="2"/>
      <c r="C2776" s="2"/>
      <c r="D2776" s="2">
        <f>COUNTIF(contact[[#This Row],[Bagossy]:[Szo
03:00 - 10:00]],"=~?")</f>
        <v>0</v>
      </c>
      <c r="E2776" s="2">
        <f>COUNTIF(contact[[#This Row],[Bagossy]:[Szo
03:00 - 10:00]],"=x")</f>
        <v>0</v>
      </c>
      <c r="F2776" s="2">
        <f>SUM(contact[[#This Row],[?]:[x]])</f>
        <v>0</v>
      </c>
      <c r="G27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6" s="3" t="s">
        <v>1184</v>
      </c>
      <c r="K2776" s="1" t="s">
        <v>2</v>
      </c>
      <c r="L2776" s="1" t="s">
        <v>2</v>
      </c>
      <c r="M2776" s="1" t="s">
        <v>2</v>
      </c>
      <c r="O2776" s="2"/>
      <c r="P2776" s="2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</row>
    <row r="2777" spans="1:32" s="1" customFormat="1" ht="20.25" customHeight="1" x14ac:dyDescent="0.25">
      <c r="A2777" s="2"/>
      <c r="B2777" s="2"/>
      <c r="C2777" s="2"/>
      <c r="D2777" s="2">
        <f>COUNTIF(contact[[#This Row],[Bagossy]:[Szo
03:00 - 10:00]],"=~?")</f>
        <v>0</v>
      </c>
      <c r="E2777" s="2">
        <f>COUNTIF(contact[[#This Row],[Bagossy]:[Szo
03:00 - 10:00]],"=x")</f>
        <v>0</v>
      </c>
      <c r="F2777" s="2">
        <f>SUM(contact[[#This Row],[?]:[x]])</f>
        <v>0</v>
      </c>
      <c r="G27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7" s="3" t="s">
        <v>4156</v>
      </c>
      <c r="K2777" s="1" t="s">
        <v>2</v>
      </c>
      <c r="L2777" s="1" t="s">
        <v>2</v>
      </c>
      <c r="M2777" s="1" t="s">
        <v>2</v>
      </c>
      <c r="O2777" s="2"/>
      <c r="P2777" s="2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</row>
    <row r="2778" spans="1:32" s="1" customFormat="1" ht="20.25" customHeight="1" x14ac:dyDescent="0.25">
      <c r="A2778" s="2"/>
      <c r="B2778" s="2"/>
      <c r="C2778" s="2"/>
      <c r="D2778" s="2">
        <f>COUNTIF(contact[[#This Row],[Bagossy]:[Szo
03:00 - 10:00]],"=~?")</f>
        <v>0</v>
      </c>
      <c r="E2778" s="2">
        <f>COUNTIF(contact[[#This Row],[Bagossy]:[Szo
03:00 - 10:00]],"=x")</f>
        <v>0</v>
      </c>
      <c r="F2778" s="2">
        <f>SUM(contact[[#This Row],[?]:[x]])</f>
        <v>0</v>
      </c>
      <c r="G27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78" s="3" t="s">
        <v>3182</v>
      </c>
      <c r="K2778" s="1" t="s">
        <v>1327</v>
      </c>
      <c r="L2778" s="1" t="s">
        <v>2</v>
      </c>
      <c r="M2778" s="1" t="s">
        <v>2</v>
      </c>
      <c r="O2778" s="2"/>
      <c r="P2778" s="2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</row>
    <row r="2779" spans="1:32" s="1" customFormat="1" ht="20.25" customHeight="1" x14ac:dyDescent="0.25">
      <c r="A2779" s="2"/>
      <c r="B2779" s="2"/>
      <c r="C2779" s="2"/>
      <c r="D2779" s="2">
        <f>COUNTIF(contact[[#This Row],[Bagossy]:[Szo
03:00 - 10:00]],"=~?")</f>
        <v>0</v>
      </c>
      <c r="E2779" s="2">
        <f>COUNTIF(contact[[#This Row],[Bagossy]:[Szo
03:00 - 10:00]],"=x")</f>
        <v>0</v>
      </c>
      <c r="F2779" s="2">
        <f>SUM(contact[[#This Row],[?]:[x]])</f>
        <v>0</v>
      </c>
      <c r="G27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79" s="2"/>
      <c r="I2779" s="2"/>
      <c r="J2779" s="3" t="s">
        <v>4358</v>
      </c>
      <c r="K2779" s="1" t="s">
        <v>897</v>
      </c>
      <c r="L2779" s="1" t="s">
        <v>2</v>
      </c>
      <c r="M2779" s="1" t="s">
        <v>2</v>
      </c>
      <c r="O2779" s="2"/>
      <c r="P2779" s="2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</row>
    <row r="2780" spans="1:32" s="1" customFormat="1" ht="20.25" customHeight="1" x14ac:dyDescent="0.25">
      <c r="A2780" s="2"/>
      <c r="B2780" s="2"/>
      <c r="C2780" s="2"/>
      <c r="D2780" s="2">
        <f>COUNTIF(contact[[#This Row],[Bagossy]:[Szo
03:00 - 10:00]],"=~?")</f>
        <v>0</v>
      </c>
      <c r="E2780" s="2">
        <f>COUNTIF(contact[[#This Row],[Bagossy]:[Szo
03:00 - 10:00]],"=x")</f>
        <v>0</v>
      </c>
      <c r="F2780" s="2">
        <f>SUM(contact[[#This Row],[?]:[x]])</f>
        <v>0</v>
      </c>
      <c r="G27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0" s="3" t="s">
        <v>2675</v>
      </c>
      <c r="K2780" s="1" t="s">
        <v>2</v>
      </c>
      <c r="L2780" s="1" t="s">
        <v>2</v>
      </c>
      <c r="M2780" s="1" t="s">
        <v>2</v>
      </c>
      <c r="O2780" s="2"/>
      <c r="P2780" s="2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</row>
    <row r="2781" spans="1:32" s="1" customFormat="1" ht="20.25" customHeight="1" x14ac:dyDescent="0.25">
      <c r="A2781" s="2"/>
      <c r="B2781" s="2"/>
      <c r="C2781" s="2"/>
      <c r="D2781" s="2">
        <f>COUNTIF(contact[[#This Row],[Bagossy]:[Szo
03:00 - 10:00]],"=~?")</f>
        <v>0</v>
      </c>
      <c r="E2781" s="2">
        <f>COUNTIF(contact[[#This Row],[Bagossy]:[Szo
03:00 - 10:00]],"=x")</f>
        <v>0</v>
      </c>
      <c r="F2781" s="2">
        <f>SUM(contact[[#This Row],[?]:[x]])</f>
        <v>0</v>
      </c>
      <c r="G27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1" s="3" t="s">
        <v>2352</v>
      </c>
      <c r="K2781" s="1" t="s">
        <v>1397</v>
      </c>
      <c r="L2781" s="1" t="s">
        <v>2</v>
      </c>
      <c r="M2781" s="1" t="s">
        <v>2</v>
      </c>
      <c r="O2781" s="2"/>
      <c r="P2781" s="2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</row>
    <row r="2782" spans="1:32" s="1" customFormat="1" ht="20.25" customHeight="1" x14ac:dyDescent="0.25">
      <c r="A2782" s="2"/>
      <c r="B2782" s="2"/>
      <c r="C2782" s="2"/>
      <c r="D2782" s="2">
        <f>COUNTIF(contact[[#This Row],[Bagossy]:[Szo
03:00 - 10:00]],"=~?")</f>
        <v>0</v>
      </c>
      <c r="E2782" s="2">
        <f>COUNTIF(contact[[#This Row],[Bagossy]:[Szo
03:00 - 10:00]],"=x")</f>
        <v>0</v>
      </c>
      <c r="F2782" s="2">
        <f>SUM(contact[[#This Row],[?]:[x]])</f>
        <v>0</v>
      </c>
      <c r="G27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82" s="2"/>
      <c r="I2782" s="2"/>
      <c r="J2782" s="3" t="s">
        <v>4359</v>
      </c>
      <c r="K2782" s="1" t="s">
        <v>236</v>
      </c>
      <c r="L2782" s="1" t="s">
        <v>2</v>
      </c>
      <c r="M2782" s="1" t="s">
        <v>2</v>
      </c>
      <c r="O2782" s="2"/>
      <c r="P2782" s="2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</row>
    <row r="2783" spans="1:32" s="1" customFormat="1" ht="20.25" customHeight="1" x14ac:dyDescent="0.25">
      <c r="A2783" s="2"/>
      <c r="B2783" s="2"/>
      <c r="C2783" s="2"/>
      <c r="D2783" s="2">
        <f>COUNTIF(contact[[#This Row],[Bagossy]:[Szo
03:00 - 10:00]],"=~?")</f>
        <v>0</v>
      </c>
      <c r="E2783" s="2">
        <f>COUNTIF(contact[[#This Row],[Bagossy]:[Szo
03:00 - 10:00]],"=x")</f>
        <v>0</v>
      </c>
      <c r="F2783" s="2">
        <f>SUM(contact[[#This Row],[?]:[x]])</f>
        <v>0</v>
      </c>
      <c r="G27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3" s="3" t="s">
        <v>4252</v>
      </c>
      <c r="K2783" s="1" t="s">
        <v>2</v>
      </c>
      <c r="L2783" s="1" t="s">
        <v>2</v>
      </c>
      <c r="M2783" s="1" t="s">
        <v>2</v>
      </c>
      <c r="O2783" s="2"/>
      <c r="P2783" s="2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</row>
    <row r="2784" spans="1:32" s="1" customFormat="1" ht="20.25" customHeight="1" x14ac:dyDescent="0.25">
      <c r="A2784" s="2"/>
      <c r="B2784" s="2"/>
      <c r="C2784" s="2"/>
      <c r="D2784" s="2">
        <f>COUNTIF(contact[[#This Row],[Bagossy]:[Szo
03:00 - 10:00]],"=~?")</f>
        <v>0</v>
      </c>
      <c r="E2784" s="2">
        <f>COUNTIF(contact[[#This Row],[Bagossy]:[Szo
03:00 - 10:00]],"=x")</f>
        <v>0</v>
      </c>
      <c r="F2784" s="2">
        <f>SUM(contact[[#This Row],[?]:[x]])</f>
        <v>0</v>
      </c>
      <c r="G27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4" s="3" t="s">
        <v>3496</v>
      </c>
      <c r="K2784" s="1" t="s">
        <v>814</v>
      </c>
      <c r="L2784" s="1" t="s">
        <v>2</v>
      </c>
      <c r="M2784" s="1" t="s">
        <v>2</v>
      </c>
      <c r="O2784" s="2"/>
      <c r="P2784" s="2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</row>
    <row r="2785" spans="1:32" s="1" customFormat="1" ht="20.25" customHeight="1" x14ac:dyDescent="0.25">
      <c r="A2785" s="2"/>
      <c r="B2785" s="2"/>
      <c r="C2785" s="2"/>
      <c r="D2785" s="2">
        <f>COUNTIF(contact[[#This Row],[Bagossy]:[Szo
03:00 - 10:00]],"=~?")</f>
        <v>0</v>
      </c>
      <c r="E2785" s="2">
        <f>COUNTIF(contact[[#This Row],[Bagossy]:[Szo
03:00 - 10:00]],"=x")</f>
        <v>0</v>
      </c>
      <c r="F2785" s="2">
        <f>SUM(contact[[#This Row],[?]:[x]])</f>
        <v>0</v>
      </c>
      <c r="G27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5" s="3" t="s">
        <v>2032</v>
      </c>
      <c r="K2785" s="1" t="s">
        <v>76</v>
      </c>
      <c r="L2785" s="1" t="s">
        <v>2</v>
      </c>
      <c r="M2785" s="1" t="s">
        <v>2</v>
      </c>
      <c r="O2785" s="2"/>
      <c r="P2785" s="2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</row>
    <row r="2786" spans="1:32" s="1" customFormat="1" ht="20.25" customHeight="1" x14ac:dyDescent="0.25">
      <c r="A2786" s="2"/>
      <c r="B2786" s="2"/>
      <c r="C2786" s="2"/>
      <c r="D2786" s="2">
        <f>COUNTIF(contact[[#This Row],[Bagossy]:[Szo
03:00 - 10:00]],"=~?")</f>
        <v>0</v>
      </c>
      <c r="E2786" s="2">
        <f>COUNTIF(contact[[#This Row],[Bagossy]:[Szo
03:00 - 10:00]],"=x")</f>
        <v>0</v>
      </c>
      <c r="F2786" s="2">
        <f>SUM(contact[[#This Row],[?]:[x]])</f>
        <v>0</v>
      </c>
      <c r="G27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6" s="3" t="s">
        <v>2118</v>
      </c>
      <c r="K2786" s="1" t="s">
        <v>122</v>
      </c>
      <c r="L2786" s="1" t="s">
        <v>2</v>
      </c>
      <c r="M2786" s="1" t="s">
        <v>2</v>
      </c>
      <c r="O2786" s="2"/>
      <c r="P2786" s="2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</row>
    <row r="2787" spans="1:32" s="1" customFormat="1" ht="20.25" customHeight="1" x14ac:dyDescent="0.25">
      <c r="A2787" s="2"/>
      <c r="B2787" s="2"/>
      <c r="C2787" s="2"/>
      <c r="D2787" s="2">
        <f>COUNTIF(contact[[#This Row],[Bagossy]:[Szo
03:00 - 10:00]],"=~?")</f>
        <v>0</v>
      </c>
      <c r="E2787" s="2">
        <f>COUNTIF(contact[[#This Row],[Bagossy]:[Szo
03:00 - 10:00]],"=x")</f>
        <v>0</v>
      </c>
      <c r="F2787" s="2">
        <f>SUM(contact[[#This Row],[?]:[x]])</f>
        <v>0</v>
      </c>
      <c r="G27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7" s="3" t="s">
        <v>2131</v>
      </c>
      <c r="K2787" s="1" t="s">
        <v>1293</v>
      </c>
      <c r="L2787" s="1" t="s">
        <v>128</v>
      </c>
      <c r="M2787" s="1" t="s">
        <v>129</v>
      </c>
      <c r="O2787" s="2"/>
      <c r="P2787" s="2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</row>
    <row r="2788" spans="1:32" s="1" customFormat="1" ht="20.25" customHeight="1" x14ac:dyDescent="0.25">
      <c r="A2788" s="2"/>
      <c r="B2788" s="2"/>
      <c r="C2788" s="2"/>
      <c r="D2788" s="2">
        <f>COUNTIF(contact[[#This Row],[Bagossy]:[Szo
03:00 - 10:00]],"=~?")</f>
        <v>0</v>
      </c>
      <c r="E2788" s="2">
        <f>COUNTIF(contact[[#This Row],[Bagossy]:[Szo
03:00 - 10:00]],"=x")</f>
        <v>0</v>
      </c>
      <c r="F2788" s="2">
        <f>SUM(contact[[#This Row],[?]:[x]])</f>
        <v>0</v>
      </c>
      <c r="G27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88" s="2"/>
      <c r="I2788" s="2"/>
      <c r="J2788" s="3" t="s">
        <v>4366</v>
      </c>
      <c r="K2788" s="1" t="s">
        <v>176</v>
      </c>
      <c r="L2788" s="1" t="s">
        <v>2</v>
      </c>
      <c r="M2788" s="1" t="s">
        <v>2</v>
      </c>
      <c r="O2788" s="2"/>
      <c r="P2788" s="2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</row>
    <row r="2789" spans="1:32" s="1" customFormat="1" ht="20.25" customHeight="1" x14ac:dyDescent="0.25">
      <c r="A2789" s="2"/>
      <c r="B2789" s="2"/>
      <c r="C2789" s="2"/>
      <c r="D2789" s="2">
        <f>COUNTIF(contact[[#This Row],[Bagossy]:[Szo
03:00 - 10:00]],"=~?")</f>
        <v>0</v>
      </c>
      <c r="E2789" s="2">
        <f>COUNTIF(contact[[#This Row],[Bagossy]:[Szo
03:00 - 10:00]],"=x")</f>
        <v>0</v>
      </c>
      <c r="F2789" s="2">
        <f>SUM(contact[[#This Row],[?]:[x]])</f>
        <v>0</v>
      </c>
      <c r="G27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89" s="3" t="s">
        <v>2276</v>
      </c>
      <c r="K2789" s="1" t="s">
        <v>2</v>
      </c>
      <c r="L2789" s="1" t="s">
        <v>2</v>
      </c>
      <c r="M2789" s="1" t="s">
        <v>2</v>
      </c>
      <c r="O2789" s="2"/>
      <c r="P2789" s="2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</row>
    <row r="2790" spans="1:32" s="1" customFormat="1" ht="20.25" customHeight="1" x14ac:dyDescent="0.25">
      <c r="A2790" s="2"/>
      <c r="B2790" s="2"/>
      <c r="C2790" s="2"/>
      <c r="D2790" s="2">
        <f>COUNTIF(contact[[#This Row],[Bagossy]:[Szo
03:00 - 10:00]],"=~?")</f>
        <v>0</v>
      </c>
      <c r="E2790" s="2">
        <f>COUNTIF(contact[[#This Row],[Bagossy]:[Szo
03:00 - 10:00]],"=x")</f>
        <v>0</v>
      </c>
      <c r="F2790" s="2">
        <f>SUM(contact[[#This Row],[?]:[x]])</f>
        <v>0</v>
      </c>
      <c r="G27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0" s="3" t="s">
        <v>2508</v>
      </c>
      <c r="K2790" s="1" t="s">
        <v>1434</v>
      </c>
      <c r="L2790" s="1" t="s">
        <v>2</v>
      </c>
      <c r="M2790" s="1" t="s">
        <v>2</v>
      </c>
      <c r="O2790" s="2"/>
      <c r="P2790" s="2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</row>
    <row r="2791" spans="1:32" s="1" customFormat="1" ht="20.25" customHeight="1" x14ac:dyDescent="0.25">
      <c r="A2791" s="2"/>
      <c r="B2791" s="2"/>
      <c r="C2791" s="2"/>
      <c r="D2791" s="2">
        <f>COUNTIF(contact[[#This Row],[Bagossy]:[Szo
03:00 - 10:00]],"=~?")</f>
        <v>0</v>
      </c>
      <c r="E2791" s="2">
        <f>COUNTIF(contact[[#This Row],[Bagossy]:[Szo
03:00 - 10:00]],"=x")</f>
        <v>0</v>
      </c>
      <c r="F2791" s="2">
        <f>SUM(contact[[#This Row],[?]:[x]])</f>
        <v>0</v>
      </c>
      <c r="G27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1" s="3" t="s">
        <v>2665</v>
      </c>
      <c r="K2791" s="1" t="s">
        <v>434</v>
      </c>
      <c r="L2791" s="1" t="s">
        <v>354</v>
      </c>
      <c r="M2791" s="1" t="s">
        <v>435</v>
      </c>
      <c r="O2791" s="2"/>
      <c r="P2791" s="2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</row>
    <row r="2792" spans="1:32" s="1" customFormat="1" ht="20.25" customHeight="1" x14ac:dyDescent="0.25">
      <c r="A2792" s="2"/>
      <c r="B2792" s="2"/>
      <c r="C2792" s="2"/>
      <c r="D2792" s="2">
        <f>COUNTIF(contact[[#This Row],[Bagossy]:[Szo
03:00 - 10:00]],"=~?")</f>
        <v>0</v>
      </c>
      <c r="E2792" s="2">
        <f>COUNTIF(contact[[#This Row],[Bagossy]:[Szo
03:00 - 10:00]],"=x")</f>
        <v>0</v>
      </c>
      <c r="F2792" s="2">
        <f>SUM(contact[[#This Row],[?]:[x]])</f>
        <v>0</v>
      </c>
      <c r="G27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2" s="3" t="s">
        <v>2792</v>
      </c>
      <c r="K2792" s="1" t="s">
        <v>2</v>
      </c>
      <c r="L2792" s="1" t="s">
        <v>2</v>
      </c>
      <c r="M2792" s="1" t="s">
        <v>2</v>
      </c>
      <c r="O2792" s="2"/>
      <c r="P2792" s="2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</row>
    <row r="2793" spans="1:32" s="1" customFormat="1" ht="20.25" customHeight="1" x14ac:dyDescent="0.25">
      <c r="A2793" s="2"/>
      <c r="B2793" s="2"/>
      <c r="C2793" s="2"/>
      <c r="D2793" s="2">
        <f>COUNTIF(contact[[#This Row],[Bagossy]:[Szo
03:00 - 10:00]],"=~?")</f>
        <v>0</v>
      </c>
      <c r="E2793" s="2">
        <f>COUNTIF(contact[[#This Row],[Bagossy]:[Szo
03:00 - 10:00]],"=x")</f>
        <v>0</v>
      </c>
      <c r="F2793" s="2">
        <f>SUM(contact[[#This Row],[?]:[x]])</f>
        <v>0</v>
      </c>
      <c r="G27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3" s="3" t="s">
        <v>3700</v>
      </c>
      <c r="K2793" s="1" t="s">
        <v>2</v>
      </c>
      <c r="L2793" s="1" t="s">
        <v>2</v>
      </c>
      <c r="M2793" s="1" t="s">
        <v>2</v>
      </c>
      <c r="O2793" s="2"/>
      <c r="P2793" s="2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</row>
    <row r="2794" spans="1:32" s="1" customFormat="1" ht="20.25" customHeight="1" x14ac:dyDescent="0.25">
      <c r="A2794" s="2"/>
      <c r="B2794" s="2"/>
      <c r="C2794" s="2"/>
      <c r="D2794" s="2">
        <f>COUNTIF(contact[[#This Row],[Bagossy]:[Szo
03:00 - 10:00]],"=~?")</f>
        <v>0</v>
      </c>
      <c r="E2794" s="2">
        <f>COUNTIF(contact[[#This Row],[Bagossy]:[Szo
03:00 - 10:00]],"=x")</f>
        <v>0</v>
      </c>
      <c r="F2794" s="2">
        <f>SUM(contact[[#This Row],[?]:[x]])</f>
        <v>0</v>
      </c>
      <c r="G27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4" s="3" t="s">
        <v>3952</v>
      </c>
      <c r="K2794" s="1" t="s">
        <v>1745</v>
      </c>
      <c r="L2794" s="1" t="s">
        <v>2</v>
      </c>
      <c r="M2794" s="1" t="s">
        <v>2</v>
      </c>
      <c r="O2794" s="2"/>
      <c r="P2794" s="2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</row>
    <row r="2795" spans="1:32" s="1" customFormat="1" ht="20.25" customHeight="1" x14ac:dyDescent="0.25">
      <c r="A2795" s="2"/>
      <c r="B2795" s="2"/>
      <c r="C2795" s="2"/>
      <c r="D2795" s="2">
        <f>COUNTIF(contact[[#This Row],[Bagossy]:[Szo
03:00 - 10:00]],"=~?")</f>
        <v>0</v>
      </c>
      <c r="E2795" s="2">
        <f>COUNTIF(contact[[#This Row],[Bagossy]:[Szo
03:00 - 10:00]],"=x")</f>
        <v>0</v>
      </c>
      <c r="F2795" s="2">
        <f>SUM(contact[[#This Row],[?]:[x]])</f>
        <v>0</v>
      </c>
      <c r="G27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5" s="3" t="s">
        <v>4160</v>
      </c>
      <c r="K2795" s="1" t="s">
        <v>1125</v>
      </c>
      <c r="L2795" s="1" t="s">
        <v>2</v>
      </c>
      <c r="M2795" s="1" t="s">
        <v>2</v>
      </c>
      <c r="O2795" s="2"/>
      <c r="P2795" s="2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</row>
    <row r="2796" spans="1:32" s="1" customFormat="1" ht="20.25" customHeight="1" x14ac:dyDescent="0.25">
      <c r="A2796" s="2" t="s">
        <v>1285</v>
      </c>
      <c r="B2796" s="2" t="s">
        <v>1285</v>
      </c>
      <c r="C2796" s="2" t="s">
        <v>1285</v>
      </c>
      <c r="D2796" s="2">
        <f>COUNTIF(contact[[#This Row],[Bagossy]:[Szo
03:00 - 10:00]],"=~?")</f>
        <v>0</v>
      </c>
      <c r="E2796" s="2">
        <f>COUNTIF(contact[[#This Row],[Bagossy]:[Szo
03:00 - 10:00]],"=x")</f>
        <v>0</v>
      </c>
      <c r="F2796" s="2">
        <f>SUM(contact[[#This Row],[?]:[x]])</f>
        <v>0</v>
      </c>
      <c r="G27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796" s="2" t="s">
        <v>4616</v>
      </c>
      <c r="I2796" s="2"/>
      <c r="J2796" s="3" t="s">
        <v>4367</v>
      </c>
      <c r="K2796" s="1" t="s">
        <v>1845</v>
      </c>
      <c r="L2796" s="1" t="s">
        <v>2</v>
      </c>
      <c r="M2796" s="1" t="s">
        <v>2</v>
      </c>
      <c r="N2796" s="2" t="s">
        <v>4612</v>
      </c>
      <c r="O2796" s="2"/>
      <c r="P2796" s="2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</row>
    <row r="2797" spans="1:32" s="1" customFormat="1" ht="20.25" customHeight="1" x14ac:dyDescent="0.25">
      <c r="A2797" s="2"/>
      <c r="B2797" s="2"/>
      <c r="C2797" s="2"/>
      <c r="D2797" s="2">
        <f>COUNTIF(contact[[#This Row],[Bagossy]:[Szo
03:00 - 10:00]],"=~?")</f>
        <v>0</v>
      </c>
      <c r="E2797" s="2">
        <f>COUNTIF(contact[[#This Row],[Bagossy]:[Szo
03:00 - 10:00]],"=x")</f>
        <v>0</v>
      </c>
      <c r="F2797" s="2">
        <f>SUM(contact[[#This Row],[?]:[x]])</f>
        <v>0</v>
      </c>
      <c r="G27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7" s="3" t="s">
        <v>4294</v>
      </c>
      <c r="K2797" s="1" t="s">
        <v>2</v>
      </c>
      <c r="L2797" s="1" t="s">
        <v>2</v>
      </c>
      <c r="M2797" s="1" t="s">
        <v>2</v>
      </c>
      <c r="O2797" s="2"/>
      <c r="P2797" s="2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</row>
    <row r="2798" spans="1:32" s="1" customFormat="1" ht="20.25" customHeight="1" x14ac:dyDescent="0.25">
      <c r="A2798" s="2"/>
      <c r="B2798" s="2"/>
      <c r="C2798" s="2"/>
      <c r="D2798" s="2">
        <f>COUNTIF(contact[[#This Row],[Bagossy]:[Szo
03:00 - 10:00]],"=~?")</f>
        <v>0</v>
      </c>
      <c r="E2798" s="2">
        <f>COUNTIF(contact[[#This Row],[Bagossy]:[Szo
03:00 - 10:00]],"=x")</f>
        <v>0</v>
      </c>
      <c r="F2798" s="2">
        <f>SUM(contact[[#This Row],[?]:[x]])</f>
        <v>0</v>
      </c>
      <c r="G27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8" s="3" t="s">
        <v>4326</v>
      </c>
      <c r="K2798" s="1" t="s">
        <v>1192</v>
      </c>
      <c r="L2798" s="1" t="s">
        <v>2</v>
      </c>
      <c r="M2798" s="1" t="s">
        <v>2</v>
      </c>
      <c r="O2798" s="2"/>
      <c r="P2798" s="2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</row>
    <row r="2799" spans="1:32" s="1" customFormat="1" ht="20.25" customHeight="1" x14ac:dyDescent="0.25">
      <c r="A2799" s="2"/>
      <c r="B2799" s="2"/>
      <c r="C2799" s="2"/>
      <c r="D2799" s="2">
        <f>COUNTIF(contact[[#This Row],[Bagossy]:[Szo
03:00 - 10:00]],"=~?")</f>
        <v>0</v>
      </c>
      <c r="E2799" s="2">
        <f>COUNTIF(contact[[#This Row],[Bagossy]:[Szo
03:00 - 10:00]],"=x")</f>
        <v>0</v>
      </c>
      <c r="F2799" s="2">
        <f>SUM(contact[[#This Row],[?]:[x]])</f>
        <v>0</v>
      </c>
      <c r="G27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799" s="3" t="s">
        <v>4567</v>
      </c>
      <c r="K2799" s="1" t="s">
        <v>2</v>
      </c>
      <c r="L2799" s="1" t="s">
        <v>2</v>
      </c>
      <c r="M2799" s="1" t="s">
        <v>2</v>
      </c>
      <c r="O2799" s="2"/>
      <c r="P2799" s="2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</row>
    <row r="2800" spans="1:32" s="1" customFormat="1" ht="20.25" customHeight="1" x14ac:dyDescent="0.25">
      <c r="A2800" s="2"/>
      <c r="B2800" s="2"/>
      <c r="C2800" s="2"/>
      <c r="D2800" s="2">
        <f>COUNTIF(contact[[#This Row],[Bagossy]:[Szo
03:00 - 10:00]],"=~?")</f>
        <v>0</v>
      </c>
      <c r="E2800" s="2">
        <f>COUNTIF(contact[[#This Row],[Bagossy]:[Szo
03:00 - 10:00]],"=x")</f>
        <v>0</v>
      </c>
      <c r="F2800" s="2">
        <f>SUM(contact[[#This Row],[?]:[x]])</f>
        <v>0</v>
      </c>
      <c r="G28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0" s="3" t="s">
        <v>4567</v>
      </c>
      <c r="K2800" s="1" t="s">
        <v>2</v>
      </c>
      <c r="L2800" s="1" t="s">
        <v>2</v>
      </c>
      <c r="M2800" s="1" t="s">
        <v>2</v>
      </c>
      <c r="O2800" s="2"/>
      <c r="P2800" s="2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</row>
    <row r="2801" spans="1:32" s="1" customFormat="1" ht="20.25" customHeight="1" x14ac:dyDescent="0.25">
      <c r="A2801" s="2"/>
      <c r="B2801" s="2"/>
      <c r="C2801" s="2"/>
      <c r="D2801" s="2">
        <f>COUNTIF(contact[[#This Row],[Bagossy]:[Szo
03:00 - 10:00]],"=~?")</f>
        <v>0</v>
      </c>
      <c r="E2801" s="2">
        <f>COUNTIF(contact[[#This Row],[Bagossy]:[Szo
03:00 - 10:00]],"=x")</f>
        <v>0</v>
      </c>
      <c r="F2801" s="2">
        <f>SUM(contact[[#This Row],[?]:[x]])</f>
        <v>0</v>
      </c>
      <c r="G28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1" s="3" t="s">
        <v>4148</v>
      </c>
      <c r="K2801" s="1" t="s">
        <v>2</v>
      </c>
      <c r="L2801" s="1" t="s">
        <v>2</v>
      </c>
      <c r="M2801" s="1" t="s">
        <v>2</v>
      </c>
      <c r="O2801" s="2"/>
      <c r="P2801" s="2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</row>
    <row r="2802" spans="1:32" s="1" customFormat="1" ht="20.25" customHeight="1" x14ac:dyDescent="0.25">
      <c r="A2802" s="2"/>
      <c r="B2802" s="2"/>
      <c r="C2802" s="2"/>
      <c r="D2802" s="2">
        <f>COUNTIF(contact[[#This Row],[Bagossy]:[Szo
03:00 - 10:00]],"=~?")</f>
        <v>0</v>
      </c>
      <c r="E2802" s="2">
        <f>COUNTIF(contact[[#This Row],[Bagossy]:[Szo
03:00 - 10:00]],"=x")</f>
        <v>0</v>
      </c>
      <c r="F2802" s="2">
        <f>SUM(contact[[#This Row],[?]:[x]])</f>
        <v>0</v>
      </c>
      <c r="G28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2" s="3" t="s">
        <v>4174</v>
      </c>
      <c r="K2802" s="1" t="s">
        <v>1803</v>
      </c>
      <c r="L2802" s="1" t="s">
        <v>2</v>
      </c>
      <c r="M2802" s="1" t="s">
        <v>2</v>
      </c>
      <c r="O2802" s="2"/>
      <c r="P2802" s="2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</row>
    <row r="2803" spans="1:32" s="1" customFormat="1" ht="20.25" customHeight="1" x14ac:dyDescent="0.25">
      <c r="A2803" s="2"/>
      <c r="B2803" s="2"/>
      <c r="C2803" s="2"/>
      <c r="D2803" s="2">
        <f>COUNTIF(contact[[#This Row],[Bagossy]:[Szo
03:00 - 10:00]],"=~?")</f>
        <v>0</v>
      </c>
      <c r="E2803" s="2">
        <f>COUNTIF(contact[[#This Row],[Bagossy]:[Szo
03:00 - 10:00]],"=x")</f>
        <v>0</v>
      </c>
      <c r="F2803" s="2">
        <f>SUM(contact[[#This Row],[?]:[x]])</f>
        <v>0</v>
      </c>
      <c r="G28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3" s="3" t="s">
        <v>3144</v>
      </c>
      <c r="K2803" s="1" t="s">
        <v>2</v>
      </c>
      <c r="L2803" s="1" t="s">
        <v>2</v>
      </c>
      <c r="M2803" s="1" t="s">
        <v>2</v>
      </c>
      <c r="O2803" s="2"/>
      <c r="P2803" s="2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</row>
    <row r="2804" spans="1:32" s="1" customFormat="1" ht="20.25" customHeight="1" x14ac:dyDescent="0.25">
      <c r="A2804" s="2"/>
      <c r="B2804" s="2"/>
      <c r="C2804" s="2"/>
      <c r="D2804" s="2">
        <f>COUNTIF(contact[[#This Row],[Bagossy]:[Szo
03:00 - 10:00]],"=~?")</f>
        <v>0</v>
      </c>
      <c r="E2804" s="2">
        <f>COUNTIF(contact[[#This Row],[Bagossy]:[Szo
03:00 - 10:00]],"=x")</f>
        <v>0</v>
      </c>
      <c r="F2804" s="2">
        <f>SUM(contact[[#This Row],[?]:[x]])</f>
        <v>0</v>
      </c>
      <c r="G28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4" s="3" t="s">
        <v>2212</v>
      </c>
      <c r="K2804" s="1" t="s">
        <v>177</v>
      </c>
      <c r="L2804" s="1" t="s">
        <v>2</v>
      </c>
      <c r="M2804" s="1" t="s">
        <v>2</v>
      </c>
      <c r="O2804" s="2"/>
      <c r="P2804" s="2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</row>
    <row r="2805" spans="1:32" s="1" customFormat="1" ht="20.25" customHeight="1" x14ac:dyDescent="0.25">
      <c r="A2805" s="2"/>
      <c r="B2805" s="2"/>
      <c r="C2805" s="2"/>
      <c r="D2805" s="2">
        <f>COUNTIF(contact[[#This Row],[Bagossy]:[Szo
03:00 - 10:00]],"=~?")</f>
        <v>0</v>
      </c>
      <c r="E2805" s="2">
        <f>COUNTIF(contact[[#This Row],[Bagossy]:[Szo
03:00 - 10:00]],"=x")</f>
        <v>0</v>
      </c>
      <c r="F2805" s="2">
        <f>SUM(contact[[#This Row],[?]:[x]])</f>
        <v>0</v>
      </c>
      <c r="G28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5" s="3" t="s">
        <v>1978</v>
      </c>
      <c r="K2805" s="1" t="s">
        <v>2</v>
      </c>
      <c r="L2805" s="1" t="s">
        <v>2</v>
      </c>
      <c r="M2805" s="1" t="s">
        <v>2</v>
      </c>
      <c r="O2805" s="2"/>
      <c r="P2805" s="2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</row>
    <row r="2806" spans="1:32" s="1" customFormat="1" ht="20.25" customHeight="1" x14ac:dyDescent="0.25">
      <c r="A2806" s="2"/>
      <c r="B2806" s="2"/>
      <c r="C2806" s="2"/>
      <c r="D2806" s="2">
        <f>COUNTIF(contact[[#This Row],[Bagossy]:[Szo
03:00 - 10:00]],"=~?")</f>
        <v>0</v>
      </c>
      <c r="E2806" s="2">
        <f>COUNTIF(contact[[#This Row],[Bagossy]:[Szo
03:00 - 10:00]],"=x")</f>
        <v>0</v>
      </c>
      <c r="F2806" s="2">
        <f>SUM(contact[[#This Row],[?]:[x]])</f>
        <v>0</v>
      </c>
      <c r="G28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6" s="3" t="s">
        <v>2013</v>
      </c>
      <c r="K2806" s="1" t="s">
        <v>66</v>
      </c>
      <c r="L2806" s="1" t="s">
        <v>2</v>
      </c>
      <c r="M2806" s="1" t="s">
        <v>2</v>
      </c>
      <c r="O2806" s="2"/>
      <c r="P2806" s="2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</row>
    <row r="2807" spans="1:32" s="1" customFormat="1" ht="20.25" customHeight="1" x14ac:dyDescent="0.25">
      <c r="A2807" s="2"/>
      <c r="B2807" s="2"/>
      <c r="C2807" s="2"/>
      <c r="D2807" s="2">
        <f>COUNTIF(contact[[#This Row],[Bagossy]:[Szo
03:00 - 10:00]],"=~?")</f>
        <v>0</v>
      </c>
      <c r="E2807" s="2">
        <f>COUNTIF(contact[[#This Row],[Bagossy]:[Szo
03:00 - 10:00]],"=x")</f>
        <v>0</v>
      </c>
      <c r="F2807" s="2">
        <f>SUM(contact[[#This Row],[?]:[x]])</f>
        <v>0</v>
      </c>
      <c r="G28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7" s="3" t="s">
        <v>2033</v>
      </c>
      <c r="K2807" s="1" t="s">
        <v>1320</v>
      </c>
      <c r="L2807" s="1" t="s">
        <v>2</v>
      </c>
      <c r="M2807" s="1" t="s">
        <v>2</v>
      </c>
      <c r="O2807" s="2"/>
      <c r="P2807" s="2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</row>
    <row r="2808" spans="1:32" s="1" customFormat="1" ht="20.25" customHeight="1" x14ac:dyDescent="0.25">
      <c r="A2808" s="2" t="s">
        <v>1285</v>
      </c>
      <c r="B2808" s="2" t="s">
        <v>1285</v>
      </c>
      <c r="C2808" s="2" t="s">
        <v>1285</v>
      </c>
      <c r="D2808" s="2">
        <f>COUNTIF(contact[[#This Row],[Bagossy]:[Szo
03:00 - 10:00]],"=~?")</f>
        <v>0</v>
      </c>
      <c r="E2808" s="2">
        <f>COUNTIF(contact[[#This Row],[Bagossy]:[Szo
03:00 - 10:00]],"=x")</f>
        <v>3</v>
      </c>
      <c r="F2808" s="2">
        <f>SUM(contact[[#This Row],[?]:[x]])</f>
        <v>3</v>
      </c>
      <c r="G2808" s="2">
        <f>COUNTIF(contact[[#This Row],[Sze
10:00 - 22:00]:[Cs
03:00 - 08:00]],"=x")+COUNTIF(contact[[#This Row],[P
08:00 - 12:00]:[P
03:00 - 08:00]],"=x")+COUNTIF(contact[[#This Row],[Szo
08:00 - 12:00]:[Szo
03:00 - 10:00]],"=x")</f>
        <v>3</v>
      </c>
      <c r="H2808" s="2" t="s">
        <v>4623</v>
      </c>
      <c r="I2808" s="2"/>
      <c r="J2808" s="3" t="s">
        <v>4369</v>
      </c>
      <c r="K2808" s="1" t="s">
        <v>1846</v>
      </c>
      <c r="L2808" s="1" t="s">
        <v>2</v>
      </c>
      <c r="M2808" s="1" t="s">
        <v>2</v>
      </c>
      <c r="N2808" s="2" t="s">
        <v>4612</v>
      </c>
      <c r="O2808" s="2"/>
      <c r="P2808" s="2"/>
      <c r="Q2808" s="6"/>
      <c r="R2808" s="6"/>
      <c r="S2808" s="6"/>
      <c r="T2808" s="6"/>
      <c r="U2808" s="6" t="s">
        <v>1285</v>
      </c>
      <c r="V2808" s="6"/>
      <c r="W2808" s="6"/>
      <c r="X2808" s="6"/>
      <c r="Y2808" s="6"/>
      <c r="Z2808" s="6" t="s">
        <v>1285</v>
      </c>
      <c r="AA2808" s="6"/>
      <c r="AB2808" s="6"/>
      <c r="AC2808" s="6"/>
      <c r="AD2808" s="6"/>
      <c r="AE2808" s="6" t="s">
        <v>1285</v>
      </c>
      <c r="AF2808" s="6"/>
    </row>
    <row r="2809" spans="1:32" s="1" customFormat="1" ht="20.25" customHeight="1" x14ac:dyDescent="0.25">
      <c r="A2809" s="2"/>
      <c r="B2809" s="2"/>
      <c r="C2809" s="2"/>
      <c r="D2809" s="2">
        <f>COUNTIF(contact[[#This Row],[Bagossy]:[Szo
03:00 - 10:00]],"=~?")</f>
        <v>0</v>
      </c>
      <c r="E2809" s="2">
        <f>COUNTIF(contact[[#This Row],[Bagossy]:[Szo
03:00 - 10:00]],"=x")</f>
        <v>0</v>
      </c>
      <c r="F2809" s="2">
        <f>SUM(contact[[#This Row],[?]:[x]])</f>
        <v>0</v>
      </c>
      <c r="G28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09" s="3" t="s">
        <v>2088</v>
      </c>
      <c r="K2809" s="1" t="s">
        <v>1332</v>
      </c>
      <c r="L2809" s="1" t="s">
        <v>2</v>
      </c>
      <c r="M2809" s="1" t="s">
        <v>2</v>
      </c>
      <c r="O2809" s="2"/>
      <c r="P2809" s="2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</row>
    <row r="2810" spans="1:32" s="1" customFormat="1" ht="20.25" customHeight="1" x14ac:dyDescent="0.25">
      <c r="A2810" s="2"/>
      <c r="B2810" s="2"/>
      <c r="C2810" s="2"/>
      <c r="D2810" s="2">
        <f>COUNTIF(contact[[#This Row],[Bagossy]:[Szo
03:00 - 10:00]],"=~?")</f>
        <v>0</v>
      </c>
      <c r="E2810" s="2">
        <f>COUNTIF(contact[[#This Row],[Bagossy]:[Szo
03:00 - 10:00]],"=x")</f>
        <v>0</v>
      </c>
      <c r="F2810" s="2">
        <f>SUM(contact[[#This Row],[?]:[x]])</f>
        <v>0</v>
      </c>
      <c r="G28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0" s="3" t="s">
        <v>2104</v>
      </c>
      <c r="K2810" s="1" t="s">
        <v>2</v>
      </c>
      <c r="L2810" s="1" t="s">
        <v>2</v>
      </c>
      <c r="M2810" s="1" t="s">
        <v>2</v>
      </c>
      <c r="O2810" s="2"/>
      <c r="P2810" s="2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</row>
    <row r="2811" spans="1:32" s="1" customFormat="1" ht="20.25" customHeight="1" x14ac:dyDescent="0.25">
      <c r="A2811" s="2"/>
      <c r="B2811" s="2"/>
      <c r="C2811" s="2"/>
      <c r="D2811" s="2">
        <f>COUNTIF(contact[[#This Row],[Bagossy]:[Szo
03:00 - 10:00]],"=~?")</f>
        <v>0</v>
      </c>
      <c r="E2811" s="2">
        <f>COUNTIF(contact[[#This Row],[Bagossy]:[Szo
03:00 - 10:00]],"=x")</f>
        <v>0</v>
      </c>
      <c r="F2811" s="2">
        <f>SUM(contact[[#This Row],[?]:[x]])</f>
        <v>0</v>
      </c>
      <c r="G28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1" s="3" t="s">
        <v>2119</v>
      </c>
      <c r="K2811" s="1" t="s">
        <v>1340</v>
      </c>
      <c r="L2811" s="1" t="s">
        <v>2</v>
      </c>
      <c r="M2811" s="1" t="s">
        <v>2</v>
      </c>
      <c r="O2811" s="2"/>
      <c r="P2811" s="2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</row>
    <row r="2812" spans="1:32" s="1" customFormat="1" ht="20.25" customHeight="1" x14ac:dyDescent="0.25">
      <c r="A2812" s="2"/>
      <c r="B2812" s="2"/>
      <c r="C2812" s="2"/>
      <c r="D2812" s="2">
        <f>COUNTIF(contact[[#This Row],[Bagossy]:[Szo
03:00 - 10:00]],"=~?")</f>
        <v>0</v>
      </c>
      <c r="E2812" s="2">
        <f>COUNTIF(contact[[#This Row],[Bagossy]:[Szo
03:00 - 10:00]],"=x")</f>
        <v>0</v>
      </c>
      <c r="F2812" s="2">
        <f>SUM(contact[[#This Row],[?]:[x]])</f>
        <v>0</v>
      </c>
      <c r="G28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2" s="3" t="s">
        <v>2132</v>
      </c>
      <c r="K2812" s="1" t="s">
        <v>2</v>
      </c>
      <c r="L2812" s="1" t="s">
        <v>2</v>
      </c>
      <c r="M2812" s="1" t="s">
        <v>2</v>
      </c>
      <c r="O2812" s="2"/>
      <c r="P2812" s="2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</row>
    <row r="2813" spans="1:32" s="1" customFormat="1" ht="20.25" customHeight="1" x14ac:dyDescent="0.25">
      <c r="A2813" s="2"/>
      <c r="B2813" s="2"/>
      <c r="C2813" s="2"/>
      <c r="D2813" s="2">
        <f>COUNTIF(contact[[#This Row],[Bagossy]:[Szo
03:00 - 10:00]],"=~?")</f>
        <v>0</v>
      </c>
      <c r="E2813" s="2">
        <f>COUNTIF(contact[[#This Row],[Bagossy]:[Szo
03:00 - 10:00]],"=x")</f>
        <v>0</v>
      </c>
      <c r="F2813" s="2">
        <f>SUM(contact[[#This Row],[?]:[x]])</f>
        <v>0</v>
      </c>
      <c r="G28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3" s="3" t="s">
        <v>2157</v>
      </c>
      <c r="K2813" s="1" t="s">
        <v>74</v>
      </c>
      <c r="L2813" s="1" t="s">
        <v>2</v>
      </c>
      <c r="M2813" s="1" t="s">
        <v>2</v>
      </c>
      <c r="O2813" s="2"/>
      <c r="P2813" s="2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</row>
    <row r="2814" spans="1:32" s="1" customFormat="1" ht="20.25" customHeight="1" x14ac:dyDescent="0.25">
      <c r="A2814" s="2"/>
      <c r="B2814" s="2"/>
      <c r="C2814" s="2"/>
      <c r="D2814" s="2">
        <f>COUNTIF(contact[[#This Row],[Bagossy]:[Szo
03:00 - 10:00]],"=~?")</f>
        <v>0</v>
      </c>
      <c r="E2814" s="2">
        <f>COUNTIF(contact[[#This Row],[Bagossy]:[Szo
03:00 - 10:00]],"=x")</f>
        <v>0</v>
      </c>
      <c r="F2814" s="2">
        <f>SUM(contact[[#This Row],[?]:[x]])</f>
        <v>0</v>
      </c>
      <c r="G28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4" s="3" t="s">
        <v>2162</v>
      </c>
      <c r="K2814" s="1" t="s">
        <v>1354</v>
      </c>
      <c r="L2814" s="1" t="s">
        <v>2</v>
      </c>
      <c r="M2814" s="1" t="s">
        <v>2</v>
      </c>
      <c r="O2814" s="2"/>
      <c r="P2814" s="2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</row>
    <row r="2815" spans="1:32" s="1" customFormat="1" ht="20.25" customHeight="1" x14ac:dyDescent="0.25">
      <c r="A2815" s="2"/>
      <c r="B2815" s="2"/>
      <c r="C2815" s="2" t="s">
        <v>1285</v>
      </c>
      <c r="D2815" s="2">
        <f>COUNTIF(contact[[#This Row],[Bagossy]:[Szo
03:00 - 10:00]],"=~?")</f>
        <v>0</v>
      </c>
      <c r="E2815" s="2">
        <f>COUNTIF(contact[[#This Row],[Bagossy]:[Szo
03:00 - 10:00]],"=x")</f>
        <v>0</v>
      </c>
      <c r="F2815" s="2">
        <f>SUM(contact[[#This Row],[?]:[x]])</f>
        <v>0</v>
      </c>
      <c r="G28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15" s="2"/>
      <c r="I2815" s="2"/>
      <c r="J2815" s="3" t="s">
        <v>4373</v>
      </c>
      <c r="K2815" s="1" t="s">
        <v>1848</v>
      </c>
      <c r="L2815" s="1" t="s">
        <v>2</v>
      </c>
      <c r="M2815" s="1" t="s">
        <v>2</v>
      </c>
      <c r="O2815" s="2"/>
      <c r="P2815" s="2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</row>
    <row r="2816" spans="1:32" s="1" customFormat="1" ht="20.25" customHeight="1" x14ac:dyDescent="0.25">
      <c r="A2816" s="2"/>
      <c r="B2816" s="2"/>
      <c r="C2816" s="2" t="s">
        <v>1285</v>
      </c>
      <c r="D2816" s="2">
        <f>COUNTIF(contact[[#This Row],[Bagossy]:[Szo
03:00 - 10:00]],"=~?")</f>
        <v>0</v>
      </c>
      <c r="E2816" s="2">
        <f>COUNTIF(contact[[#This Row],[Bagossy]:[Szo
03:00 - 10:00]],"=x")</f>
        <v>0</v>
      </c>
      <c r="F2816" s="2">
        <f>SUM(contact[[#This Row],[?]:[x]])</f>
        <v>0</v>
      </c>
      <c r="G28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16" s="2"/>
      <c r="I2816" s="2"/>
      <c r="J2816" s="3" t="s">
        <v>4385</v>
      </c>
      <c r="K2816" s="1" t="s">
        <v>204</v>
      </c>
      <c r="L2816" s="1" t="s">
        <v>2</v>
      </c>
      <c r="M2816" s="1" t="s">
        <v>2</v>
      </c>
      <c r="O2816" s="2"/>
      <c r="P2816" s="2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</row>
    <row r="2817" spans="1:32" s="1" customFormat="1" ht="20.25" customHeight="1" x14ac:dyDescent="0.25">
      <c r="A2817" s="2"/>
      <c r="B2817" s="2"/>
      <c r="C2817" s="2"/>
      <c r="D2817" s="2">
        <f>COUNTIF(contact[[#This Row],[Bagossy]:[Szo
03:00 - 10:00]],"=~?")</f>
        <v>0</v>
      </c>
      <c r="E2817" s="2">
        <f>COUNTIF(contact[[#This Row],[Bagossy]:[Szo
03:00 - 10:00]],"=x")</f>
        <v>0</v>
      </c>
      <c r="F2817" s="2">
        <f>SUM(contact[[#This Row],[?]:[x]])</f>
        <v>0</v>
      </c>
      <c r="G28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17" s="2"/>
      <c r="I2817" s="2"/>
      <c r="J2817" s="3" t="s">
        <v>4392</v>
      </c>
      <c r="K2817" s="1" t="s">
        <v>210</v>
      </c>
      <c r="L2817" s="1" t="s">
        <v>2</v>
      </c>
      <c r="M2817" s="1" t="s">
        <v>2</v>
      </c>
      <c r="O2817" s="2"/>
      <c r="P2817" s="2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</row>
    <row r="2818" spans="1:32" s="1" customFormat="1" ht="20.25" customHeight="1" x14ac:dyDescent="0.25">
      <c r="A2818" s="2"/>
      <c r="B2818" s="2"/>
      <c r="C2818" s="2"/>
      <c r="D2818" s="2">
        <f>COUNTIF(contact[[#This Row],[Bagossy]:[Szo
03:00 - 10:00]],"=~?")</f>
        <v>0</v>
      </c>
      <c r="E2818" s="2">
        <f>COUNTIF(contact[[#This Row],[Bagossy]:[Szo
03:00 - 10:00]],"=x")</f>
        <v>0</v>
      </c>
      <c r="F2818" s="2">
        <f>SUM(contact[[#This Row],[?]:[x]])</f>
        <v>0</v>
      </c>
      <c r="G28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8" s="3" t="s">
        <v>2344</v>
      </c>
      <c r="K2818" s="1" t="s">
        <v>1395</v>
      </c>
      <c r="L2818" s="1" t="s">
        <v>2</v>
      </c>
      <c r="M2818" s="1" t="s">
        <v>2</v>
      </c>
      <c r="O2818" s="2"/>
      <c r="P2818" s="2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</row>
    <row r="2819" spans="1:32" s="1" customFormat="1" ht="20.25" customHeight="1" x14ac:dyDescent="0.25">
      <c r="A2819" s="2"/>
      <c r="B2819" s="2"/>
      <c r="C2819" s="2"/>
      <c r="D2819" s="2">
        <f>COUNTIF(contact[[#This Row],[Bagossy]:[Szo
03:00 - 10:00]],"=~?")</f>
        <v>0</v>
      </c>
      <c r="E2819" s="2">
        <f>COUNTIF(contact[[#This Row],[Bagossy]:[Szo
03:00 - 10:00]],"=x")</f>
        <v>0</v>
      </c>
      <c r="F2819" s="2">
        <f>SUM(contact[[#This Row],[?]:[x]])</f>
        <v>0</v>
      </c>
      <c r="G28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19" s="3" t="s">
        <v>2360</v>
      </c>
      <c r="K2819" s="1" t="s">
        <v>1316</v>
      </c>
      <c r="L2819" s="1" t="s">
        <v>2</v>
      </c>
      <c r="M2819" s="1" t="s">
        <v>2</v>
      </c>
      <c r="O2819" s="2"/>
      <c r="P2819" s="2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</row>
    <row r="2820" spans="1:32" s="1" customFormat="1" ht="20.25" customHeight="1" x14ac:dyDescent="0.25">
      <c r="A2820" s="2"/>
      <c r="B2820" s="2"/>
      <c r="C2820" s="2"/>
      <c r="D2820" s="2">
        <f>COUNTIF(contact[[#This Row],[Bagossy]:[Szo
03:00 - 10:00]],"=~?")</f>
        <v>0</v>
      </c>
      <c r="E2820" s="2">
        <f>COUNTIF(contact[[#This Row],[Bagossy]:[Szo
03:00 - 10:00]],"=x")</f>
        <v>0</v>
      </c>
      <c r="F2820" s="2">
        <f>SUM(contact[[#This Row],[?]:[x]])</f>
        <v>0</v>
      </c>
      <c r="G28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0" s="3" t="s">
        <v>2460</v>
      </c>
      <c r="K2820" s="1" t="s">
        <v>320</v>
      </c>
      <c r="L2820" s="1" t="s">
        <v>2</v>
      </c>
      <c r="M2820" s="1" t="s">
        <v>2</v>
      </c>
      <c r="O2820" s="2"/>
      <c r="P2820" s="2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</row>
    <row r="2821" spans="1:32" s="1" customFormat="1" ht="20.25" customHeight="1" x14ac:dyDescent="0.25">
      <c r="A2821" s="2"/>
      <c r="B2821" s="2"/>
      <c r="C2821" s="2"/>
      <c r="D2821" s="2">
        <f>COUNTIF(contact[[#This Row],[Bagossy]:[Szo
03:00 - 10:00]],"=~?")</f>
        <v>0</v>
      </c>
      <c r="E2821" s="2">
        <f>COUNTIF(contact[[#This Row],[Bagossy]:[Szo
03:00 - 10:00]],"=x")</f>
        <v>0</v>
      </c>
      <c r="F2821" s="2">
        <f>SUM(contact[[#This Row],[?]:[x]])</f>
        <v>0</v>
      </c>
      <c r="G28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1" s="3" t="s">
        <v>2460</v>
      </c>
      <c r="K2821" s="1" t="s">
        <v>321</v>
      </c>
      <c r="L2821" s="1" t="s">
        <v>2</v>
      </c>
      <c r="M2821" s="1" t="s">
        <v>2</v>
      </c>
      <c r="O2821" s="2"/>
      <c r="P2821" s="2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</row>
    <row r="2822" spans="1:32" s="1" customFormat="1" ht="20.25" customHeight="1" x14ac:dyDescent="0.25">
      <c r="A2822" s="2"/>
      <c r="B2822" s="2"/>
      <c r="C2822" s="2"/>
      <c r="D2822" s="2">
        <f>COUNTIF(contact[[#This Row],[Bagossy]:[Szo
03:00 - 10:00]],"=~?")</f>
        <v>0</v>
      </c>
      <c r="E2822" s="2">
        <f>COUNTIF(contact[[#This Row],[Bagossy]:[Szo
03:00 - 10:00]],"=x")</f>
        <v>0</v>
      </c>
      <c r="F2822" s="2">
        <f>SUM(contact[[#This Row],[?]:[x]])</f>
        <v>0</v>
      </c>
      <c r="G28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2" s="3" t="s">
        <v>2462</v>
      </c>
      <c r="K2822" s="1" t="s">
        <v>323</v>
      </c>
      <c r="L2822" s="1" t="s">
        <v>2</v>
      </c>
      <c r="M2822" s="1" t="s">
        <v>2</v>
      </c>
      <c r="O2822" s="2"/>
      <c r="P2822" s="2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</row>
    <row r="2823" spans="1:32" s="1" customFormat="1" ht="20.25" customHeight="1" x14ac:dyDescent="0.25">
      <c r="A2823" s="2"/>
      <c r="B2823" s="2"/>
      <c r="C2823" s="2"/>
      <c r="D2823" s="2">
        <f>COUNTIF(contact[[#This Row],[Bagossy]:[Szo
03:00 - 10:00]],"=~?")</f>
        <v>0</v>
      </c>
      <c r="E2823" s="2">
        <f>COUNTIF(contact[[#This Row],[Bagossy]:[Szo
03:00 - 10:00]],"=x")</f>
        <v>0</v>
      </c>
      <c r="F2823" s="2">
        <f>SUM(contact[[#This Row],[?]:[x]])</f>
        <v>0</v>
      </c>
      <c r="G28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3" s="3" t="s">
        <v>2509</v>
      </c>
      <c r="K2823" s="1" t="s">
        <v>346</v>
      </c>
      <c r="L2823" s="1" t="s">
        <v>2</v>
      </c>
      <c r="M2823" s="1" t="s">
        <v>2</v>
      </c>
      <c r="O2823" s="2"/>
      <c r="P2823" s="2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</row>
    <row r="2824" spans="1:32" s="1" customFormat="1" ht="20.25" customHeight="1" x14ac:dyDescent="0.25">
      <c r="A2824" s="2"/>
      <c r="B2824" s="2"/>
      <c r="C2824" s="2"/>
      <c r="D2824" s="2">
        <f>COUNTIF(contact[[#This Row],[Bagossy]:[Szo
03:00 - 10:00]],"=~?")</f>
        <v>0</v>
      </c>
      <c r="E2824" s="2">
        <f>COUNTIF(contact[[#This Row],[Bagossy]:[Szo
03:00 - 10:00]],"=x")</f>
        <v>0</v>
      </c>
      <c r="F2824" s="2">
        <f>SUM(contact[[#This Row],[?]:[x]])</f>
        <v>0</v>
      </c>
      <c r="G28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4" s="3" t="s">
        <v>2493</v>
      </c>
      <c r="K2824" s="1" t="s">
        <v>342</v>
      </c>
      <c r="L2824" s="1" t="s">
        <v>2</v>
      </c>
      <c r="M2824" s="1" t="s">
        <v>2</v>
      </c>
      <c r="O2824" s="2"/>
      <c r="P2824" s="2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</row>
    <row r="2825" spans="1:32" s="1" customFormat="1" ht="20.25" customHeight="1" x14ac:dyDescent="0.25">
      <c r="A2825" s="2"/>
      <c r="B2825" s="2"/>
      <c r="C2825" s="2"/>
      <c r="D2825" s="2">
        <f>COUNTIF(contact[[#This Row],[Bagossy]:[Szo
03:00 - 10:00]],"=~?")</f>
        <v>0</v>
      </c>
      <c r="E2825" s="2">
        <f>COUNTIF(contact[[#This Row],[Bagossy]:[Szo
03:00 - 10:00]],"=x")</f>
        <v>0</v>
      </c>
      <c r="F2825" s="2">
        <f>SUM(contact[[#This Row],[?]:[x]])</f>
        <v>0</v>
      </c>
      <c r="G28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5" s="3" t="s">
        <v>2569</v>
      </c>
      <c r="K2825" s="1" t="s">
        <v>382</v>
      </c>
      <c r="L2825" s="1" t="s">
        <v>2</v>
      </c>
      <c r="M2825" s="1" t="s">
        <v>2</v>
      </c>
      <c r="O2825" s="2"/>
      <c r="P2825" s="2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</row>
    <row r="2826" spans="1:32" s="1" customFormat="1" ht="20.25" customHeight="1" x14ac:dyDescent="0.25">
      <c r="A2826" s="2"/>
      <c r="B2826" s="2"/>
      <c r="C2826" s="2"/>
      <c r="D2826" s="2">
        <f>COUNTIF(contact[[#This Row],[Bagossy]:[Szo
03:00 - 10:00]],"=~?")</f>
        <v>0</v>
      </c>
      <c r="E2826" s="2">
        <f>COUNTIF(contact[[#This Row],[Bagossy]:[Szo
03:00 - 10:00]],"=x")</f>
        <v>0</v>
      </c>
      <c r="F2826" s="2">
        <f>SUM(contact[[#This Row],[?]:[x]])</f>
        <v>0</v>
      </c>
      <c r="G28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6" s="3" t="s">
        <v>2591</v>
      </c>
      <c r="K2826" s="1" t="s">
        <v>396</v>
      </c>
      <c r="L2826" s="1" t="s">
        <v>2</v>
      </c>
      <c r="M2826" s="1" t="s">
        <v>2</v>
      </c>
      <c r="O2826" s="2"/>
      <c r="P2826" s="2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</row>
    <row r="2827" spans="1:32" s="1" customFormat="1" ht="20.25" customHeight="1" x14ac:dyDescent="0.25">
      <c r="A2827" s="2"/>
      <c r="B2827" s="2"/>
      <c r="C2827" s="2"/>
      <c r="D2827" s="2">
        <f>COUNTIF(contact[[#This Row],[Bagossy]:[Szo
03:00 - 10:00]],"=~?")</f>
        <v>0</v>
      </c>
      <c r="E2827" s="2">
        <f>COUNTIF(contact[[#This Row],[Bagossy]:[Szo
03:00 - 10:00]],"=x")</f>
        <v>0</v>
      </c>
      <c r="F2827" s="2">
        <f>SUM(contact[[#This Row],[?]:[x]])</f>
        <v>0</v>
      </c>
      <c r="G28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7" s="3" t="s">
        <v>2666</v>
      </c>
      <c r="K2827" s="1" t="s">
        <v>2</v>
      </c>
      <c r="L2827" s="1" t="s">
        <v>2</v>
      </c>
      <c r="M2827" s="1" t="s">
        <v>2</v>
      </c>
      <c r="O2827" s="2"/>
      <c r="P2827" s="2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</row>
    <row r="2828" spans="1:32" s="1" customFormat="1" ht="20.25" customHeight="1" x14ac:dyDescent="0.25">
      <c r="A2828" s="2"/>
      <c r="B2828" s="2"/>
      <c r="C2828" s="2"/>
      <c r="D2828" s="2">
        <f>COUNTIF(contact[[#This Row],[Bagossy]:[Szo
03:00 - 10:00]],"=~?")</f>
        <v>0</v>
      </c>
      <c r="E2828" s="2">
        <f>COUNTIF(contact[[#This Row],[Bagossy]:[Szo
03:00 - 10:00]],"=x")</f>
        <v>0</v>
      </c>
      <c r="F2828" s="2">
        <f>SUM(contact[[#This Row],[?]:[x]])</f>
        <v>0</v>
      </c>
      <c r="G28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28" s="3" t="s">
        <v>2786</v>
      </c>
      <c r="K2828" s="1" t="s">
        <v>1486</v>
      </c>
      <c r="L2828" s="1" t="s">
        <v>2</v>
      </c>
      <c r="M2828" s="1" t="s">
        <v>2</v>
      </c>
      <c r="O2828" s="2"/>
      <c r="P2828" s="2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</row>
    <row r="2829" spans="1:32" s="1" customFormat="1" ht="20.25" customHeight="1" x14ac:dyDescent="0.25">
      <c r="A2829" s="2"/>
      <c r="B2829" s="2"/>
      <c r="C2829" s="2"/>
      <c r="D2829" s="2">
        <f>COUNTIF(contact[[#This Row],[Bagossy]:[Szo
03:00 - 10:00]],"=~?")</f>
        <v>0</v>
      </c>
      <c r="E2829" s="2">
        <f>COUNTIF(contact[[#This Row],[Bagossy]:[Szo
03:00 - 10:00]],"=x")</f>
        <v>0</v>
      </c>
      <c r="F2829" s="2">
        <f>SUM(contact[[#This Row],[?]:[x]])</f>
        <v>0</v>
      </c>
      <c r="G28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29" s="2"/>
      <c r="I2829" s="2"/>
      <c r="J2829" s="3" t="s">
        <v>2786</v>
      </c>
      <c r="K2829" s="1" t="s">
        <v>1850</v>
      </c>
      <c r="L2829" s="1" t="s">
        <v>2</v>
      </c>
      <c r="M2829" s="1" t="s">
        <v>2</v>
      </c>
      <c r="O2829" s="2"/>
      <c r="P2829" s="2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</row>
    <row r="2830" spans="1:32" s="1" customFormat="1" ht="20.25" customHeight="1" x14ac:dyDescent="0.25">
      <c r="A2830" s="2"/>
      <c r="B2830" s="2"/>
      <c r="C2830" s="2"/>
      <c r="D2830" s="2">
        <f>COUNTIF(contact[[#This Row],[Bagossy]:[Szo
03:00 - 10:00]],"=~?")</f>
        <v>0</v>
      </c>
      <c r="E2830" s="2">
        <f>COUNTIF(contact[[#This Row],[Bagossy]:[Szo
03:00 - 10:00]],"=x")</f>
        <v>0</v>
      </c>
      <c r="F2830" s="2">
        <f>SUM(contact[[#This Row],[?]:[x]])</f>
        <v>0</v>
      </c>
      <c r="G28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0" s="3" t="s">
        <v>3122</v>
      </c>
      <c r="K2830" s="1" t="s">
        <v>2</v>
      </c>
      <c r="L2830" s="1" t="s">
        <v>2</v>
      </c>
      <c r="M2830" s="1" t="s">
        <v>2</v>
      </c>
      <c r="O2830" s="2"/>
      <c r="P2830" s="2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</row>
    <row r="2831" spans="1:32" s="1" customFormat="1" ht="20.25" customHeight="1" x14ac:dyDescent="0.25">
      <c r="A2831" s="2" t="s">
        <v>1285</v>
      </c>
      <c r="B2831" s="2" t="s">
        <v>1285</v>
      </c>
      <c r="C2831" s="2" t="s">
        <v>1285</v>
      </c>
      <c r="D2831" s="2">
        <f>COUNTIF(contact[[#This Row],[Bagossy]:[Szo
03:00 - 10:00]],"=~?")</f>
        <v>1</v>
      </c>
      <c r="E2831" s="2">
        <f>COUNTIF(contact[[#This Row],[Bagossy]:[Szo
03:00 - 10:00]],"=x")</f>
        <v>4</v>
      </c>
      <c r="F2831" s="2">
        <f>SUM(contact[[#This Row],[?]:[x]])</f>
        <v>5</v>
      </c>
      <c r="G2831" s="2">
        <f>COUNTIF(contact[[#This Row],[Sze
10:00 - 22:00]:[Cs
03:00 - 08:00]],"=x")+COUNTIF(contact[[#This Row],[P
08:00 - 12:00]:[P
03:00 - 08:00]],"=x")+COUNTIF(contact[[#This Row],[Szo
08:00 - 12:00]:[Szo
03:00 - 10:00]],"=x")</f>
        <v>4</v>
      </c>
      <c r="H2831" s="2" t="s">
        <v>4623</v>
      </c>
      <c r="I2831" s="2" t="s">
        <v>4624</v>
      </c>
      <c r="J2831" s="3" t="s">
        <v>3122</v>
      </c>
      <c r="K2831" s="1" t="s">
        <v>1389</v>
      </c>
      <c r="L2831" s="1" t="s">
        <v>2</v>
      </c>
      <c r="M2831" s="1" t="s">
        <v>2</v>
      </c>
      <c r="N2831" s="2" t="s">
        <v>4612</v>
      </c>
      <c r="O2831" s="2"/>
      <c r="P2831" s="2"/>
      <c r="Q2831" s="6"/>
      <c r="R2831" s="6"/>
      <c r="S2831" s="6"/>
      <c r="T2831" s="6"/>
      <c r="U2831" s="6" t="s">
        <v>1285</v>
      </c>
      <c r="V2831" s="6"/>
      <c r="W2831" s="6"/>
      <c r="X2831" s="6"/>
      <c r="Y2831" s="6"/>
      <c r="Z2831" s="6" t="s">
        <v>1285</v>
      </c>
      <c r="AA2831" s="6"/>
      <c r="AB2831" s="6"/>
      <c r="AC2831" s="6" t="s">
        <v>4616</v>
      </c>
      <c r="AD2831" s="6" t="s">
        <v>1285</v>
      </c>
      <c r="AE2831" s="6" t="s">
        <v>1285</v>
      </c>
      <c r="AF2831" s="6"/>
    </row>
    <row r="2832" spans="1:32" s="1" customFormat="1" ht="20.25" customHeight="1" x14ac:dyDescent="0.25">
      <c r="A2832" s="2"/>
      <c r="B2832" s="2"/>
      <c r="C2832" s="2"/>
      <c r="D2832" s="2">
        <f>COUNTIF(contact[[#This Row],[Bagossy]:[Szo
03:00 - 10:00]],"=~?")</f>
        <v>0</v>
      </c>
      <c r="E2832" s="2">
        <f>COUNTIF(contact[[#This Row],[Bagossy]:[Szo
03:00 - 10:00]],"=x")</f>
        <v>0</v>
      </c>
      <c r="F2832" s="2">
        <f>SUM(contact[[#This Row],[?]:[x]])</f>
        <v>0</v>
      </c>
      <c r="G28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2" s="3" t="s">
        <v>3183</v>
      </c>
      <c r="K2832" s="1" t="s">
        <v>1327</v>
      </c>
      <c r="L2832" s="1" t="s">
        <v>2</v>
      </c>
      <c r="M2832" s="1" t="s">
        <v>2</v>
      </c>
      <c r="O2832" s="2"/>
      <c r="P2832" s="2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</row>
    <row r="2833" spans="1:32" s="1" customFormat="1" ht="20.25" customHeight="1" x14ac:dyDescent="0.25">
      <c r="A2833" s="2"/>
      <c r="B2833" s="2"/>
      <c r="C2833" s="2"/>
      <c r="D2833" s="2">
        <f>COUNTIF(contact[[#This Row],[Bagossy]:[Szo
03:00 - 10:00]],"=~?")</f>
        <v>0</v>
      </c>
      <c r="E2833" s="2">
        <f>COUNTIF(contact[[#This Row],[Bagossy]:[Szo
03:00 - 10:00]],"=x")</f>
        <v>0</v>
      </c>
      <c r="F2833" s="2">
        <f>SUM(contact[[#This Row],[?]:[x]])</f>
        <v>0</v>
      </c>
      <c r="G28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3" s="3" t="s">
        <v>3216</v>
      </c>
      <c r="K2833" s="1" t="s">
        <v>1595</v>
      </c>
      <c r="L2833" s="1" t="s">
        <v>2</v>
      </c>
      <c r="M2833" s="1" t="s">
        <v>2</v>
      </c>
      <c r="O2833" s="2"/>
      <c r="P2833" s="2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</row>
    <row r="2834" spans="1:32" s="1" customFormat="1" ht="20.25" customHeight="1" x14ac:dyDescent="0.25">
      <c r="A2834" s="2"/>
      <c r="B2834" s="2"/>
      <c r="C2834" s="2"/>
      <c r="D2834" s="2">
        <f>COUNTIF(contact[[#This Row],[Bagossy]:[Szo
03:00 - 10:00]],"=~?")</f>
        <v>0</v>
      </c>
      <c r="E2834" s="2">
        <f>COUNTIF(contact[[#This Row],[Bagossy]:[Szo
03:00 - 10:00]],"=x")</f>
        <v>0</v>
      </c>
      <c r="F2834" s="2">
        <f>SUM(contact[[#This Row],[?]:[x]])</f>
        <v>0</v>
      </c>
      <c r="G28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4" s="3" t="s">
        <v>3316</v>
      </c>
      <c r="K2834" s="1" t="s">
        <v>1615</v>
      </c>
      <c r="L2834" s="1" t="s">
        <v>2</v>
      </c>
      <c r="M2834" s="1" t="s">
        <v>2</v>
      </c>
      <c r="O2834" s="2"/>
      <c r="P2834" s="2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</row>
    <row r="2835" spans="1:32" s="1" customFormat="1" ht="20.25" customHeight="1" x14ac:dyDescent="0.25">
      <c r="A2835" s="2"/>
      <c r="B2835" s="2"/>
      <c r="C2835" s="2"/>
      <c r="D2835" s="2">
        <f>COUNTIF(contact[[#This Row],[Bagossy]:[Szo
03:00 - 10:00]],"=~?")</f>
        <v>0</v>
      </c>
      <c r="E2835" s="2">
        <f>COUNTIF(contact[[#This Row],[Bagossy]:[Szo
03:00 - 10:00]],"=x")</f>
        <v>0</v>
      </c>
      <c r="F2835" s="2">
        <f>SUM(contact[[#This Row],[?]:[x]])</f>
        <v>0</v>
      </c>
      <c r="G28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5" s="3" t="s">
        <v>3388</v>
      </c>
      <c r="K2835" s="1" t="s">
        <v>1629</v>
      </c>
      <c r="L2835" s="1" t="s">
        <v>2</v>
      </c>
      <c r="M2835" s="1" t="s">
        <v>2</v>
      </c>
      <c r="O2835" s="2"/>
      <c r="P2835" s="2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</row>
    <row r="2836" spans="1:32" s="1" customFormat="1" ht="20.25" customHeight="1" x14ac:dyDescent="0.25">
      <c r="A2836" s="2"/>
      <c r="B2836" s="2"/>
      <c r="C2836" s="2"/>
      <c r="D2836" s="2">
        <f>COUNTIF(contact[[#This Row],[Bagossy]:[Szo
03:00 - 10:00]],"=~?")</f>
        <v>0</v>
      </c>
      <c r="E2836" s="2">
        <f>COUNTIF(contact[[#This Row],[Bagossy]:[Szo
03:00 - 10:00]],"=x")</f>
        <v>0</v>
      </c>
      <c r="F2836" s="2">
        <f>SUM(contact[[#This Row],[?]:[x]])</f>
        <v>0</v>
      </c>
      <c r="G28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6" s="3" t="s">
        <v>3569</v>
      </c>
      <c r="K2836" s="1" t="s">
        <v>1672</v>
      </c>
      <c r="L2836" s="1" t="s">
        <v>2</v>
      </c>
      <c r="M2836" s="1" t="s">
        <v>2</v>
      </c>
      <c r="O2836" s="2"/>
      <c r="P2836" s="2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</row>
    <row r="2837" spans="1:32" s="1" customFormat="1" ht="20.25" customHeight="1" x14ac:dyDescent="0.25">
      <c r="A2837" s="2"/>
      <c r="B2837" s="2"/>
      <c r="C2837" s="2"/>
      <c r="D2837" s="2">
        <f>COUNTIF(contact[[#This Row],[Bagossy]:[Szo
03:00 - 10:00]],"=~?")</f>
        <v>0</v>
      </c>
      <c r="E2837" s="2">
        <f>COUNTIF(contact[[#This Row],[Bagossy]:[Szo
03:00 - 10:00]],"=x")</f>
        <v>0</v>
      </c>
      <c r="F2837" s="2">
        <f>SUM(contact[[#This Row],[?]:[x]])</f>
        <v>0</v>
      </c>
      <c r="G28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7" s="3" t="s">
        <v>3596</v>
      </c>
      <c r="K2837" s="1" t="s">
        <v>2</v>
      </c>
      <c r="L2837" s="1" t="s">
        <v>2</v>
      </c>
      <c r="M2837" s="1" t="s">
        <v>2</v>
      </c>
      <c r="O2837" s="2"/>
      <c r="P2837" s="2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</row>
    <row r="2838" spans="1:32" s="1" customFormat="1" ht="20.25" customHeight="1" x14ac:dyDescent="0.25">
      <c r="A2838" s="2"/>
      <c r="B2838" s="2"/>
      <c r="C2838" s="2"/>
      <c r="D2838" s="2">
        <f>COUNTIF(contact[[#This Row],[Bagossy]:[Szo
03:00 - 10:00]],"=~?")</f>
        <v>0</v>
      </c>
      <c r="E2838" s="2">
        <f>COUNTIF(contact[[#This Row],[Bagossy]:[Szo
03:00 - 10:00]],"=x")</f>
        <v>0</v>
      </c>
      <c r="F2838" s="2">
        <f>SUM(contact[[#This Row],[?]:[x]])</f>
        <v>0</v>
      </c>
      <c r="G28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8" s="3" t="s">
        <v>3622</v>
      </c>
      <c r="K2838" s="1" t="s">
        <v>1313</v>
      </c>
      <c r="L2838" s="1" t="s">
        <v>2</v>
      </c>
      <c r="M2838" s="1" t="s">
        <v>2</v>
      </c>
      <c r="O2838" s="2"/>
      <c r="P2838" s="2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</row>
    <row r="2839" spans="1:32" s="1" customFormat="1" ht="20.25" customHeight="1" x14ac:dyDescent="0.25">
      <c r="A2839" s="2"/>
      <c r="B2839" s="2"/>
      <c r="C2839" s="2"/>
      <c r="D2839" s="2">
        <f>COUNTIF(contact[[#This Row],[Bagossy]:[Szo
03:00 - 10:00]],"=~?")</f>
        <v>0</v>
      </c>
      <c r="E2839" s="2">
        <f>COUNTIF(contact[[#This Row],[Bagossy]:[Szo
03:00 - 10:00]],"=x")</f>
        <v>0</v>
      </c>
      <c r="F2839" s="2">
        <f>SUM(contact[[#This Row],[?]:[x]])</f>
        <v>0</v>
      </c>
      <c r="G28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39" s="3" t="s">
        <v>3645</v>
      </c>
      <c r="K2839" s="1" t="s">
        <v>880</v>
      </c>
      <c r="L2839" s="1" t="s">
        <v>2</v>
      </c>
      <c r="M2839" s="1" t="s">
        <v>2</v>
      </c>
      <c r="O2839" s="2"/>
      <c r="P2839" s="2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</row>
    <row r="2840" spans="1:32" s="1" customFormat="1" ht="20.25" customHeight="1" x14ac:dyDescent="0.25">
      <c r="A2840" s="2"/>
      <c r="B2840" s="2"/>
      <c r="C2840" s="2"/>
      <c r="D2840" s="2">
        <f>COUNTIF(contact[[#This Row],[Bagossy]:[Szo
03:00 - 10:00]],"=~?")</f>
        <v>0</v>
      </c>
      <c r="E2840" s="2">
        <f>COUNTIF(contact[[#This Row],[Bagossy]:[Szo
03:00 - 10:00]],"=x")</f>
        <v>0</v>
      </c>
      <c r="F2840" s="2">
        <f>SUM(contact[[#This Row],[?]:[x]])</f>
        <v>0</v>
      </c>
      <c r="G28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40" s="2"/>
      <c r="I2840" s="2"/>
      <c r="J2840" s="3" t="s">
        <v>4435</v>
      </c>
      <c r="K2840" s="1" t="s">
        <v>178</v>
      </c>
      <c r="L2840" s="1" t="s">
        <v>2</v>
      </c>
      <c r="M2840" s="1" t="s">
        <v>2</v>
      </c>
      <c r="O2840" s="2"/>
      <c r="P2840" s="2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</row>
    <row r="2841" spans="1:32" s="1" customFormat="1" ht="20.25" customHeight="1" x14ac:dyDescent="0.25">
      <c r="A2841" s="2"/>
      <c r="B2841" s="2"/>
      <c r="C2841" s="2"/>
      <c r="D2841" s="2">
        <f>COUNTIF(contact[[#This Row],[Bagossy]:[Szo
03:00 - 10:00]],"=~?")</f>
        <v>0</v>
      </c>
      <c r="E2841" s="2">
        <f>COUNTIF(contact[[#This Row],[Bagossy]:[Szo
03:00 - 10:00]],"=x")</f>
        <v>0</v>
      </c>
      <c r="F2841" s="2">
        <f>SUM(contact[[#This Row],[?]:[x]])</f>
        <v>0</v>
      </c>
      <c r="G28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41" s="2"/>
      <c r="I2841" s="2"/>
      <c r="J2841" s="3" t="s">
        <v>4435</v>
      </c>
      <c r="K2841" s="1" t="s">
        <v>178</v>
      </c>
      <c r="L2841" s="1" t="s">
        <v>2</v>
      </c>
      <c r="M2841" s="1" t="s">
        <v>2</v>
      </c>
      <c r="O2841" s="2"/>
      <c r="P2841" s="2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</row>
    <row r="2842" spans="1:32" s="1" customFormat="1" ht="20.25" customHeight="1" x14ac:dyDescent="0.25">
      <c r="A2842" s="2"/>
      <c r="B2842" s="2"/>
      <c r="C2842" s="2"/>
      <c r="D2842" s="2">
        <f>COUNTIF(contact[[#This Row],[Bagossy]:[Szo
03:00 - 10:00]],"=~?")</f>
        <v>0</v>
      </c>
      <c r="E2842" s="2">
        <f>COUNTIF(contact[[#This Row],[Bagossy]:[Szo
03:00 - 10:00]],"=x")</f>
        <v>0</v>
      </c>
      <c r="F2842" s="2">
        <f>SUM(contact[[#This Row],[?]:[x]])</f>
        <v>0</v>
      </c>
      <c r="G28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42" s="3" t="s">
        <v>3715</v>
      </c>
      <c r="K2842" s="1" t="s">
        <v>1704</v>
      </c>
      <c r="L2842" s="1" t="s">
        <v>2</v>
      </c>
      <c r="M2842" s="1" t="s">
        <v>2</v>
      </c>
      <c r="O2842" s="2"/>
      <c r="P2842" s="2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</row>
    <row r="2843" spans="1:32" s="1" customFormat="1" ht="20.25" customHeight="1" x14ac:dyDescent="0.25">
      <c r="A2843" s="2"/>
      <c r="B2843" s="2"/>
      <c r="C2843" s="2"/>
      <c r="D2843" s="2">
        <f>COUNTIF(contact[[#This Row],[Bagossy]:[Szo
03:00 - 10:00]],"=~?")</f>
        <v>0</v>
      </c>
      <c r="E2843" s="2">
        <f>COUNTIF(contact[[#This Row],[Bagossy]:[Szo
03:00 - 10:00]],"=x")</f>
        <v>0</v>
      </c>
      <c r="F2843" s="2">
        <f>SUM(contact[[#This Row],[?]:[x]])</f>
        <v>0</v>
      </c>
      <c r="G28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43" s="3" t="s">
        <v>3760</v>
      </c>
      <c r="K2843" s="1" t="s">
        <v>1425</v>
      </c>
      <c r="L2843" s="1" t="s">
        <v>2</v>
      </c>
      <c r="M2843" s="1" t="s">
        <v>2</v>
      </c>
      <c r="O2843" s="2"/>
      <c r="P2843" s="2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</row>
    <row r="2844" spans="1:32" s="1" customFormat="1" ht="20.25" customHeight="1" x14ac:dyDescent="0.25">
      <c r="A2844" s="2"/>
      <c r="B2844" s="2"/>
      <c r="C2844" s="2"/>
      <c r="D2844" s="2">
        <f>COUNTIF(contact[[#This Row],[Bagossy]:[Szo
03:00 - 10:00]],"=~?")</f>
        <v>0</v>
      </c>
      <c r="E2844" s="2">
        <f>COUNTIF(contact[[#This Row],[Bagossy]:[Szo
03:00 - 10:00]],"=x")</f>
        <v>0</v>
      </c>
      <c r="F2844" s="2">
        <f>SUM(contact[[#This Row],[?]:[x]])</f>
        <v>0</v>
      </c>
      <c r="G28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44" s="3" t="s">
        <v>3833</v>
      </c>
      <c r="K2844" s="1" t="s">
        <v>967</v>
      </c>
      <c r="L2844" s="1" t="s">
        <v>2</v>
      </c>
      <c r="M2844" s="1" t="s">
        <v>2</v>
      </c>
      <c r="O2844" s="2"/>
      <c r="P2844" s="2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</row>
    <row r="2845" spans="1:32" s="1" customFormat="1" ht="20.25" customHeight="1" x14ac:dyDescent="0.25">
      <c r="A2845" s="2" t="s">
        <v>1285</v>
      </c>
      <c r="B2845" s="2" t="s">
        <v>1285</v>
      </c>
      <c r="C2845" s="2" t="s">
        <v>1285</v>
      </c>
      <c r="D2845" s="2">
        <f>COUNTIF(contact[[#This Row],[Bagossy]:[Szo
03:00 - 10:00]],"=~?")</f>
        <v>0</v>
      </c>
      <c r="E2845" s="2">
        <f>COUNTIF(contact[[#This Row],[Bagossy]:[Szo
03:00 - 10:00]],"=x")</f>
        <v>0</v>
      </c>
      <c r="F2845" s="2">
        <f>SUM(contact[[#This Row],[?]:[x]])</f>
        <v>0</v>
      </c>
      <c r="G28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45" s="2" t="s">
        <v>4616</v>
      </c>
      <c r="I2845" s="2"/>
      <c r="J2845" s="3" t="s">
        <v>4444</v>
      </c>
      <c r="K2845" s="1" t="s">
        <v>6</v>
      </c>
      <c r="L2845" s="1" t="s">
        <v>2</v>
      </c>
      <c r="M2845" s="1" t="s">
        <v>2</v>
      </c>
      <c r="N2845" s="2" t="s">
        <v>4612</v>
      </c>
      <c r="O2845" s="2"/>
      <c r="P2845" s="2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</row>
    <row r="2846" spans="1:32" s="1" customFormat="1" ht="20.25" customHeight="1" x14ac:dyDescent="0.25">
      <c r="A2846" s="2"/>
      <c r="B2846" s="2"/>
      <c r="C2846" s="2"/>
      <c r="D2846" s="2">
        <f>COUNTIF(contact[[#This Row],[Bagossy]:[Szo
03:00 - 10:00]],"=~?")</f>
        <v>0</v>
      </c>
      <c r="E2846" s="2">
        <f>COUNTIF(contact[[#This Row],[Bagossy]:[Szo
03:00 - 10:00]],"=x")</f>
        <v>0</v>
      </c>
      <c r="F2846" s="2">
        <f>SUM(contact[[#This Row],[?]:[x]])</f>
        <v>0</v>
      </c>
      <c r="G28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46" s="3" t="s">
        <v>3910</v>
      </c>
      <c r="K2846" s="1" t="s">
        <v>1008</v>
      </c>
      <c r="L2846" s="1" t="s">
        <v>2</v>
      </c>
      <c r="M2846" s="1" t="s">
        <v>2</v>
      </c>
      <c r="O2846" s="2"/>
      <c r="P2846" s="2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</row>
    <row r="2847" spans="1:32" s="1" customFormat="1" ht="20.25" customHeight="1" x14ac:dyDescent="0.25">
      <c r="A2847" s="2"/>
      <c r="B2847" s="2"/>
      <c r="C2847" s="2"/>
      <c r="D2847" s="2">
        <f>COUNTIF(contact[[#This Row],[Bagossy]:[Szo
03:00 - 10:00]],"=~?")</f>
        <v>0</v>
      </c>
      <c r="E2847" s="2">
        <f>COUNTIF(contact[[#This Row],[Bagossy]:[Szo
03:00 - 10:00]],"=x")</f>
        <v>0</v>
      </c>
      <c r="F2847" s="2">
        <f>SUM(contact[[#This Row],[?]:[x]])</f>
        <v>0</v>
      </c>
      <c r="G28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47" s="3" t="s">
        <v>3910</v>
      </c>
      <c r="K2847" s="1" t="s">
        <v>1740</v>
      </c>
      <c r="L2847" s="1" t="s">
        <v>2</v>
      </c>
      <c r="M2847" s="1" t="s">
        <v>2</v>
      </c>
      <c r="O2847" s="2"/>
      <c r="P2847" s="2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</row>
    <row r="2848" spans="1:32" s="1" customFormat="1" ht="20.25" customHeight="1" x14ac:dyDescent="0.25">
      <c r="A2848" s="2"/>
      <c r="B2848" s="2"/>
      <c r="C2848" s="2"/>
      <c r="D2848" s="2">
        <f>COUNTIF(contact[[#This Row],[Bagossy]:[Szo
03:00 - 10:00]],"=~?")</f>
        <v>0</v>
      </c>
      <c r="E2848" s="2">
        <f>COUNTIF(contact[[#This Row],[Bagossy]:[Szo
03:00 - 10:00]],"=x")</f>
        <v>0</v>
      </c>
      <c r="F2848" s="2">
        <f>SUM(contact[[#This Row],[?]:[x]])</f>
        <v>0</v>
      </c>
      <c r="G28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48" s="3" t="s">
        <v>3980</v>
      </c>
      <c r="K2848" s="1" t="s">
        <v>2</v>
      </c>
      <c r="L2848" s="1" t="s">
        <v>2</v>
      </c>
      <c r="M2848" s="1" t="s">
        <v>2</v>
      </c>
      <c r="O2848" s="2"/>
      <c r="P2848" s="2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</row>
    <row r="2849" spans="1:32" s="1" customFormat="1" ht="20.25" customHeight="1" x14ac:dyDescent="0.25">
      <c r="A2849" s="2"/>
      <c r="B2849" s="2"/>
      <c r="C2849" s="2"/>
      <c r="D2849" s="2">
        <f>COUNTIF(contact[[#This Row],[Bagossy]:[Szo
03:00 - 10:00]],"=~?")</f>
        <v>0</v>
      </c>
      <c r="E2849" s="2">
        <f>COUNTIF(contact[[#This Row],[Bagossy]:[Szo
03:00 - 10:00]],"=x")</f>
        <v>0</v>
      </c>
      <c r="F2849" s="2">
        <f>SUM(contact[[#This Row],[?]:[x]])</f>
        <v>0</v>
      </c>
      <c r="G28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49" s="3" t="s">
        <v>3980</v>
      </c>
      <c r="K2849" s="1" t="s">
        <v>1047</v>
      </c>
      <c r="L2849" s="1" t="s">
        <v>2</v>
      </c>
      <c r="M2849" s="1" t="s">
        <v>2</v>
      </c>
      <c r="O2849" s="2"/>
      <c r="P2849" s="2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</row>
    <row r="2850" spans="1:32" s="1" customFormat="1" ht="20.25" customHeight="1" x14ac:dyDescent="0.25">
      <c r="A2850" s="2"/>
      <c r="B2850" s="2"/>
      <c r="C2850" s="2"/>
      <c r="D2850" s="2">
        <f>COUNTIF(contact[[#This Row],[Bagossy]:[Szo
03:00 - 10:00]],"=~?")</f>
        <v>0</v>
      </c>
      <c r="E2850" s="2">
        <f>COUNTIF(contact[[#This Row],[Bagossy]:[Szo
03:00 - 10:00]],"=x")</f>
        <v>0</v>
      </c>
      <c r="F2850" s="2">
        <f>SUM(contact[[#This Row],[?]:[x]])</f>
        <v>0</v>
      </c>
      <c r="G28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0" s="3" t="s">
        <v>3980</v>
      </c>
      <c r="K2850" s="1" t="s">
        <v>2</v>
      </c>
      <c r="L2850" s="1" t="s">
        <v>2</v>
      </c>
      <c r="M2850" s="1" t="s">
        <v>2</v>
      </c>
      <c r="O2850" s="2"/>
      <c r="P2850" s="2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</row>
    <row r="2851" spans="1:32" s="1" customFormat="1" ht="20.25" customHeight="1" x14ac:dyDescent="0.25">
      <c r="A2851" s="2"/>
      <c r="B2851" s="2"/>
      <c r="C2851" s="2"/>
      <c r="D2851" s="2">
        <f>COUNTIF(contact[[#This Row],[Bagossy]:[Szo
03:00 - 10:00]],"=~?")</f>
        <v>0</v>
      </c>
      <c r="E2851" s="2">
        <f>COUNTIF(contact[[#This Row],[Bagossy]:[Szo
03:00 - 10:00]],"=x")</f>
        <v>0</v>
      </c>
      <c r="F2851" s="2">
        <f>SUM(contact[[#This Row],[?]:[x]])</f>
        <v>0</v>
      </c>
      <c r="G28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1" s="3" t="s">
        <v>4095</v>
      </c>
      <c r="K2851" s="1" t="s">
        <v>2</v>
      </c>
      <c r="L2851" s="1" t="s">
        <v>2</v>
      </c>
      <c r="M2851" s="1" t="s">
        <v>2</v>
      </c>
      <c r="O2851" s="2"/>
      <c r="P2851" s="2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</row>
    <row r="2852" spans="1:32" s="1" customFormat="1" ht="20.25" customHeight="1" x14ac:dyDescent="0.25">
      <c r="A2852" s="2"/>
      <c r="B2852" s="2"/>
      <c r="C2852" s="2"/>
      <c r="D2852" s="2">
        <f>COUNTIF(contact[[#This Row],[Bagossy]:[Szo
03:00 - 10:00]],"=~?")</f>
        <v>0</v>
      </c>
      <c r="E2852" s="2">
        <f>COUNTIF(contact[[#This Row],[Bagossy]:[Szo
03:00 - 10:00]],"=x")</f>
        <v>0</v>
      </c>
      <c r="F2852" s="2">
        <f>SUM(contact[[#This Row],[?]:[x]])</f>
        <v>0</v>
      </c>
      <c r="G28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2" s="3" t="s">
        <v>4110</v>
      </c>
      <c r="K2852" s="1" t="s">
        <v>1787</v>
      </c>
      <c r="L2852" s="1" t="s">
        <v>2</v>
      </c>
      <c r="M2852" s="1" t="s">
        <v>2</v>
      </c>
      <c r="O2852" s="2"/>
      <c r="P2852" s="2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</row>
    <row r="2853" spans="1:32" s="1" customFormat="1" ht="20.25" customHeight="1" x14ac:dyDescent="0.25">
      <c r="A2853" s="2"/>
      <c r="B2853" s="2"/>
      <c r="C2853" s="2"/>
      <c r="D2853" s="2">
        <f>COUNTIF(contact[[#This Row],[Bagossy]:[Szo
03:00 - 10:00]],"=~?")</f>
        <v>0</v>
      </c>
      <c r="E2853" s="2">
        <f>COUNTIF(contact[[#This Row],[Bagossy]:[Szo
03:00 - 10:00]],"=x")</f>
        <v>0</v>
      </c>
      <c r="F2853" s="2">
        <f>SUM(contact[[#This Row],[?]:[x]])</f>
        <v>0</v>
      </c>
      <c r="G28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3" s="3" t="s">
        <v>1188</v>
      </c>
      <c r="K2853" s="1" t="s">
        <v>1157</v>
      </c>
      <c r="L2853" s="1" t="s">
        <v>2</v>
      </c>
      <c r="M2853" s="1" t="s">
        <v>2</v>
      </c>
      <c r="O2853" s="2"/>
      <c r="P2853" s="2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</row>
    <row r="2854" spans="1:32" s="1" customFormat="1" ht="20.25" customHeight="1" x14ac:dyDescent="0.25">
      <c r="A2854" s="2"/>
      <c r="B2854" s="2"/>
      <c r="C2854" s="2"/>
      <c r="D2854" s="2">
        <f>COUNTIF(contact[[#This Row],[Bagossy]:[Szo
03:00 - 10:00]],"=~?")</f>
        <v>0</v>
      </c>
      <c r="E2854" s="2">
        <f>COUNTIF(contact[[#This Row],[Bagossy]:[Szo
03:00 - 10:00]],"=x")</f>
        <v>0</v>
      </c>
      <c r="F2854" s="2">
        <f>SUM(contact[[#This Row],[?]:[x]])</f>
        <v>0</v>
      </c>
      <c r="G28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4" s="3" t="s">
        <v>1188</v>
      </c>
      <c r="K2854" s="1" t="s">
        <v>1293</v>
      </c>
      <c r="L2854" s="1" t="s">
        <v>2</v>
      </c>
      <c r="M2854" s="1" t="s">
        <v>2</v>
      </c>
      <c r="O2854" s="2"/>
      <c r="P2854" s="2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</row>
    <row r="2855" spans="1:32" s="1" customFormat="1" ht="20.25" customHeight="1" x14ac:dyDescent="0.25">
      <c r="A2855" s="2"/>
      <c r="B2855" s="2"/>
      <c r="C2855" s="2"/>
      <c r="D2855" s="2">
        <f>COUNTIF(contact[[#This Row],[Bagossy]:[Szo
03:00 - 10:00]],"=~?")</f>
        <v>0</v>
      </c>
      <c r="E2855" s="2">
        <f>COUNTIF(contact[[#This Row],[Bagossy]:[Szo
03:00 - 10:00]],"=x")</f>
        <v>0</v>
      </c>
      <c r="F2855" s="2">
        <f>SUM(contact[[#This Row],[?]:[x]])</f>
        <v>0</v>
      </c>
      <c r="G28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5" s="3" t="s">
        <v>1188</v>
      </c>
      <c r="K2855" s="1" t="s">
        <v>2</v>
      </c>
      <c r="L2855" s="1" t="s">
        <v>2</v>
      </c>
      <c r="M2855" s="1" t="s">
        <v>2</v>
      </c>
      <c r="O2855" s="2"/>
      <c r="P2855" s="2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</row>
    <row r="2856" spans="1:32" s="1" customFormat="1" ht="20.25" customHeight="1" x14ac:dyDescent="0.25">
      <c r="A2856" s="2"/>
      <c r="B2856" s="2"/>
      <c r="C2856" s="2"/>
      <c r="D2856" s="2">
        <f>COUNTIF(contact[[#This Row],[Bagossy]:[Szo
03:00 - 10:00]],"=~?")</f>
        <v>0</v>
      </c>
      <c r="E2856" s="2">
        <f>COUNTIF(contact[[#This Row],[Bagossy]:[Szo
03:00 - 10:00]],"=x")</f>
        <v>0</v>
      </c>
      <c r="F2856" s="2">
        <f>SUM(contact[[#This Row],[?]:[x]])</f>
        <v>0</v>
      </c>
      <c r="G28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6" s="3" t="s">
        <v>4292</v>
      </c>
      <c r="K2856" s="1" t="s">
        <v>1177</v>
      </c>
      <c r="L2856" s="1" t="s">
        <v>2</v>
      </c>
      <c r="M2856" s="1" t="s">
        <v>2</v>
      </c>
      <c r="O2856" s="2"/>
      <c r="P2856" s="2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</row>
    <row r="2857" spans="1:32" s="1" customFormat="1" ht="20.25" customHeight="1" x14ac:dyDescent="0.25">
      <c r="A2857" s="2"/>
      <c r="B2857" s="2"/>
      <c r="C2857" s="2"/>
      <c r="D2857" s="2">
        <f>COUNTIF(contact[[#This Row],[Bagossy]:[Szo
03:00 - 10:00]],"=~?")</f>
        <v>0</v>
      </c>
      <c r="E2857" s="2">
        <f>COUNTIF(contact[[#This Row],[Bagossy]:[Szo
03:00 - 10:00]],"=x")</f>
        <v>0</v>
      </c>
      <c r="F2857" s="2">
        <f>SUM(contact[[#This Row],[?]:[x]])</f>
        <v>0</v>
      </c>
      <c r="G28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7" s="3" t="s">
        <v>4292</v>
      </c>
      <c r="K2857" s="1" t="s">
        <v>1834</v>
      </c>
      <c r="L2857" s="1" t="s">
        <v>2</v>
      </c>
      <c r="M2857" s="1" t="s">
        <v>2</v>
      </c>
      <c r="O2857" s="2"/>
      <c r="P2857" s="2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</row>
    <row r="2858" spans="1:32" s="1" customFormat="1" ht="20.25" customHeight="1" x14ac:dyDescent="0.25">
      <c r="A2858" s="2"/>
      <c r="B2858" s="2"/>
      <c r="C2858" s="2"/>
      <c r="D2858" s="2">
        <f>COUNTIF(contact[[#This Row],[Bagossy]:[Szo
03:00 - 10:00]],"=~?")</f>
        <v>0</v>
      </c>
      <c r="E2858" s="2">
        <f>COUNTIF(contact[[#This Row],[Bagossy]:[Szo
03:00 - 10:00]],"=x")</f>
        <v>0</v>
      </c>
      <c r="F2858" s="2">
        <f>SUM(contact[[#This Row],[?]:[x]])</f>
        <v>0</v>
      </c>
      <c r="G28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8" s="3" t="s">
        <v>4327</v>
      </c>
      <c r="K2858" s="1" t="s">
        <v>1839</v>
      </c>
      <c r="L2858" s="1" t="s">
        <v>2</v>
      </c>
      <c r="M2858" s="1" t="s">
        <v>2</v>
      </c>
      <c r="O2858" s="2"/>
      <c r="P2858" s="2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</row>
    <row r="2859" spans="1:32" s="1" customFormat="1" ht="20.25" customHeight="1" x14ac:dyDescent="0.25">
      <c r="A2859" s="2"/>
      <c r="B2859" s="2"/>
      <c r="C2859" s="2"/>
      <c r="D2859" s="2">
        <f>COUNTIF(contact[[#This Row],[Bagossy]:[Szo
03:00 - 10:00]],"=~?")</f>
        <v>0</v>
      </c>
      <c r="E2859" s="2">
        <f>COUNTIF(contact[[#This Row],[Bagossy]:[Szo
03:00 - 10:00]],"=x")</f>
        <v>0</v>
      </c>
      <c r="F2859" s="2">
        <f>SUM(contact[[#This Row],[?]:[x]])</f>
        <v>0</v>
      </c>
      <c r="G28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59" s="3" t="s">
        <v>4340</v>
      </c>
      <c r="K2859" s="1" t="s">
        <v>1841</v>
      </c>
      <c r="L2859" s="1" t="s">
        <v>2</v>
      </c>
      <c r="M2859" s="1" t="s">
        <v>2</v>
      </c>
      <c r="O2859" s="2"/>
      <c r="P2859" s="2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</row>
    <row r="2860" spans="1:32" s="1" customFormat="1" ht="20.25" customHeight="1" x14ac:dyDescent="0.25">
      <c r="A2860" s="2"/>
      <c r="B2860" s="2"/>
      <c r="C2860" s="2"/>
      <c r="D2860" s="2">
        <f>COUNTIF(contact[[#This Row],[Bagossy]:[Szo
03:00 - 10:00]],"=~?")</f>
        <v>0</v>
      </c>
      <c r="E2860" s="2">
        <f>COUNTIF(contact[[#This Row],[Bagossy]:[Szo
03:00 - 10:00]],"=x")</f>
        <v>0</v>
      </c>
      <c r="F2860" s="2">
        <f>SUM(contact[[#This Row],[?]:[x]])</f>
        <v>0</v>
      </c>
      <c r="G28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0" s="3" t="s">
        <v>4422</v>
      </c>
      <c r="K2860" s="1" t="s">
        <v>1233</v>
      </c>
      <c r="L2860" s="1" t="s">
        <v>2</v>
      </c>
      <c r="M2860" s="1" t="s">
        <v>2</v>
      </c>
      <c r="O2860" s="2"/>
      <c r="P2860" s="2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</row>
    <row r="2861" spans="1:32" s="1" customFormat="1" ht="20.25" customHeight="1" x14ac:dyDescent="0.25">
      <c r="A2861" s="2"/>
      <c r="B2861" s="2"/>
      <c r="C2861" s="2"/>
      <c r="D2861" s="2">
        <f>COUNTIF(contact[[#This Row],[Bagossy]:[Szo
03:00 - 10:00]],"=~?")</f>
        <v>0</v>
      </c>
      <c r="E2861" s="2">
        <f>COUNTIF(contact[[#This Row],[Bagossy]:[Szo
03:00 - 10:00]],"=x")</f>
        <v>0</v>
      </c>
      <c r="F2861" s="2">
        <f>SUM(contact[[#This Row],[?]:[x]])</f>
        <v>0</v>
      </c>
      <c r="G28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1" s="3" t="s">
        <v>4423</v>
      </c>
      <c r="K2861" s="1" t="s">
        <v>1854</v>
      </c>
      <c r="L2861" s="1" t="s">
        <v>2</v>
      </c>
      <c r="M2861" s="1" t="s">
        <v>2</v>
      </c>
      <c r="O2861" s="2"/>
      <c r="P2861" s="2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</row>
    <row r="2862" spans="1:32" s="1" customFormat="1" ht="20.25" customHeight="1" x14ac:dyDescent="0.25">
      <c r="A2862" s="2"/>
      <c r="B2862" s="2"/>
      <c r="C2862" s="2"/>
      <c r="D2862" s="2">
        <f>COUNTIF(contact[[#This Row],[Bagossy]:[Szo
03:00 - 10:00]],"=~?")</f>
        <v>0</v>
      </c>
      <c r="E2862" s="2">
        <f>COUNTIF(contact[[#This Row],[Bagossy]:[Szo
03:00 - 10:00]],"=x")</f>
        <v>0</v>
      </c>
      <c r="F2862" s="2">
        <f>SUM(contact[[#This Row],[?]:[x]])</f>
        <v>0</v>
      </c>
      <c r="G28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2" s="3" t="s">
        <v>4488</v>
      </c>
      <c r="K2862" s="1" t="s">
        <v>465</v>
      </c>
      <c r="L2862" s="1" t="s">
        <v>2</v>
      </c>
      <c r="M2862" s="1" t="s">
        <v>2</v>
      </c>
      <c r="O2862" s="2"/>
      <c r="P2862" s="2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</row>
    <row r="2863" spans="1:32" s="1" customFormat="1" ht="20.25" customHeight="1" x14ac:dyDescent="0.25">
      <c r="A2863" s="2"/>
      <c r="B2863" s="2"/>
      <c r="C2863" s="2"/>
      <c r="D2863" s="2">
        <f>COUNTIF(contact[[#This Row],[Bagossy]:[Szo
03:00 - 10:00]],"=~?")</f>
        <v>0</v>
      </c>
      <c r="E2863" s="2">
        <f>COUNTIF(contact[[#This Row],[Bagossy]:[Szo
03:00 - 10:00]],"=x")</f>
        <v>0</v>
      </c>
      <c r="F2863" s="2">
        <f>SUM(contact[[#This Row],[?]:[x]])</f>
        <v>0</v>
      </c>
      <c r="G28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3" s="3" t="s">
        <v>3280</v>
      </c>
      <c r="K2863" s="1" t="s">
        <v>1609</v>
      </c>
      <c r="L2863" s="1" t="s">
        <v>2</v>
      </c>
      <c r="M2863" s="1" t="s">
        <v>2</v>
      </c>
      <c r="O2863" s="2"/>
      <c r="P2863" s="2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</row>
    <row r="2864" spans="1:32" s="1" customFormat="1" ht="20.25" customHeight="1" x14ac:dyDescent="0.25">
      <c r="A2864" s="2"/>
      <c r="B2864" s="2"/>
      <c r="C2864" s="2"/>
      <c r="D2864" s="2">
        <f>COUNTIF(contact[[#This Row],[Bagossy]:[Szo
03:00 - 10:00]],"=~?")</f>
        <v>0</v>
      </c>
      <c r="E2864" s="2">
        <f>COUNTIF(contact[[#This Row],[Bagossy]:[Szo
03:00 - 10:00]],"=x")</f>
        <v>0</v>
      </c>
      <c r="F2864" s="2">
        <f>SUM(contact[[#This Row],[?]:[x]])</f>
        <v>0</v>
      </c>
      <c r="G28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4" s="3" t="s">
        <v>2214</v>
      </c>
      <c r="K2864" s="1" t="s">
        <v>1367</v>
      </c>
      <c r="L2864" s="1" t="s">
        <v>2</v>
      </c>
      <c r="M2864" s="1" t="s">
        <v>2</v>
      </c>
      <c r="O2864" s="2"/>
      <c r="P2864" s="2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</row>
    <row r="2865" spans="1:32" s="1" customFormat="1" ht="20.25" customHeight="1" x14ac:dyDescent="0.25">
      <c r="A2865" s="2"/>
      <c r="B2865" s="2"/>
      <c r="C2865" s="2"/>
      <c r="D2865" s="2">
        <f>COUNTIF(contact[[#This Row],[Bagossy]:[Szo
03:00 - 10:00]],"=~?")</f>
        <v>0</v>
      </c>
      <c r="E2865" s="2">
        <f>COUNTIF(contact[[#This Row],[Bagossy]:[Szo
03:00 - 10:00]],"=x")</f>
        <v>0</v>
      </c>
      <c r="F2865" s="2">
        <f>SUM(contact[[#This Row],[?]:[x]])</f>
        <v>0</v>
      </c>
      <c r="G28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5" s="3" t="s">
        <v>3389</v>
      </c>
      <c r="K2865" s="1" t="s">
        <v>2</v>
      </c>
      <c r="L2865" s="1" t="s">
        <v>2</v>
      </c>
      <c r="M2865" s="1" t="s">
        <v>2</v>
      </c>
      <c r="O2865" s="2"/>
      <c r="P2865" s="2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</row>
    <row r="2866" spans="1:32" s="1" customFormat="1" ht="20.25" customHeight="1" x14ac:dyDescent="0.25">
      <c r="A2866" s="2"/>
      <c r="B2866" s="2"/>
      <c r="C2866" s="2"/>
      <c r="D2866" s="2">
        <f>COUNTIF(contact[[#This Row],[Bagossy]:[Szo
03:00 - 10:00]],"=~?")</f>
        <v>0</v>
      </c>
      <c r="E2866" s="2">
        <f>COUNTIF(contact[[#This Row],[Bagossy]:[Szo
03:00 - 10:00]],"=x")</f>
        <v>0</v>
      </c>
      <c r="F2866" s="2">
        <f>SUM(contact[[#This Row],[?]:[x]])</f>
        <v>0</v>
      </c>
      <c r="G28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6" s="3" t="s">
        <v>4091</v>
      </c>
      <c r="K2866" s="1" t="s">
        <v>1303</v>
      </c>
      <c r="L2866" s="1" t="s">
        <v>2</v>
      </c>
      <c r="M2866" s="1" t="s">
        <v>2</v>
      </c>
      <c r="O2866" s="2"/>
      <c r="P2866" s="2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</row>
    <row r="2867" spans="1:32" s="1" customFormat="1" ht="20.25" customHeight="1" x14ac:dyDescent="0.25">
      <c r="A2867" s="2"/>
      <c r="B2867" s="2"/>
      <c r="C2867" s="2" t="s">
        <v>1285</v>
      </c>
      <c r="D2867" s="2">
        <f>COUNTIF(contact[[#This Row],[Bagossy]:[Szo
03:00 - 10:00]],"=~?")</f>
        <v>0</v>
      </c>
      <c r="E2867" s="2">
        <f>COUNTIF(contact[[#This Row],[Bagossy]:[Szo
03:00 - 10:00]],"=x")</f>
        <v>0</v>
      </c>
      <c r="F2867" s="2">
        <f>SUM(contact[[#This Row],[?]:[x]])</f>
        <v>0</v>
      </c>
      <c r="G28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67" s="2"/>
      <c r="I2867" s="2"/>
      <c r="J2867" s="3" t="s">
        <v>4451</v>
      </c>
      <c r="K2867" s="1" t="s">
        <v>243</v>
      </c>
      <c r="L2867" s="1" t="s">
        <v>2</v>
      </c>
      <c r="M2867" s="1" t="s">
        <v>2</v>
      </c>
      <c r="O2867" s="2"/>
      <c r="P2867" s="2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</row>
    <row r="2868" spans="1:32" s="1" customFormat="1" ht="20.25" customHeight="1" x14ac:dyDescent="0.25">
      <c r="A2868" s="2"/>
      <c r="B2868" s="2"/>
      <c r="C2868" s="2"/>
      <c r="D2868" s="2">
        <f>COUNTIF(contact[[#This Row],[Bagossy]:[Szo
03:00 - 10:00]],"=~?")</f>
        <v>0</v>
      </c>
      <c r="E2868" s="2">
        <f>COUNTIF(contact[[#This Row],[Bagossy]:[Szo
03:00 - 10:00]],"=x")</f>
        <v>0</v>
      </c>
      <c r="F2868" s="2">
        <f>SUM(contact[[#This Row],[?]:[x]])</f>
        <v>0</v>
      </c>
      <c r="G28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8" s="3" t="s">
        <v>3940</v>
      </c>
      <c r="K2868" s="1" t="s">
        <v>1023</v>
      </c>
      <c r="L2868" s="1" t="s">
        <v>2</v>
      </c>
      <c r="M2868" s="1" t="s">
        <v>2</v>
      </c>
      <c r="O2868" s="2"/>
      <c r="P2868" s="2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</row>
    <row r="2869" spans="1:32" s="1" customFormat="1" ht="20.25" customHeight="1" x14ac:dyDescent="0.25">
      <c r="A2869" s="2"/>
      <c r="B2869" s="2"/>
      <c r="C2869" s="2"/>
      <c r="D2869" s="2">
        <f>COUNTIF(contact[[#This Row],[Bagossy]:[Szo
03:00 - 10:00]],"=~?")</f>
        <v>0</v>
      </c>
      <c r="E2869" s="2">
        <f>COUNTIF(contact[[#This Row],[Bagossy]:[Szo
03:00 - 10:00]],"=x")</f>
        <v>0</v>
      </c>
      <c r="F2869" s="2">
        <f>SUM(contact[[#This Row],[?]:[x]])</f>
        <v>0</v>
      </c>
      <c r="G28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69" s="3" t="s">
        <v>4166</v>
      </c>
      <c r="K2869" s="1" t="s">
        <v>1127</v>
      </c>
      <c r="L2869" s="1" t="s">
        <v>2</v>
      </c>
      <c r="M2869" s="1" t="s">
        <v>2</v>
      </c>
      <c r="O2869" s="2"/>
      <c r="P2869" s="2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</row>
    <row r="2870" spans="1:32" s="1" customFormat="1" ht="20.25" customHeight="1" x14ac:dyDescent="0.25">
      <c r="A2870" s="2"/>
      <c r="B2870" s="2"/>
      <c r="C2870" s="2"/>
      <c r="D2870" s="2">
        <f>COUNTIF(contact[[#This Row],[Bagossy]:[Szo
03:00 - 10:00]],"=~?")</f>
        <v>0</v>
      </c>
      <c r="E2870" s="2">
        <f>COUNTIF(contact[[#This Row],[Bagossy]:[Szo
03:00 - 10:00]],"=x")</f>
        <v>0</v>
      </c>
      <c r="F2870" s="2">
        <f>SUM(contact[[#This Row],[?]:[x]])</f>
        <v>0</v>
      </c>
      <c r="G28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0" s="3" t="s">
        <v>2713</v>
      </c>
      <c r="K2870" s="1" t="s">
        <v>456</v>
      </c>
      <c r="L2870" s="1" t="s">
        <v>2</v>
      </c>
      <c r="M2870" s="1" t="s">
        <v>2</v>
      </c>
      <c r="O2870" s="2"/>
      <c r="P2870" s="2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</row>
    <row r="2871" spans="1:32" s="1" customFormat="1" ht="20.25" customHeight="1" x14ac:dyDescent="0.25">
      <c r="A2871" s="2"/>
      <c r="B2871" s="2"/>
      <c r="C2871" s="2"/>
      <c r="D2871" s="2">
        <f>COUNTIF(contact[[#This Row],[Bagossy]:[Szo
03:00 - 10:00]],"=~?")</f>
        <v>0</v>
      </c>
      <c r="E2871" s="2">
        <f>COUNTIF(contact[[#This Row],[Bagossy]:[Szo
03:00 - 10:00]],"=x")</f>
        <v>0</v>
      </c>
      <c r="F2871" s="2">
        <f>SUM(contact[[#This Row],[?]:[x]])</f>
        <v>0</v>
      </c>
      <c r="G28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1" s="3" t="s">
        <v>2630</v>
      </c>
      <c r="K2871" s="1" t="s">
        <v>1461</v>
      </c>
      <c r="L2871" s="1" t="s">
        <v>2</v>
      </c>
      <c r="M2871" s="1" t="s">
        <v>2</v>
      </c>
      <c r="O2871" s="2"/>
      <c r="P2871" s="2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</row>
    <row r="2872" spans="1:32" s="1" customFormat="1" ht="20.25" customHeight="1" x14ac:dyDescent="0.25">
      <c r="A2872" s="2"/>
      <c r="B2872" s="2"/>
      <c r="C2872" s="2"/>
      <c r="D2872" s="2">
        <f>COUNTIF(contact[[#This Row],[Bagossy]:[Szo
03:00 - 10:00]],"=~?")</f>
        <v>0</v>
      </c>
      <c r="E2872" s="2">
        <f>COUNTIF(contact[[#This Row],[Bagossy]:[Szo
03:00 - 10:00]],"=x")</f>
        <v>0</v>
      </c>
      <c r="F2872" s="2">
        <f>SUM(contact[[#This Row],[?]:[x]])</f>
        <v>0</v>
      </c>
      <c r="G28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2" s="3" t="s">
        <v>1189</v>
      </c>
      <c r="K2872" s="1" t="s">
        <v>2</v>
      </c>
      <c r="L2872" s="1" t="s">
        <v>2</v>
      </c>
      <c r="M2872" s="1" t="s">
        <v>2</v>
      </c>
      <c r="O2872" s="2"/>
      <c r="P2872" s="2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</row>
    <row r="2873" spans="1:32" s="1" customFormat="1" ht="20.25" customHeight="1" x14ac:dyDescent="0.25">
      <c r="A2873" s="2"/>
      <c r="B2873" s="2"/>
      <c r="C2873" s="2"/>
      <c r="D2873" s="2">
        <f>COUNTIF(contact[[#This Row],[Bagossy]:[Szo
03:00 - 10:00]],"=~?")</f>
        <v>0</v>
      </c>
      <c r="E2873" s="2">
        <f>COUNTIF(contact[[#This Row],[Bagossy]:[Szo
03:00 - 10:00]],"=x")</f>
        <v>0</v>
      </c>
      <c r="F2873" s="2">
        <f>SUM(contact[[#This Row],[?]:[x]])</f>
        <v>0</v>
      </c>
      <c r="G28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73" s="2"/>
      <c r="I2873" s="2"/>
      <c r="J2873" s="3" t="s">
        <v>4452</v>
      </c>
      <c r="K2873" s="1" t="s">
        <v>6</v>
      </c>
      <c r="L2873" s="1" t="s">
        <v>2</v>
      </c>
      <c r="M2873" s="1" t="s">
        <v>2</v>
      </c>
      <c r="O2873" s="2"/>
      <c r="P2873" s="2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</row>
    <row r="2874" spans="1:32" s="1" customFormat="1" ht="20.25" customHeight="1" x14ac:dyDescent="0.25">
      <c r="A2874" s="2"/>
      <c r="B2874" s="2"/>
      <c r="C2874" s="2"/>
      <c r="D2874" s="2">
        <f>COUNTIF(contact[[#This Row],[Bagossy]:[Szo
03:00 - 10:00]],"=~?")</f>
        <v>0</v>
      </c>
      <c r="E2874" s="2">
        <f>COUNTIF(contact[[#This Row],[Bagossy]:[Szo
03:00 - 10:00]],"=x")</f>
        <v>0</v>
      </c>
      <c r="F2874" s="2">
        <f>SUM(contact[[#This Row],[?]:[x]])</f>
        <v>0</v>
      </c>
      <c r="G28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4" s="3" t="s">
        <v>2510</v>
      </c>
      <c r="K2874" s="1" t="s">
        <v>347</v>
      </c>
      <c r="L2874" s="1" t="s">
        <v>2</v>
      </c>
      <c r="M2874" s="1" t="s">
        <v>2</v>
      </c>
      <c r="O2874" s="2"/>
      <c r="P2874" s="2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</row>
    <row r="2875" spans="1:32" s="1" customFormat="1" ht="20.25" customHeight="1" x14ac:dyDescent="0.25">
      <c r="A2875" s="2"/>
      <c r="B2875" s="2"/>
      <c r="C2875" s="2"/>
      <c r="D2875" s="2">
        <f>COUNTIF(contact[[#This Row],[Bagossy]:[Szo
03:00 - 10:00]],"=~?")</f>
        <v>0</v>
      </c>
      <c r="E2875" s="2">
        <f>COUNTIF(contact[[#This Row],[Bagossy]:[Szo
03:00 - 10:00]],"=x")</f>
        <v>0</v>
      </c>
      <c r="F2875" s="2">
        <f>SUM(contact[[#This Row],[?]:[x]])</f>
        <v>0</v>
      </c>
      <c r="G28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5" s="3" t="s">
        <v>3972</v>
      </c>
      <c r="K2875" s="1" t="s">
        <v>1043</v>
      </c>
      <c r="L2875" s="1" t="s">
        <v>2</v>
      </c>
      <c r="M2875" s="1" t="s">
        <v>2</v>
      </c>
      <c r="O2875" s="2"/>
      <c r="P2875" s="2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</row>
    <row r="2876" spans="1:32" s="1" customFormat="1" ht="20.25" customHeight="1" x14ac:dyDescent="0.25">
      <c r="A2876" s="2"/>
      <c r="B2876" s="2"/>
      <c r="C2876" s="2"/>
      <c r="D2876" s="2">
        <f>COUNTIF(contact[[#This Row],[Bagossy]:[Szo
03:00 - 10:00]],"=~?")</f>
        <v>0</v>
      </c>
      <c r="E2876" s="2">
        <f>COUNTIF(contact[[#This Row],[Bagossy]:[Szo
03:00 - 10:00]],"=x")</f>
        <v>0</v>
      </c>
      <c r="F2876" s="2">
        <f>SUM(contact[[#This Row],[?]:[x]])</f>
        <v>0</v>
      </c>
      <c r="G28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6" s="3" t="s">
        <v>2787</v>
      </c>
      <c r="K2876" s="1" t="s">
        <v>493</v>
      </c>
      <c r="L2876" s="1" t="s">
        <v>2</v>
      </c>
      <c r="M2876" s="1" t="s">
        <v>2</v>
      </c>
      <c r="O2876" s="2"/>
      <c r="P2876" s="2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</row>
    <row r="2877" spans="1:32" s="1" customFormat="1" ht="20.25" customHeight="1" x14ac:dyDescent="0.25">
      <c r="A2877" s="2"/>
      <c r="B2877" s="2"/>
      <c r="C2877" s="2"/>
      <c r="D2877" s="2">
        <f>COUNTIF(contact[[#This Row],[Bagossy]:[Szo
03:00 - 10:00]],"=~?")</f>
        <v>0</v>
      </c>
      <c r="E2877" s="2">
        <f>COUNTIF(contact[[#This Row],[Bagossy]:[Szo
03:00 - 10:00]],"=x")</f>
        <v>0</v>
      </c>
      <c r="F2877" s="2">
        <f>SUM(contact[[#This Row],[?]:[x]])</f>
        <v>0</v>
      </c>
      <c r="G28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7" s="3" t="s">
        <v>3317</v>
      </c>
      <c r="K2877" s="1" t="s">
        <v>744</v>
      </c>
      <c r="L2877" s="1" t="s">
        <v>2</v>
      </c>
      <c r="M2877" s="1" t="s">
        <v>2</v>
      </c>
      <c r="O2877" s="2"/>
      <c r="P2877" s="2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</row>
    <row r="2878" spans="1:32" s="1" customFormat="1" ht="20.25" customHeight="1" x14ac:dyDescent="0.25">
      <c r="A2878" s="2"/>
      <c r="B2878" s="2"/>
      <c r="C2878" s="2"/>
      <c r="D2878" s="2">
        <f>COUNTIF(contact[[#This Row],[Bagossy]:[Szo
03:00 - 10:00]],"=~?")</f>
        <v>0</v>
      </c>
      <c r="E2878" s="2">
        <f>COUNTIF(contact[[#This Row],[Bagossy]:[Szo
03:00 - 10:00]],"=x")</f>
        <v>0</v>
      </c>
      <c r="F2878" s="2">
        <f>SUM(contact[[#This Row],[?]:[x]])</f>
        <v>0</v>
      </c>
      <c r="G28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78" s="3" t="s">
        <v>4254</v>
      </c>
      <c r="K2878" s="1" t="s">
        <v>1158</v>
      </c>
      <c r="L2878" s="1" t="s">
        <v>2</v>
      </c>
      <c r="M2878" s="1" t="s">
        <v>2</v>
      </c>
      <c r="O2878" s="2"/>
      <c r="P2878" s="2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</row>
    <row r="2879" spans="1:32" s="1" customFormat="1" ht="20.25" customHeight="1" x14ac:dyDescent="0.25">
      <c r="A2879" s="2"/>
      <c r="B2879" s="2"/>
      <c r="C2879" s="2"/>
      <c r="D2879" s="2">
        <f>COUNTIF(contact[[#This Row],[Bagossy]:[Szo
03:00 - 10:00]],"=~?")</f>
        <v>0</v>
      </c>
      <c r="E2879" s="2">
        <f>COUNTIF(contact[[#This Row],[Bagossy]:[Szo
03:00 - 10:00]],"=x")</f>
        <v>0</v>
      </c>
      <c r="F2879" s="2">
        <f>SUM(contact[[#This Row],[?]:[x]])</f>
        <v>0</v>
      </c>
      <c r="G28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79" s="2"/>
      <c r="I2879" s="2"/>
      <c r="J2879" s="3" t="s">
        <v>4456</v>
      </c>
      <c r="K2879" s="1" t="s">
        <v>1863</v>
      </c>
      <c r="L2879" s="1" t="s">
        <v>2</v>
      </c>
      <c r="M2879" s="1" t="s">
        <v>2</v>
      </c>
      <c r="O2879" s="2"/>
      <c r="P2879" s="2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</row>
    <row r="2880" spans="1:32" s="1" customFormat="1" ht="20.25" customHeight="1" x14ac:dyDescent="0.25">
      <c r="A2880" s="2"/>
      <c r="B2880" s="2"/>
      <c r="C2880" s="2"/>
      <c r="D2880" s="2">
        <f>COUNTIF(contact[[#This Row],[Bagossy]:[Szo
03:00 - 10:00]],"=~?")</f>
        <v>0</v>
      </c>
      <c r="E2880" s="2">
        <f>COUNTIF(contact[[#This Row],[Bagossy]:[Szo
03:00 - 10:00]],"=x")</f>
        <v>0</v>
      </c>
      <c r="F2880" s="2">
        <f>SUM(contact[[#This Row],[?]:[x]])</f>
        <v>0</v>
      </c>
      <c r="G28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0" s="3" t="s">
        <v>4263</v>
      </c>
      <c r="K2880" s="1" t="s">
        <v>2</v>
      </c>
      <c r="L2880" s="1" t="s">
        <v>2</v>
      </c>
      <c r="M2880" s="1" t="s">
        <v>2</v>
      </c>
      <c r="O2880" s="2"/>
      <c r="P2880" s="2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</row>
    <row r="2881" spans="1:32" s="1" customFormat="1" ht="20.25" customHeight="1" x14ac:dyDescent="0.25">
      <c r="A2881" s="2"/>
      <c r="B2881" s="2"/>
      <c r="C2881" s="2"/>
      <c r="D2881" s="2">
        <f>COUNTIF(contact[[#This Row],[Bagossy]:[Szo
03:00 - 10:00]],"=~?")</f>
        <v>0</v>
      </c>
      <c r="E2881" s="2">
        <f>COUNTIF(contact[[#This Row],[Bagossy]:[Szo
03:00 - 10:00]],"=x")</f>
        <v>0</v>
      </c>
      <c r="F2881" s="2">
        <f>SUM(contact[[#This Row],[?]:[x]])</f>
        <v>0</v>
      </c>
      <c r="G28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1" s="3" t="s">
        <v>4313</v>
      </c>
      <c r="K2881" s="1" t="s">
        <v>2</v>
      </c>
      <c r="L2881" s="1" t="s">
        <v>2</v>
      </c>
      <c r="M2881" s="1" t="s">
        <v>2</v>
      </c>
      <c r="O2881" s="2"/>
      <c r="P2881" s="2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</row>
    <row r="2882" spans="1:32" s="1" customFormat="1" ht="20.25" customHeight="1" x14ac:dyDescent="0.25">
      <c r="A2882" s="2"/>
      <c r="B2882" s="2"/>
      <c r="C2882" s="2"/>
      <c r="D2882" s="2">
        <f>COUNTIF(contact[[#This Row],[Bagossy]:[Szo
03:00 - 10:00]],"=~?")</f>
        <v>0</v>
      </c>
      <c r="E2882" s="2">
        <f>COUNTIF(contact[[#This Row],[Bagossy]:[Szo
03:00 - 10:00]],"=x")</f>
        <v>0</v>
      </c>
      <c r="F2882" s="2">
        <f>SUM(contact[[#This Row],[?]:[x]])</f>
        <v>0</v>
      </c>
      <c r="G28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2" s="3" t="s">
        <v>3684</v>
      </c>
      <c r="K2882" s="1" t="s">
        <v>2</v>
      </c>
      <c r="L2882" s="1" t="s">
        <v>2</v>
      </c>
      <c r="M2882" s="1" t="s">
        <v>2</v>
      </c>
      <c r="O2882" s="2"/>
      <c r="P2882" s="2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</row>
    <row r="2883" spans="1:32" s="1" customFormat="1" ht="20.25" customHeight="1" x14ac:dyDescent="0.25">
      <c r="A2883" s="2"/>
      <c r="B2883" s="2"/>
      <c r="C2883" s="2"/>
      <c r="D2883" s="2">
        <f>COUNTIF(contact[[#This Row],[Bagossy]:[Szo
03:00 - 10:00]],"=~?")</f>
        <v>0</v>
      </c>
      <c r="E2883" s="2">
        <f>COUNTIF(contact[[#This Row],[Bagossy]:[Szo
03:00 - 10:00]],"=x")</f>
        <v>0</v>
      </c>
      <c r="F2883" s="2">
        <f>SUM(contact[[#This Row],[?]:[x]])</f>
        <v>0</v>
      </c>
      <c r="G28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3" s="3" t="s">
        <v>1194</v>
      </c>
      <c r="K2883" s="1" t="s">
        <v>2</v>
      </c>
      <c r="L2883" s="1" t="s">
        <v>2</v>
      </c>
      <c r="M2883" s="1" t="s">
        <v>2</v>
      </c>
      <c r="O2883" s="2"/>
      <c r="P2883" s="2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</row>
    <row r="2884" spans="1:32" s="1" customFormat="1" ht="20.25" customHeight="1" x14ac:dyDescent="0.25">
      <c r="A2884" s="2"/>
      <c r="B2884" s="2"/>
      <c r="C2884" s="2"/>
      <c r="D2884" s="2">
        <f>COUNTIF(contact[[#This Row],[Bagossy]:[Szo
03:00 - 10:00]],"=~?")</f>
        <v>0</v>
      </c>
      <c r="E2884" s="2">
        <f>COUNTIF(contact[[#This Row],[Bagossy]:[Szo
03:00 - 10:00]],"=x")</f>
        <v>0</v>
      </c>
      <c r="F2884" s="2">
        <f>SUM(contact[[#This Row],[?]:[x]])</f>
        <v>0</v>
      </c>
      <c r="G28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4" s="3" t="s">
        <v>1195</v>
      </c>
      <c r="K2884" s="1" t="s">
        <v>2</v>
      </c>
      <c r="L2884" s="1" t="s">
        <v>2</v>
      </c>
      <c r="M2884" s="1" t="s">
        <v>2</v>
      </c>
      <c r="O2884" s="2"/>
      <c r="P2884" s="2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</row>
    <row r="2885" spans="1:32" s="1" customFormat="1" ht="20.25" customHeight="1" x14ac:dyDescent="0.25">
      <c r="A2885" s="2"/>
      <c r="B2885" s="2"/>
      <c r="C2885" s="2"/>
      <c r="D2885" s="2">
        <f>COUNTIF(contact[[#This Row],[Bagossy]:[Szo
03:00 - 10:00]],"=~?")</f>
        <v>0</v>
      </c>
      <c r="E2885" s="2">
        <f>COUNTIF(contact[[#This Row],[Bagossy]:[Szo
03:00 - 10:00]],"=x")</f>
        <v>0</v>
      </c>
      <c r="F2885" s="2">
        <f>SUM(contact[[#This Row],[?]:[x]])</f>
        <v>0</v>
      </c>
      <c r="G28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5" s="3" t="s">
        <v>1196</v>
      </c>
      <c r="K2885" s="1" t="s">
        <v>2</v>
      </c>
      <c r="L2885" s="1" t="s">
        <v>2</v>
      </c>
      <c r="M2885" s="1" t="s">
        <v>2</v>
      </c>
      <c r="O2885" s="2"/>
      <c r="P2885" s="2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</row>
    <row r="2886" spans="1:32" s="1" customFormat="1" ht="20.25" customHeight="1" x14ac:dyDescent="0.25">
      <c r="A2886" s="2"/>
      <c r="B2886" s="2"/>
      <c r="C2886" s="2"/>
      <c r="D2886" s="2">
        <f>COUNTIF(contact[[#This Row],[Bagossy]:[Szo
03:00 - 10:00]],"=~?")</f>
        <v>0</v>
      </c>
      <c r="E2886" s="2">
        <f>COUNTIF(contact[[#This Row],[Bagossy]:[Szo
03:00 - 10:00]],"=x")</f>
        <v>0</v>
      </c>
      <c r="F2886" s="2">
        <f>SUM(contact[[#This Row],[?]:[x]])</f>
        <v>0</v>
      </c>
      <c r="G28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6" s="3" t="s">
        <v>1197</v>
      </c>
      <c r="K2886" s="1" t="s">
        <v>2</v>
      </c>
      <c r="L2886" s="1" t="s">
        <v>2</v>
      </c>
      <c r="M2886" s="1" t="s">
        <v>2</v>
      </c>
      <c r="O2886" s="2"/>
      <c r="P2886" s="2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</row>
    <row r="2887" spans="1:32" s="1" customFormat="1" ht="20.25" customHeight="1" x14ac:dyDescent="0.25">
      <c r="A2887" s="2"/>
      <c r="B2887" s="2"/>
      <c r="C2887" s="2"/>
      <c r="D2887" s="2">
        <f>COUNTIF(contact[[#This Row],[Bagossy]:[Szo
03:00 - 10:00]],"=~?")</f>
        <v>0</v>
      </c>
      <c r="E2887" s="2">
        <f>COUNTIF(contact[[#This Row],[Bagossy]:[Szo
03:00 - 10:00]],"=x")</f>
        <v>0</v>
      </c>
      <c r="F2887" s="2">
        <f>SUM(contact[[#This Row],[?]:[x]])</f>
        <v>0</v>
      </c>
      <c r="G28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7" s="3" t="s">
        <v>1198</v>
      </c>
      <c r="K2887" s="1" t="s">
        <v>2</v>
      </c>
      <c r="L2887" s="1" t="s">
        <v>2</v>
      </c>
      <c r="M2887" s="1" t="s">
        <v>2</v>
      </c>
      <c r="O2887" s="2"/>
      <c r="P2887" s="2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</row>
    <row r="2888" spans="1:32" s="1" customFormat="1" ht="20.25" customHeight="1" x14ac:dyDescent="0.25">
      <c r="A2888" s="2"/>
      <c r="B2888" s="2"/>
      <c r="C2888" s="2"/>
      <c r="D2888" s="2">
        <f>COUNTIF(contact[[#This Row],[Bagossy]:[Szo
03:00 - 10:00]],"=~?")</f>
        <v>0</v>
      </c>
      <c r="E2888" s="2">
        <f>COUNTIF(contact[[#This Row],[Bagossy]:[Szo
03:00 - 10:00]],"=x")</f>
        <v>0</v>
      </c>
      <c r="F2888" s="2">
        <f>SUM(contact[[#This Row],[?]:[x]])</f>
        <v>0</v>
      </c>
      <c r="G28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8" s="3" t="s">
        <v>2550</v>
      </c>
      <c r="K2888" s="1" t="s">
        <v>2</v>
      </c>
      <c r="L2888" s="1" t="s">
        <v>2</v>
      </c>
      <c r="M2888" s="1" t="s">
        <v>2</v>
      </c>
      <c r="O2888" s="2"/>
      <c r="P2888" s="2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</row>
    <row r="2889" spans="1:32" s="1" customFormat="1" ht="20.25" customHeight="1" x14ac:dyDescent="0.25">
      <c r="A2889" s="2"/>
      <c r="B2889" s="2"/>
      <c r="C2889" s="2"/>
      <c r="D2889" s="2">
        <f>COUNTIF(contact[[#This Row],[Bagossy]:[Szo
03:00 - 10:00]],"=~?")</f>
        <v>0</v>
      </c>
      <c r="E2889" s="2">
        <f>COUNTIF(contact[[#This Row],[Bagossy]:[Szo
03:00 - 10:00]],"=x")</f>
        <v>0</v>
      </c>
      <c r="F2889" s="2">
        <f>SUM(contact[[#This Row],[?]:[x]])</f>
        <v>0</v>
      </c>
      <c r="G28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89" s="3" t="s">
        <v>3272</v>
      </c>
      <c r="K2889" s="1" t="s">
        <v>726</v>
      </c>
      <c r="L2889" s="1" t="s">
        <v>2</v>
      </c>
      <c r="M2889" s="1" t="s">
        <v>2</v>
      </c>
      <c r="O2889" s="2"/>
      <c r="P2889" s="2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</row>
    <row r="2890" spans="1:32" s="1" customFormat="1" ht="20.25" customHeight="1" x14ac:dyDescent="0.25">
      <c r="A2890" s="2"/>
      <c r="B2890" s="2"/>
      <c r="C2890" s="2"/>
      <c r="D2890" s="2">
        <f>COUNTIF(contact[[#This Row],[Bagossy]:[Szo
03:00 - 10:00]],"=~?")</f>
        <v>0</v>
      </c>
      <c r="E2890" s="2">
        <f>COUNTIF(contact[[#This Row],[Bagossy]:[Szo
03:00 - 10:00]],"=x")</f>
        <v>0</v>
      </c>
      <c r="F2890" s="2">
        <f>SUM(contact[[#This Row],[?]:[x]])</f>
        <v>0</v>
      </c>
      <c r="G28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0" s="3" t="s">
        <v>2470</v>
      </c>
      <c r="K2890" s="1" t="s">
        <v>1417</v>
      </c>
      <c r="L2890" s="1" t="s">
        <v>2</v>
      </c>
      <c r="M2890" s="1" t="s">
        <v>2</v>
      </c>
      <c r="O2890" s="2"/>
      <c r="P2890" s="2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</row>
    <row r="2891" spans="1:32" s="1" customFormat="1" ht="20.25" customHeight="1" x14ac:dyDescent="0.25">
      <c r="A2891" s="2"/>
      <c r="B2891" s="2"/>
      <c r="C2891" s="2"/>
      <c r="D2891" s="2">
        <f>COUNTIF(contact[[#This Row],[Bagossy]:[Szo
03:00 - 10:00]],"=~?")</f>
        <v>0</v>
      </c>
      <c r="E2891" s="2">
        <f>COUNTIF(contact[[#This Row],[Bagossy]:[Szo
03:00 - 10:00]],"=x")</f>
        <v>0</v>
      </c>
      <c r="F2891" s="2">
        <f>SUM(contact[[#This Row],[?]:[x]])</f>
        <v>0</v>
      </c>
      <c r="G28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891" s="2"/>
      <c r="I2891" s="2"/>
      <c r="J2891" s="3" t="s">
        <v>4461</v>
      </c>
      <c r="K2891" s="1" t="s">
        <v>1866</v>
      </c>
      <c r="L2891" s="1" t="s">
        <v>2</v>
      </c>
      <c r="M2891" s="1" t="s">
        <v>2</v>
      </c>
      <c r="O2891" s="2"/>
      <c r="P2891" s="2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</row>
    <row r="2892" spans="1:32" s="1" customFormat="1" ht="20.25" customHeight="1" x14ac:dyDescent="0.25">
      <c r="A2892" s="2"/>
      <c r="B2892" s="2"/>
      <c r="C2892" s="2"/>
      <c r="D2892" s="2">
        <f>COUNTIF(contact[[#This Row],[Bagossy]:[Szo
03:00 - 10:00]],"=~?")</f>
        <v>0</v>
      </c>
      <c r="E2892" s="2">
        <f>COUNTIF(contact[[#This Row],[Bagossy]:[Szo
03:00 - 10:00]],"=x")</f>
        <v>0</v>
      </c>
      <c r="F2892" s="2">
        <f>SUM(contact[[#This Row],[?]:[x]])</f>
        <v>0</v>
      </c>
      <c r="G28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2" s="3" t="s">
        <v>1964</v>
      </c>
      <c r="K2892" s="1" t="s">
        <v>40</v>
      </c>
      <c r="L2892" s="1" t="s">
        <v>2</v>
      </c>
      <c r="M2892" s="1" t="s">
        <v>2</v>
      </c>
      <c r="O2892" s="2"/>
      <c r="P2892" s="2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</row>
    <row r="2893" spans="1:32" s="1" customFormat="1" ht="20.25" customHeight="1" x14ac:dyDescent="0.25">
      <c r="A2893" s="2"/>
      <c r="B2893" s="2"/>
      <c r="C2893" s="2"/>
      <c r="D2893" s="2">
        <f>COUNTIF(contact[[#This Row],[Bagossy]:[Szo
03:00 - 10:00]],"=~?")</f>
        <v>0</v>
      </c>
      <c r="E2893" s="2">
        <f>COUNTIF(contact[[#This Row],[Bagossy]:[Szo
03:00 - 10:00]],"=x")</f>
        <v>0</v>
      </c>
      <c r="F2893" s="2">
        <f>SUM(contact[[#This Row],[?]:[x]])</f>
        <v>0</v>
      </c>
      <c r="G28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3" s="3" t="s">
        <v>2748</v>
      </c>
      <c r="K2893" s="1" t="s">
        <v>474</v>
      </c>
      <c r="L2893" s="1" t="s">
        <v>2</v>
      </c>
      <c r="M2893" s="1" t="s">
        <v>2</v>
      </c>
      <c r="O2893" s="2"/>
      <c r="P2893" s="2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</row>
    <row r="2894" spans="1:32" s="1" customFormat="1" ht="20.25" customHeight="1" x14ac:dyDescent="0.25">
      <c r="A2894" s="2"/>
      <c r="B2894" s="2"/>
      <c r="C2894" s="2"/>
      <c r="D2894" s="2">
        <f>COUNTIF(contact[[#This Row],[Bagossy]:[Szo
03:00 - 10:00]],"=~?")</f>
        <v>0</v>
      </c>
      <c r="E2894" s="2">
        <f>COUNTIF(contact[[#This Row],[Bagossy]:[Szo
03:00 - 10:00]],"=x")</f>
        <v>0</v>
      </c>
      <c r="F2894" s="2">
        <f>SUM(contact[[#This Row],[?]:[x]])</f>
        <v>0</v>
      </c>
      <c r="G28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4" s="3" t="s">
        <v>3497</v>
      </c>
      <c r="K2894" s="1" t="s">
        <v>815</v>
      </c>
      <c r="L2894" s="1" t="s">
        <v>2</v>
      </c>
      <c r="M2894" s="1" t="s">
        <v>2</v>
      </c>
      <c r="O2894" s="2"/>
      <c r="P2894" s="2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</row>
    <row r="2895" spans="1:32" s="1" customFormat="1" ht="20.25" customHeight="1" x14ac:dyDescent="0.25">
      <c r="A2895" s="2"/>
      <c r="B2895" s="2"/>
      <c r="C2895" s="2"/>
      <c r="D2895" s="2">
        <f>COUNTIF(contact[[#This Row],[Bagossy]:[Szo
03:00 - 10:00]],"=~?")</f>
        <v>0</v>
      </c>
      <c r="E2895" s="2">
        <f>COUNTIF(contact[[#This Row],[Bagossy]:[Szo
03:00 - 10:00]],"=x")</f>
        <v>0</v>
      </c>
      <c r="F2895" s="2">
        <f>SUM(contact[[#This Row],[?]:[x]])</f>
        <v>0</v>
      </c>
      <c r="G28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5" s="3" t="s">
        <v>4438</v>
      </c>
      <c r="K2895" s="1" t="s">
        <v>2</v>
      </c>
      <c r="L2895" s="1" t="s">
        <v>2</v>
      </c>
      <c r="M2895" s="1" t="s">
        <v>2</v>
      </c>
      <c r="O2895" s="2"/>
      <c r="P2895" s="2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</row>
    <row r="2896" spans="1:32" s="1" customFormat="1" ht="20.25" customHeight="1" x14ac:dyDescent="0.25">
      <c r="A2896" s="2"/>
      <c r="B2896" s="2"/>
      <c r="C2896" s="2"/>
      <c r="D2896" s="2">
        <f>COUNTIF(contact[[#This Row],[Bagossy]:[Szo
03:00 - 10:00]],"=~?")</f>
        <v>0</v>
      </c>
      <c r="E2896" s="2">
        <f>COUNTIF(contact[[#This Row],[Bagossy]:[Szo
03:00 - 10:00]],"=x")</f>
        <v>0</v>
      </c>
      <c r="F2896" s="2">
        <f>SUM(contact[[#This Row],[?]:[x]])</f>
        <v>0</v>
      </c>
      <c r="G28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6" s="3" t="s">
        <v>2718</v>
      </c>
      <c r="K2896" s="1" t="s">
        <v>2</v>
      </c>
      <c r="L2896" s="1" t="s">
        <v>2</v>
      </c>
      <c r="M2896" s="1" t="s">
        <v>2</v>
      </c>
      <c r="O2896" s="2"/>
      <c r="P2896" s="2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</row>
    <row r="2897" spans="1:32" s="1" customFormat="1" ht="20.25" customHeight="1" x14ac:dyDescent="0.25">
      <c r="A2897" s="2"/>
      <c r="B2897" s="2"/>
      <c r="C2897" s="2"/>
      <c r="D2897" s="2">
        <f>COUNTIF(contact[[#This Row],[Bagossy]:[Szo
03:00 - 10:00]],"=~?")</f>
        <v>0</v>
      </c>
      <c r="E2897" s="2">
        <f>COUNTIF(contact[[#This Row],[Bagossy]:[Szo
03:00 - 10:00]],"=x")</f>
        <v>0</v>
      </c>
      <c r="F2897" s="2">
        <f>SUM(contact[[#This Row],[?]:[x]])</f>
        <v>0</v>
      </c>
      <c r="G28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7" s="3" t="s">
        <v>4581</v>
      </c>
      <c r="K2897" s="1" t="s">
        <v>2</v>
      </c>
      <c r="L2897" s="1" t="s">
        <v>2</v>
      </c>
      <c r="M2897" s="1" t="s">
        <v>2</v>
      </c>
      <c r="O2897" s="2"/>
      <c r="P2897" s="2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</row>
    <row r="2898" spans="1:32" s="1" customFormat="1" ht="20.25" customHeight="1" x14ac:dyDescent="0.25">
      <c r="A2898" s="2"/>
      <c r="B2898" s="2"/>
      <c r="C2898" s="2"/>
      <c r="D2898" s="2">
        <f>COUNTIF(contact[[#This Row],[Bagossy]:[Szo
03:00 - 10:00]],"=~?")</f>
        <v>0</v>
      </c>
      <c r="E2898" s="2">
        <f>COUNTIF(contact[[#This Row],[Bagossy]:[Szo
03:00 - 10:00]],"=x")</f>
        <v>0</v>
      </c>
      <c r="F2898" s="2">
        <f>SUM(contact[[#This Row],[?]:[x]])</f>
        <v>0</v>
      </c>
      <c r="G28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8" s="3" t="s">
        <v>2572</v>
      </c>
      <c r="K2898" s="1" t="s">
        <v>386</v>
      </c>
      <c r="L2898" s="1" t="s">
        <v>2</v>
      </c>
      <c r="M2898" s="1" t="s">
        <v>2</v>
      </c>
      <c r="O2898" s="2"/>
      <c r="P2898" s="2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</row>
    <row r="2899" spans="1:32" s="1" customFormat="1" ht="20.25" customHeight="1" x14ac:dyDescent="0.25">
      <c r="A2899" s="2"/>
      <c r="B2899" s="2"/>
      <c r="C2899" s="2"/>
      <c r="D2899" s="2">
        <f>COUNTIF(contact[[#This Row],[Bagossy]:[Szo
03:00 - 10:00]],"=~?")</f>
        <v>0</v>
      </c>
      <c r="E2899" s="2">
        <f>COUNTIF(contact[[#This Row],[Bagossy]:[Szo
03:00 - 10:00]],"=x")</f>
        <v>0</v>
      </c>
      <c r="F2899" s="2">
        <f>SUM(contact[[#This Row],[?]:[x]])</f>
        <v>0</v>
      </c>
      <c r="G28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899" s="3" t="s">
        <v>3559</v>
      </c>
      <c r="K2899" s="1" t="s">
        <v>845</v>
      </c>
      <c r="L2899" s="1" t="s">
        <v>2</v>
      </c>
      <c r="M2899" s="1" t="s">
        <v>2</v>
      </c>
      <c r="O2899" s="2"/>
      <c r="P2899" s="2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</row>
    <row r="2900" spans="1:32" s="1" customFormat="1" ht="20.25" customHeight="1" x14ac:dyDescent="0.25">
      <c r="A2900" s="2"/>
      <c r="B2900" s="2"/>
      <c r="C2900" s="2"/>
      <c r="D2900" s="2">
        <f>COUNTIF(contact[[#This Row],[Bagossy]:[Szo
03:00 - 10:00]],"=~?")</f>
        <v>0</v>
      </c>
      <c r="E2900" s="2">
        <f>COUNTIF(contact[[#This Row],[Bagossy]:[Szo
03:00 - 10:00]],"=x")</f>
        <v>0</v>
      </c>
      <c r="F2900" s="2">
        <f>SUM(contact[[#This Row],[?]:[x]])</f>
        <v>0</v>
      </c>
      <c r="G29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0" s="3" t="s">
        <v>2389</v>
      </c>
      <c r="K2900" s="1" t="s">
        <v>2</v>
      </c>
      <c r="L2900" s="1" t="s">
        <v>2</v>
      </c>
      <c r="M2900" s="1" t="s">
        <v>2</v>
      </c>
      <c r="O2900" s="2"/>
      <c r="P2900" s="2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</row>
    <row r="2901" spans="1:32" s="1" customFormat="1" ht="20.25" customHeight="1" x14ac:dyDescent="0.25">
      <c r="A2901" s="2"/>
      <c r="B2901" s="2"/>
      <c r="C2901" s="2"/>
      <c r="D2901" s="2">
        <f>COUNTIF(contact[[#This Row],[Bagossy]:[Szo
03:00 - 10:00]],"=~?")</f>
        <v>0</v>
      </c>
      <c r="E2901" s="2">
        <f>COUNTIF(contact[[#This Row],[Bagossy]:[Szo
03:00 - 10:00]],"=x")</f>
        <v>0</v>
      </c>
      <c r="F2901" s="2">
        <f>SUM(contact[[#This Row],[?]:[x]])</f>
        <v>0</v>
      </c>
      <c r="G29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1" s="3" t="s">
        <v>1199</v>
      </c>
      <c r="K2901" s="1" t="s">
        <v>2</v>
      </c>
      <c r="L2901" s="1" t="s">
        <v>2</v>
      </c>
      <c r="M2901" s="1" t="s">
        <v>2</v>
      </c>
      <c r="O2901" s="2"/>
      <c r="P2901" s="2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</row>
    <row r="2902" spans="1:32" s="1" customFormat="1" ht="20.25" customHeight="1" x14ac:dyDescent="0.25">
      <c r="A2902" s="2"/>
      <c r="B2902" s="2"/>
      <c r="C2902" s="2"/>
      <c r="D2902" s="2">
        <f>COUNTIF(contact[[#This Row],[Bagossy]:[Szo
03:00 - 10:00]],"=~?")</f>
        <v>0</v>
      </c>
      <c r="E2902" s="2">
        <f>COUNTIF(contact[[#This Row],[Bagossy]:[Szo
03:00 - 10:00]],"=x")</f>
        <v>0</v>
      </c>
      <c r="F2902" s="2">
        <f>SUM(contact[[#This Row],[?]:[x]])</f>
        <v>0</v>
      </c>
      <c r="G29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2" s="3" t="s">
        <v>3564</v>
      </c>
      <c r="K2902" s="1" t="s">
        <v>850</v>
      </c>
      <c r="L2902" s="1" t="s">
        <v>2</v>
      </c>
      <c r="M2902" s="1" t="s">
        <v>2</v>
      </c>
      <c r="O2902" s="2"/>
      <c r="P2902" s="2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</row>
    <row r="2903" spans="1:32" s="1" customFormat="1" ht="20.25" customHeight="1" x14ac:dyDescent="0.25">
      <c r="A2903" s="2"/>
      <c r="B2903" s="2"/>
      <c r="C2903" s="2"/>
      <c r="D2903" s="2">
        <f>COUNTIF(contact[[#This Row],[Bagossy]:[Szo
03:00 - 10:00]],"=~?")</f>
        <v>0</v>
      </c>
      <c r="E2903" s="2">
        <f>COUNTIF(contact[[#This Row],[Bagossy]:[Szo
03:00 - 10:00]],"=x")</f>
        <v>0</v>
      </c>
      <c r="F2903" s="2">
        <f>SUM(contact[[#This Row],[?]:[x]])</f>
        <v>0</v>
      </c>
      <c r="G29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3" s="3" t="s">
        <v>2361</v>
      </c>
      <c r="K2903" s="1" t="s">
        <v>261</v>
      </c>
      <c r="L2903" s="1" t="s">
        <v>2</v>
      </c>
      <c r="M2903" s="1" t="s">
        <v>2</v>
      </c>
      <c r="O2903" s="2"/>
      <c r="P2903" s="2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</row>
    <row r="2904" spans="1:32" s="1" customFormat="1" ht="20.25" customHeight="1" x14ac:dyDescent="0.25">
      <c r="A2904" s="2"/>
      <c r="B2904" s="2"/>
      <c r="C2904" s="2"/>
      <c r="D2904" s="2">
        <f>COUNTIF(contact[[#This Row],[Bagossy]:[Szo
03:00 - 10:00]],"=~?")</f>
        <v>0</v>
      </c>
      <c r="E2904" s="2">
        <f>COUNTIF(contact[[#This Row],[Bagossy]:[Szo
03:00 - 10:00]],"=x")</f>
        <v>0</v>
      </c>
      <c r="F2904" s="2">
        <f>SUM(contact[[#This Row],[?]:[x]])</f>
        <v>0</v>
      </c>
      <c r="G29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4" s="3" t="s">
        <v>3234</v>
      </c>
      <c r="K2904" s="1" t="s">
        <v>2</v>
      </c>
      <c r="L2904" s="1" t="s">
        <v>2</v>
      </c>
      <c r="M2904" s="1" t="s">
        <v>2</v>
      </c>
      <c r="O2904" s="2"/>
      <c r="P2904" s="2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</row>
    <row r="2905" spans="1:32" s="1" customFormat="1" ht="20.25" customHeight="1" x14ac:dyDescent="0.25">
      <c r="A2905" s="2"/>
      <c r="B2905" s="2"/>
      <c r="C2905" s="2"/>
      <c r="D2905" s="2">
        <f>COUNTIF(contact[[#This Row],[Bagossy]:[Szo
03:00 - 10:00]],"=~?")</f>
        <v>0</v>
      </c>
      <c r="E2905" s="2">
        <f>COUNTIF(contact[[#This Row],[Bagossy]:[Szo
03:00 - 10:00]],"=x")</f>
        <v>0</v>
      </c>
      <c r="F2905" s="2">
        <f>SUM(contact[[#This Row],[?]:[x]])</f>
        <v>0</v>
      </c>
      <c r="G29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5" s="3" t="s">
        <v>2757</v>
      </c>
      <c r="K2905" s="1" t="s">
        <v>1293</v>
      </c>
      <c r="L2905" s="1" t="s">
        <v>2</v>
      </c>
      <c r="M2905" s="1" t="s">
        <v>2</v>
      </c>
      <c r="O2905" s="2"/>
      <c r="P2905" s="2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</row>
    <row r="2906" spans="1:32" s="1" customFormat="1" ht="20.25" customHeight="1" x14ac:dyDescent="0.25">
      <c r="A2906" s="2"/>
      <c r="B2906" s="2"/>
      <c r="C2906" s="2"/>
      <c r="D2906" s="2">
        <f>COUNTIF(contact[[#This Row],[Bagossy]:[Szo
03:00 - 10:00]],"=~?")</f>
        <v>0</v>
      </c>
      <c r="E2906" s="2">
        <f>COUNTIF(contact[[#This Row],[Bagossy]:[Szo
03:00 - 10:00]],"=x")</f>
        <v>0</v>
      </c>
      <c r="F2906" s="2">
        <f>SUM(contact[[#This Row],[?]:[x]])</f>
        <v>0</v>
      </c>
      <c r="G290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6" s="3" t="s">
        <v>4058</v>
      </c>
      <c r="K2906" s="1" t="s">
        <v>1083</v>
      </c>
      <c r="L2906" s="1" t="s">
        <v>2</v>
      </c>
      <c r="M2906" s="1" t="s">
        <v>2</v>
      </c>
      <c r="O2906" s="2"/>
      <c r="P2906" s="2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</row>
    <row r="2907" spans="1:32" s="1" customFormat="1" ht="20.25" customHeight="1" x14ac:dyDescent="0.25">
      <c r="A2907" s="2"/>
      <c r="B2907" s="2"/>
      <c r="C2907" s="2" t="s">
        <v>1285</v>
      </c>
      <c r="D2907" s="2">
        <f>COUNTIF(contact[[#This Row],[Bagossy]:[Szo
03:00 - 10:00]],"=~?")</f>
        <v>0</v>
      </c>
      <c r="E2907" s="2">
        <f>COUNTIF(contact[[#This Row],[Bagossy]:[Szo
03:00 - 10:00]],"=x")</f>
        <v>0</v>
      </c>
      <c r="F2907" s="2">
        <f>SUM(contact[[#This Row],[?]:[x]])</f>
        <v>0</v>
      </c>
      <c r="G29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07" s="2"/>
      <c r="I2907" s="2"/>
      <c r="J2907" s="3" t="s">
        <v>4465</v>
      </c>
      <c r="K2907" s="1" t="s">
        <v>254</v>
      </c>
      <c r="L2907" s="1" t="s">
        <v>2</v>
      </c>
      <c r="M2907" s="1" t="s">
        <v>2</v>
      </c>
      <c r="O2907" s="2"/>
      <c r="P2907" s="2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</row>
    <row r="2908" spans="1:32" s="1" customFormat="1" ht="20.25" customHeight="1" x14ac:dyDescent="0.25">
      <c r="A2908" s="2"/>
      <c r="B2908" s="2" t="s">
        <v>1285</v>
      </c>
      <c r="C2908" s="2" t="s">
        <v>1285</v>
      </c>
      <c r="D2908" s="2">
        <f>COUNTIF(contact[[#This Row],[Bagossy]:[Szo
03:00 - 10:00]],"=~?")</f>
        <v>0</v>
      </c>
      <c r="E2908" s="2">
        <f>COUNTIF(contact[[#This Row],[Bagossy]:[Szo
03:00 - 10:00]],"=x")</f>
        <v>0</v>
      </c>
      <c r="F2908" s="2">
        <f>SUM(contact[[#This Row],[?]:[x]])</f>
        <v>0</v>
      </c>
      <c r="G29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08" s="2"/>
      <c r="I2908" s="2"/>
      <c r="J2908" s="3" t="s">
        <v>4466</v>
      </c>
      <c r="K2908" s="1" t="s">
        <v>179</v>
      </c>
      <c r="L2908" s="1" t="s">
        <v>2</v>
      </c>
      <c r="M2908" s="1" t="s">
        <v>2</v>
      </c>
      <c r="O2908" s="2"/>
      <c r="P2908" s="2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</row>
    <row r="2909" spans="1:32" s="1" customFormat="1" ht="20.25" customHeight="1" x14ac:dyDescent="0.25">
      <c r="A2909" s="2"/>
      <c r="B2909" s="2"/>
      <c r="C2909" s="2"/>
      <c r="D2909" s="2">
        <f>COUNTIF(contact[[#This Row],[Bagossy]:[Szo
03:00 - 10:00]],"=~?")</f>
        <v>0</v>
      </c>
      <c r="E2909" s="2">
        <f>COUNTIF(contact[[#This Row],[Bagossy]:[Szo
03:00 - 10:00]],"=x")</f>
        <v>0</v>
      </c>
      <c r="F2909" s="2">
        <f>SUM(contact[[#This Row],[?]:[x]])</f>
        <v>0</v>
      </c>
      <c r="G29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09" s="3" t="s">
        <v>2949</v>
      </c>
      <c r="K2909" s="1" t="s">
        <v>572</v>
      </c>
      <c r="L2909" s="1" t="s">
        <v>2</v>
      </c>
      <c r="M2909" s="1" t="s">
        <v>2</v>
      </c>
      <c r="O2909" s="2"/>
      <c r="P2909" s="2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</row>
    <row r="2910" spans="1:32" s="1" customFormat="1" ht="20.25" customHeight="1" x14ac:dyDescent="0.25">
      <c r="A2910" s="2"/>
      <c r="B2910" s="2"/>
      <c r="C2910" s="2" t="s">
        <v>1285</v>
      </c>
      <c r="D2910" s="2">
        <f>COUNTIF(contact[[#This Row],[Bagossy]:[Szo
03:00 - 10:00]],"=~?")</f>
        <v>0</v>
      </c>
      <c r="E2910" s="2">
        <f>COUNTIF(contact[[#This Row],[Bagossy]:[Szo
03:00 - 10:00]],"=x")</f>
        <v>0</v>
      </c>
      <c r="F2910" s="2">
        <f>SUM(contact[[#This Row],[?]:[x]])</f>
        <v>0</v>
      </c>
      <c r="G29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10" s="2" t="s">
        <v>4616</v>
      </c>
      <c r="I2910" s="2"/>
      <c r="J2910" s="3" t="s">
        <v>4469</v>
      </c>
      <c r="K2910" s="1" t="s">
        <v>92</v>
      </c>
      <c r="L2910" s="1" t="s">
        <v>2</v>
      </c>
      <c r="M2910" s="1" t="s">
        <v>2</v>
      </c>
      <c r="O2910" s="2"/>
      <c r="P2910" s="2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</row>
    <row r="2911" spans="1:32" s="1" customFormat="1" ht="20.25" customHeight="1" x14ac:dyDescent="0.25">
      <c r="A2911" s="2"/>
      <c r="B2911" s="2"/>
      <c r="C2911" s="2"/>
      <c r="D2911" s="2">
        <f>COUNTIF(contact[[#This Row],[Bagossy]:[Szo
03:00 - 10:00]],"=~?")</f>
        <v>0</v>
      </c>
      <c r="E2911" s="2">
        <f>COUNTIF(contact[[#This Row],[Bagossy]:[Szo
03:00 - 10:00]],"=x")</f>
        <v>0</v>
      </c>
      <c r="F2911" s="2">
        <f>SUM(contact[[#This Row],[?]:[x]])</f>
        <v>0</v>
      </c>
      <c r="G29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11" s="2"/>
      <c r="I2911" s="2"/>
      <c r="J2911" s="3" t="s">
        <v>4470</v>
      </c>
      <c r="K2911" s="1" t="s">
        <v>24</v>
      </c>
      <c r="L2911" s="1" t="s">
        <v>2</v>
      </c>
      <c r="M2911" s="1" t="s">
        <v>2</v>
      </c>
      <c r="O2911" s="2"/>
      <c r="P2911" s="2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</row>
    <row r="2912" spans="1:32" s="1" customFormat="1" ht="20.25" customHeight="1" x14ac:dyDescent="0.25">
      <c r="A2912" s="2"/>
      <c r="B2912" s="2"/>
      <c r="C2912" s="2"/>
      <c r="D2912" s="2">
        <f>COUNTIF(contact[[#This Row],[Bagossy]:[Szo
03:00 - 10:00]],"=~?")</f>
        <v>0</v>
      </c>
      <c r="E2912" s="2">
        <f>COUNTIF(contact[[#This Row],[Bagossy]:[Szo
03:00 - 10:00]],"=x")</f>
        <v>0</v>
      </c>
      <c r="F2912" s="2">
        <f>SUM(contact[[#This Row],[?]:[x]])</f>
        <v>0</v>
      </c>
      <c r="G29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12" s="3" t="s">
        <v>1200</v>
      </c>
      <c r="K2912" s="1" t="s">
        <v>2</v>
      </c>
      <c r="L2912" s="1" t="s">
        <v>2</v>
      </c>
      <c r="M2912" s="1" t="s">
        <v>2</v>
      </c>
      <c r="O2912" s="2"/>
      <c r="P2912" s="2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</row>
    <row r="2913" spans="1:32" s="1" customFormat="1" ht="20.25" customHeight="1" x14ac:dyDescent="0.25">
      <c r="A2913" s="2"/>
      <c r="B2913" s="2"/>
      <c r="C2913" s="2"/>
      <c r="D2913" s="2">
        <f>COUNTIF(contact[[#This Row],[Bagossy]:[Szo
03:00 - 10:00]],"=~?")</f>
        <v>0</v>
      </c>
      <c r="E2913" s="2">
        <f>COUNTIF(contact[[#This Row],[Bagossy]:[Szo
03:00 - 10:00]],"=x")</f>
        <v>0</v>
      </c>
      <c r="F2913" s="2">
        <f>SUM(contact[[#This Row],[?]:[x]])</f>
        <v>0</v>
      </c>
      <c r="G29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13" s="2"/>
      <c r="I2913" s="2"/>
      <c r="J2913" s="3" t="s">
        <v>4473</v>
      </c>
      <c r="K2913" s="1" t="s">
        <v>1870</v>
      </c>
      <c r="L2913" s="1" t="s">
        <v>2</v>
      </c>
      <c r="M2913" s="1" t="s">
        <v>2</v>
      </c>
      <c r="O2913" s="2"/>
      <c r="P2913" s="2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</row>
    <row r="2914" spans="1:32" s="1" customFormat="1" ht="20.25" customHeight="1" x14ac:dyDescent="0.25">
      <c r="A2914" s="2"/>
      <c r="B2914" s="2"/>
      <c r="C2914" s="2"/>
      <c r="D2914" s="2">
        <f>COUNTIF(contact[[#This Row],[Bagossy]:[Szo
03:00 - 10:00]],"=~?")</f>
        <v>0</v>
      </c>
      <c r="E2914" s="2">
        <f>COUNTIF(contact[[#This Row],[Bagossy]:[Szo
03:00 - 10:00]],"=x")</f>
        <v>0</v>
      </c>
      <c r="F2914" s="2">
        <f>SUM(contact[[#This Row],[?]:[x]])</f>
        <v>0</v>
      </c>
      <c r="G29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14" s="2"/>
      <c r="I2914" s="2"/>
      <c r="J2914" s="3" t="s">
        <v>4475</v>
      </c>
      <c r="K2914" s="1" t="s">
        <v>1872</v>
      </c>
      <c r="L2914" s="1" t="s">
        <v>2</v>
      </c>
      <c r="M2914" s="1" t="s">
        <v>2</v>
      </c>
      <c r="O2914" s="2"/>
      <c r="P2914" s="2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</row>
    <row r="2915" spans="1:32" s="1" customFormat="1" ht="20.25" customHeight="1" x14ac:dyDescent="0.25">
      <c r="A2915" s="2"/>
      <c r="B2915" s="2"/>
      <c r="C2915" s="2"/>
      <c r="D2915" s="2">
        <f>COUNTIF(contact[[#This Row],[Bagossy]:[Szo
03:00 - 10:00]],"=~?")</f>
        <v>0</v>
      </c>
      <c r="E2915" s="2">
        <f>COUNTIF(contact[[#This Row],[Bagossy]:[Szo
03:00 - 10:00]],"=x")</f>
        <v>0</v>
      </c>
      <c r="F2915" s="2">
        <f>SUM(contact[[#This Row],[?]:[x]])</f>
        <v>0</v>
      </c>
      <c r="G29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15" s="3" t="s">
        <v>379</v>
      </c>
      <c r="K2915" s="1" t="s">
        <v>325</v>
      </c>
      <c r="L2915" s="1" t="s">
        <v>2</v>
      </c>
      <c r="M2915" s="1" t="s">
        <v>2</v>
      </c>
      <c r="O2915" s="2"/>
      <c r="P2915" s="2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</row>
    <row r="2916" spans="1:32" s="1" customFormat="1" ht="20.25" customHeight="1" x14ac:dyDescent="0.25">
      <c r="A2916" s="2"/>
      <c r="B2916" s="2"/>
      <c r="C2916" s="2"/>
      <c r="D2916" s="2">
        <f>COUNTIF(contact[[#This Row],[Bagossy]:[Szo
03:00 - 10:00]],"=~?")</f>
        <v>0</v>
      </c>
      <c r="E2916" s="2">
        <f>COUNTIF(contact[[#This Row],[Bagossy]:[Szo
03:00 - 10:00]],"=x")</f>
        <v>0</v>
      </c>
      <c r="F2916" s="2">
        <f>SUM(contact[[#This Row],[?]:[x]])</f>
        <v>0</v>
      </c>
      <c r="G29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16" s="3" t="s">
        <v>3140</v>
      </c>
      <c r="K2916" s="1" t="s">
        <v>607</v>
      </c>
      <c r="L2916" s="1" t="s">
        <v>2</v>
      </c>
      <c r="M2916" s="1" t="s">
        <v>2</v>
      </c>
      <c r="O2916" s="2"/>
      <c r="P2916" s="2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</row>
    <row r="2917" spans="1:32" s="1" customFormat="1" ht="20.25" customHeight="1" x14ac:dyDescent="0.25">
      <c r="A2917" s="2"/>
      <c r="B2917" s="2"/>
      <c r="C2917" s="2"/>
      <c r="D2917" s="2">
        <f>COUNTIF(contact[[#This Row],[Bagossy]:[Szo
03:00 - 10:00]],"=~?")</f>
        <v>0</v>
      </c>
      <c r="E2917" s="2">
        <f>COUNTIF(contact[[#This Row],[Bagossy]:[Szo
03:00 - 10:00]],"=x")</f>
        <v>0</v>
      </c>
      <c r="F2917" s="2">
        <f>SUM(contact[[#This Row],[?]:[x]])</f>
        <v>0</v>
      </c>
      <c r="G29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17" s="3" t="s">
        <v>3261</v>
      </c>
      <c r="K2917" s="1" t="s">
        <v>722</v>
      </c>
      <c r="L2917" s="1" t="s">
        <v>2</v>
      </c>
      <c r="M2917" s="1" t="s">
        <v>2</v>
      </c>
      <c r="O2917" s="2"/>
      <c r="P2917" s="2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</row>
    <row r="2918" spans="1:32" s="1" customFormat="1" ht="20.25" customHeight="1" x14ac:dyDescent="0.25">
      <c r="A2918" s="2"/>
      <c r="B2918" s="2"/>
      <c r="C2918" s="2"/>
      <c r="D2918" s="2">
        <f>COUNTIF(contact[[#This Row],[Bagossy]:[Szo
03:00 - 10:00]],"=~?")</f>
        <v>0</v>
      </c>
      <c r="E2918" s="2">
        <f>COUNTIF(contact[[#This Row],[Bagossy]:[Szo
03:00 - 10:00]],"=x")</f>
        <v>0</v>
      </c>
      <c r="F2918" s="2">
        <f>SUM(contact[[#This Row],[?]:[x]])</f>
        <v>0</v>
      </c>
      <c r="G29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18" s="2"/>
      <c r="I2918" s="2"/>
      <c r="J2918" s="3" t="s">
        <v>4476</v>
      </c>
      <c r="K2918" s="1" t="s">
        <v>6</v>
      </c>
      <c r="L2918" s="1" t="s">
        <v>2</v>
      </c>
      <c r="M2918" s="1" t="s">
        <v>2</v>
      </c>
      <c r="O2918" s="2"/>
      <c r="P2918" s="2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</row>
    <row r="2919" spans="1:32" s="1" customFormat="1" ht="20.25" customHeight="1" x14ac:dyDescent="0.25">
      <c r="A2919" s="2"/>
      <c r="B2919" s="2"/>
      <c r="C2919" s="2"/>
      <c r="D2919" s="2">
        <f>COUNTIF(contact[[#This Row],[Bagossy]:[Szo
03:00 - 10:00]],"=~?")</f>
        <v>0</v>
      </c>
      <c r="E2919" s="2">
        <f>COUNTIF(contact[[#This Row],[Bagossy]:[Szo
03:00 - 10:00]],"=x")</f>
        <v>0</v>
      </c>
      <c r="F2919" s="2">
        <f>SUM(contact[[#This Row],[?]:[x]])</f>
        <v>0</v>
      </c>
      <c r="G291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19" s="3" t="s">
        <v>2977</v>
      </c>
      <c r="K2919" s="1" t="s">
        <v>587</v>
      </c>
      <c r="L2919" s="1" t="s">
        <v>2</v>
      </c>
      <c r="M2919" s="1" t="s">
        <v>2</v>
      </c>
      <c r="O2919" s="2"/>
      <c r="P2919" s="2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</row>
    <row r="2920" spans="1:32" s="1" customFormat="1" ht="20.25" customHeight="1" x14ac:dyDescent="0.25">
      <c r="A2920" s="2"/>
      <c r="B2920" s="2"/>
      <c r="C2920" s="2"/>
      <c r="D2920" s="2">
        <f>COUNTIF(contact[[#This Row],[Bagossy]:[Szo
03:00 - 10:00]],"=~?")</f>
        <v>0</v>
      </c>
      <c r="E2920" s="2">
        <f>COUNTIF(contact[[#This Row],[Bagossy]:[Szo
03:00 - 10:00]],"=x")</f>
        <v>0</v>
      </c>
      <c r="F2920" s="2">
        <f>SUM(contact[[#This Row],[?]:[x]])</f>
        <v>0</v>
      </c>
      <c r="G29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0" s="3" t="s">
        <v>3570</v>
      </c>
      <c r="K2920" s="1" t="s">
        <v>1673</v>
      </c>
      <c r="L2920" s="1" t="s">
        <v>2</v>
      </c>
      <c r="M2920" s="1" t="s">
        <v>2</v>
      </c>
      <c r="O2920" s="2"/>
      <c r="P2920" s="2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</row>
    <row r="2921" spans="1:32" s="1" customFormat="1" ht="20.25" customHeight="1" x14ac:dyDescent="0.25">
      <c r="A2921" s="2"/>
      <c r="B2921" s="2"/>
      <c r="C2921" s="2"/>
      <c r="D2921" s="2">
        <f>COUNTIF(contact[[#This Row],[Bagossy]:[Szo
03:00 - 10:00]],"=~?")</f>
        <v>0</v>
      </c>
      <c r="E2921" s="2">
        <f>COUNTIF(contact[[#This Row],[Bagossy]:[Szo
03:00 - 10:00]],"=x")</f>
        <v>0</v>
      </c>
      <c r="F2921" s="2">
        <f>SUM(contact[[#This Row],[?]:[x]])</f>
        <v>0</v>
      </c>
      <c r="G29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1" s="3" t="s">
        <v>4064</v>
      </c>
      <c r="K2921" s="1" t="s">
        <v>2</v>
      </c>
      <c r="L2921" s="1" t="s">
        <v>2</v>
      </c>
      <c r="M2921" s="1" t="s">
        <v>2</v>
      </c>
      <c r="O2921" s="2"/>
      <c r="P2921" s="2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</row>
    <row r="2922" spans="1:32" s="1" customFormat="1" ht="20.25" customHeight="1" x14ac:dyDescent="0.25">
      <c r="A2922" s="2"/>
      <c r="B2922" s="2"/>
      <c r="C2922" s="2"/>
      <c r="D2922" s="2">
        <f>COUNTIF(contact[[#This Row],[Bagossy]:[Szo
03:00 - 10:00]],"=~?")</f>
        <v>0</v>
      </c>
      <c r="E2922" s="2">
        <f>COUNTIF(contact[[#This Row],[Bagossy]:[Szo
03:00 - 10:00]],"=x")</f>
        <v>0</v>
      </c>
      <c r="F2922" s="2">
        <f>SUM(contact[[#This Row],[?]:[x]])</f>
        <v>0</v>
      </c>
      <c r="G29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2" s="3" t="s">
        <v>3124</v>
      </c>
      <c r="K2922" s="1" t="s">
        <v>177</v>
      </c>
      <c r="L2922" s="1" t="s">
        <v>2</v>
      </c>
      <c r="M2922" s="1" t="s">
        <v>2</v>
      </c>
      <c r="O2922" s="2"/>
      <c r="P2922" s="2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</row>
    <row r="2923" spans="1:32" s="1" customFormat="1" ht="20.25" customHeight="1" x14ac:dyDescent="0.25">
      <c r="A2923" s="2"/>
      <c r="B2923" s="2"/>
      <c r="C2923" s="2"/>
      <c r="D2923" s="2">
        <f>COUNTIF(contact[[#This Row],[Bagossy]:[Szo
03:00 - 10:00]],"=~?")</f>
        <v>0</v>
      </c>
      <c r="E2923" s="2">
        <f>COUNTIF(contact[[#This Row],[Bagossy]:[Szo
03:00 - 10:00]],"=x")</f>
        <v>0</v>
      </c>
      <c r="F2923" s="2">
        <f>SUM(contact[[#This Row],[?]:[x]])</f>
        <v>0</v>
      </c>
      <c r="G29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3" s="3" t="s">
        <v>4096</v>
      </c>
      <c r="K2923" s="1" t="s">
        <v>1783</v>
      </c>
      <c r="L2923" s="1" t="s">
        <v>2</v>
      </c>
      <c r="M2923" s="1" t="s">
        <v>2</v>
      </c>
      <c r="O2923" s="2"/>
      <c r="P2923" s="2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</row>
    <row r="2924" spans="1:32" s="1" customFormat="1" ht="20.25" customHeight="1" x14ac:dyDescent="0.25">
      <c r="A2924" s="2"/>
      <c r="B2924" s="2"/>
      <c r="C2924" s="2"/>
      <c r="D2924" s="2">
        <f>COUNTIF(contact[[#This Row],[Bagossy]:[Szo
03:00 - 10:00]],"=~?")</f>
        <v>0</v>
      </c>
      <c r="E2924" s="2">
        <f>COUNTIF(contact[[#This Row],[Bagossy]:[Szo
03:00 - 10:00]],"=x")</f>
        <v>0</v>
      </c>
      <c r="F2924" s="2">
        <f>SUM(contact[[#This Row],[?]:[x]])</f>
        <v>0</v>
      </c>
      <c r="G29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4" s="3" t="s">
        <v>2417</v>
      </c>
      <c r="K2924" s="1" t="s">
        <v>292</v>
      </c>
      <c r="L2924" s="1" t="s">
        <v>2</v>
      </c>
      <c r="M2924" s="1" t="s">
        <v>2</v>
      </c>
      <c r="O2924" s="2"/>
      <c r="P2924" s="2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</row>
    <row r="2925" spans="1:32" s="1" customFormat="1" ht="20.25" customHeight="1" x14ac:dyDescent="0.25">
      <c r="A2925" s="2"/>
      <c r="B2925" s="2"/>
      <c r="C2925" s="2"/>
      <c r="D2925" s="2">
        <f>COUNTIF(contact[[#This Row],[Bagossy]:[Szo
03:00 - 10:00]],"=~?")</f>
        <v>0</v>
      </c>
      <c r="E2925" s="2">
        <f>COUNTIF(contact[[#This Row],[Bagossy]:[Szo
03:00 - 10:00]],"=x")</f>
        <v>0</v>
      </c>
      <c r="F2925" s="2">
        <f>SUM(contact[[#This Row],[?]:[x]])</f>
        <v>0</v>
      </c>
      <c r="G29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5" s="3" t="s">
        <v>3769</v>
      </c>
      <c r="K2925" s="1" t="s">
        <v>935</v>
      </c>
      <c r="L2925" s="1" t="s">
        <v>2</v>
      </c>
      <c r="M2925" s="1" t="s">
        <v>2</v>
      </c>
      <c r="O2925" s="2"/>
      <c r="P2925" s="2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</row>
    <row r="2926" spans="1:32" s="1" customFormat="1" ht="20.25" customHeight="1" x14ac:dyDescent="0.25">
      <c r="A2926" s="2"/>
      <c r="B2926" s="2"/>
      <c r="C2926" s="2"/>
      <c r="D2926" s="2">
        <f>COUNTIF(contact[[#This Row],[Bagossy]:[Szo
03:00 - 10:00]],"=~?")</f>
        <v>0</v>
      </c>
      <c r="E2926" s="2">
        <f>COUNTIF(contact[[#This Row],[Bagossy]:[Szo
03:00 - 10:00]],"=x")</f>
        <v>0</v>
      </c>
      <c r="F2926" s="2">
        <f>SUM(contact[[#This Row],[?]:[x]])</f>
        <v>0</v>
      </c>
      <c r="G29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6" s="3" t="s">
        <v>4354</v>
      </c>
      <c r="K2926" s="1" t="s">
        <v>2</v>
      </c>
      <c r="L2926" s="1" t="s">
        <v>2</v>
      </c>
      <c r="M2926" s="1" t="s">
        <v>2</v>
      </c>
      <c r="O2926" s="2"/>
      <c r="P2926" s="2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</row>
    <row r="2927" spans="1:32" s="1" customFormat="1" ht="20.25" customHeight="1" x14ac:dyDescent="0.25">
      <c r="A2927" s="2"/>
      <c r="B2927" s="2"/>
      <c r="C2927" s="2"/>
      <c r="D2927" s="2">
        <f>COUNTIF(contact[[#This Row],[Bagossy]:[Szo
03:00 - 10:00]],"=~?")</f>
        <v>0</v>
      </c>
      <c r="E2927" s="2">
        <f>COUNTIF(contact[[#This Row],[Bagossy]:[Szo
03:00 - 10:00]],"=x")</f>
        <v>0</v>
      </c>
      <c r="F2927" s="2">
        <f>SUM(contact[[#This Row],[?]:[x]])</f>
        <v>0</v>
      </c>
      <c r="G29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7" s="3" t="s">
        <v>4424</v>
      </c>
      <c r="K2927" s="1" t="s">
        <v>2</v>
      </c>
      <c r="L2927" s="1" t="s">
        <v>2</v>
      </c>
      <c r="M2927" s="1" t="s">
        <v>2</v>
      </c>
      <c r="O2927" s="2"/>
      <c r="P2927" s="2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</row>
    <row r="2928" spans="1:32" s="1" customFormat="1" ht="20.25" customHeight="1" x14ac:dyDescent="0.25">
      <c r="A2928" s="2"/>
      <c r="B2928" s="2"/>
      <c r="C2928" s="2"/>
      <c r="D2928" s="2">
        <f>COUNTIF(contact[[#This Row],[Bagossy]:[Szo
03:00 - 10:00]],"=~?")</f>
        <v>0</v>
      </c>
      <c r="E2928" s="2">
        <f>COUNTIF(contact[[#This Row],[Bagossy]:[Szo
03:00 - 10:00]],"=x")</f>
        <v>0</v>
      </c>
      <c r="F2928" s="2">
        <f>SUM(contact[[#This Row],[?]:[x]])</f>
        <v>0</v>
      </c>
      <c r="G29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28" s="2"/>
      <c r="I2928" s="2"/>
      <c r="J2928" s="3" t="s">
        <v>4487</v>
      </c>
      <c r="K2928" s="1" t="s">
        <v>29</v>
      </c>
      <c r="L2928" s="1" t="s">
        <v>2</v>
      </c>
      <c r="M2928" s="1" t="s">
        <v>2</v>
      </c>
      <c r="O2928" s="2"/>
      <c r="P2928" s="2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</row>
    <row r="2929" spans="1:32" s="1" customFormat="1" ht="20.25" customHeight="1" x14ac:dyDescent="0.25">
      <c r="A2929" s="2"/>
      <c r="B2929" s="2"/>
      <c r="C2929" s="2"/>
      <c r="D2929" s="2">
        <f>COUNTIF(contact[[#This Row],[Bagossy]:[Szo
03:00 - 10:00]],"=~?")</f>
        <v>0</v>
      </c>
      <c r="E2929" s="2">
        <f>COUNTIF(contact[[#This Row],[Bagossy]:[Szo
03:00 - 10:00]],"=x")</f>
        <v>0</v>
      </c>
      <c r="F2929" s="2">
        <f>SUM(contact[[#This Row],[?]:[x]])</f>
        <v>0</v>
      </c>
      <c r="G29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29" s="3" t="s">
        <v>2898</v>
      </c>
      <c r="K2929" s="1" t="s">
        <v>2</v>
      </c>
      <c r="L2929" s="1" t="s">
        <v>2</v>
      </c>
      <c r="M2929" s="1" t="s">
        <v>2</v>
      </c>
      <c r="O2929" s="2"/>
      <c r="P2929" s="2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</row>
    <row r="2930" spans="1:32" s="1" customFormat="1" ht="20.25" customHeight="1" x14ac:dyDescent="0.25">
      <c r="A2930" s="2"/>
      <c r="B2930" s="2"/>
      <c r="C2930" s="2"/>
      <c r="D2930" s="2">
        <f>COUNTIF(contact[[#This Row],[Bagossy]:[Szo
03:00 - 10:00]],"=~?")</f>
        <v>0</v>
      </c>
      <c r="E2930" s="2">
        <f>COUNTIF(contact[[#This Row],[Bagossy]:[Szo
03:00 - 10:00]],"=x")</f>
        <v>0</v>
      </c>
      <c r="F2930" s="2">
        <f>SUM(contact[[#This Row],[?]:[x]])</f>
        <v>0</v>
      </c>
      <c r="G29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0" s="3" t="s">
        <v>3498</v>
      </c>
      <c r="K2930" s="1" t="s">
        <v>2</v>
      </c>
      <c r="L2930" s="1" t="s">
        <v>2</v>
      </c>
      <c r="M2930" s="1" t="s">
        <v>2</v>
      </c>
      <c r="O2930" s="2"/>
      <c r="P2930" s="2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</row>
    <row r="2931" spans="1:32" s="1" customFormat="1" ht="20.25" customHeight="1" x14ac:dyDescent="0.25">
      <c r="A2931" s="2"/>
      <c r="B2931" s="2"/>
      <c r="C2931" s="2"/>
      <c r="D2931" s="2">
        <f>COUNTIF(contact[[#This Row],[Bagossy]:[Szo
03:00 - 10:00]],"=~?")</f>
        <v>0</v>
      </c>
      <c r="E2931" s="2">
        <f>COUNTIF(contact[[#This Row],[Bagossy]:[Szo
03:00 - 10:00]],"=x")</f>
        <v>0</v>
      </c>
      <c r="F2931" s="2">
        <f>SUM(contact[[#This Row],[?]:[x]])</f>
        <v>0</v>
      </c>
      <c r="G29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1" s="3" t="s">
        <v>1947</v>
      </c>
      <c r="K2931" s="1" t="s">
        <v>30</v>
      </c>
      <c r="L2931" s="1" t="s">
        <v>2</v>
      </c>
      <c r="M2931" s="1" t="s">
        <v>2</v>
      </c>
      <c r="O2931" s="2"/>
      <c r="P2931" s="2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</row>
    <row r="2932" spans="1:32" s="1" customFormat="1" ht="20.25" customHeight="1" x14ac:dyDescent="0.25">
      <c r="A2932" s="2"/>
      <c r="B2932" s="2"/>
      <c r="C2932" s="2"/>
      <c r="D2932" s="2">
        <f>COUNTIF(contact[[#This Row],[Bagossy]:[Szo
03:00 - 10:00]],"=~?")</f>
        <v>0</v>
      </c>
      <c r="E2932" s="2">
        <f>COUNTIF(contact[[#This Row],[Bagossy]:[Szo
03:00 - 10:00]],"=x")</f>
        <v>0</v>
      </c>
      <c r="F2932" s="2">
        <f>SUM(contact[[#This Row],[?]:[x]])</f>
        <v>0</v>
      </c>
      <c r="G293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2" s="3" t="s">
        <v>2120</v>
      </c>
      <c r="K2932" s="1" t="s">
        <v>2</v>
      </c>
      <c r="L2932" s="1" t="s">
        <v>2</v>
      </c>
      <c r="M2932" s="1" t="s">
        <v>2</v>
      </c>
      <c r="O2932" s="2"/>
      <c r="P2932" s="2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</row>
    <row r="2933" spans="1:32" s="1" customFormat="1" ht="20.25" customHeight="1" x14ac:dyDescent="0.25">
      <c r="A2933" s="2"/>
      <c r="B2933" s="2"/>
      <c r="C2933" s="2"/>
      <c r="D2933" s="2">
        <f>COUNTIF(contact[[#This Row],[Bagossy]:[Szo
03:00 - 10:00]],"=~?")</f>
        <v>0</v>
      </c>
      <c r="E2933" s="2">
        <f>COUNTIF(contact[[#This Row],[Bagossy]:[Szo
03:00 - 10:00]],"=x")</f>
        <v>0</v>
      </c>
      <c r="F2933" s="2">
        <f>SUM(contact[[#This Row],[?]:[x]])</f>
        <v>0</v>
      </c>
      <c r="G29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3" s="3" t="s">
        <v>2313</v>
      </c>
      <c r="K2933" s="1" t="s">
        <v>1388</v>
      </c>
      <c r="L2933" s="1" t="s">
        <v>2</v>
      </c>
      <c r="M2933" s="1" t="s">
        <v>2</v>
      </c>
      <c r="O2933" s="2"/>
      <c r="P2933" s="2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</row>
    <row r="2934" spans="1:32" s="1" customFormat="1" ht="20.25" customHeight="1" x14ac:dyDescent="0.25">
      <c r="A2934" s="2"/>
      <c r="B2934" s="2"/>
      <c r="C2934" s="2"/>
      <c r="D2934" s="2">
        <f>COUNTIF(contact[[#This Row],[Bagossy]:[Szo
03:00 - 10:00]],"=~?")</f>
        <v>0</v>
      </c>
      <c r="E2934" s="2">
        <f>COUNTIF(contact[[#This Row],[Bagossy]:[Szo
03:00 - 10:00]],"=x")</f>
        <v>0</v>
      </c>
      <c r="F2934" s="2">
        <f>SUM(contact[[#This Row],[?]:[x]])</f>
        <v>0</v>
      </c>
      <c r="G29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34" s="2"/>
      <c r="I2934" s="2"/>
      <c r="J2934" s="3" t="s">
        <v>4512</v>
      </c>
      <c r="K2934" s="1" t="s">
        <v>1668</v>
      </c>
      <c r="L2934" s="1" t="s">
        <v>2</v>
      </c>
      <c r="M2934" s="1" t="s">
        <v>2</v>
      </c>
      <c r="O2934" s="2"/>
      <c r="P2934" s="2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</row>
    <row r="2935" spans="1:32" s="1" customFormat="1" ht="20.25" customHeight="1" x14ac:dyDescent="0.25">
      <c r="A2935" s="2"/>
      <c r="B2935" s="2"/>
      <c r="C2935" s="2"/>
      <c r="D2935" s="2">
        <f>COUNTIF(contact[[#This Row],[Bagossy]:[Szo
03:00 - 10:00]],"=~?")</f>
        <v>0</v>
      </c>
      <c r="E2935" s="2">
        <f>COUNTIF(contact[[#This Row],[Bagossy]:[Szo
03:00 - 10:00]],"=x")</f>
        <v>0</v>
      </c>
      <c r="F2935" s="2">
        <f>SUM(contact[[#This Row],[?]:[x]])</f>
        <v>0</v>
      </c>
      <c r="G29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5" s="3" t="s">
        <v>2556</v>
      </c>
      <c r="K2935" s="1" t="s">
        <v>370</v>
      </c>
      <c r="L2935" s="1" t="s">
        <v>2</v>
      </c>
      <c r="M2935" s="1" t="s">
        <v>2</v>
      </c>
      <c r="O2935" s="2"/>
      <c r="P2935" s="2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</row>
    <row r="2936" spans="1:32" s="1" customFormat="1" ht="20.25" customHeight="1" x14ac:dyDescent="0.25">
      <c r="A2936" s="2"/>
      <c r="B2936" s="2"/>
      <c r="C2936" s="2"/>
      <c r="D2936" s="2">
        <f>COUNTIF(contact[[#This Row],[Bagossy]:[Szo
03:00 - 10:00]],"=~?")</f>
        <v>0</v>
      </c>
      <c r="E2936" s="2">
        <f>COUNTIF(contact[[#This Row],[Bagossy]:[Szo
03:00 - 10:00]],"=x")</f>
        <v>0</v>
      </c>
      <c r="F2936" s="2">
        <f>SUM(contact[[#This Row],[?]:[x]])</f>
        <v>0</v>
      </c>
      <c r="G29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6" s="3" t="s">
        <v>2991</v>
      </c>
      <c r="K2936" s="1" t="s">
        <v>1532</v>
      </c>
      <c r="L2936" s="1" t="s">
        <v>2</v>
      </c>
      <c r="M2936" s="1" t="s">
        <v>2</v>
      </c>
      <c r="O2936" s="2"/>
      <c r="P2936" s="2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</row>
    <row r="2937" spans="1:32" s="1" customFormat="1" ht="20.25" customHeight="1" x14ac:dyDescent="0.25">
      <c r="A2937" s="2"/>
      <c r="B2937" s="2"/>
      <c r="C2937" s="2"/>
      <c r="D2937" s="2">
        <f>COUNTIF(contact[[#This Row],[Bagossy]:[Szo
03:00 - 10:00]],"=~?")</f>
        <v>0</v>
      </c>
      <c r="E2937" s="2">
        <f>COUNTIF(contact[[#This Row],[Bagossy]:[Szo
03:00 - 10:00]],"=x")</f>
        <v>0</v>
      </c>
      <c r="F2937" s="2">
        <f>SUM(contact[[#This Row],[?]:[x]])</f>
        <v>0</v>
      </c>
      <c r="G29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37" s="2"/>
      <c r="I2937" s="2"/>
      <c r="J2937" s="3" t="s">
        <v>4515</v>
      </c>
      <c r="K2937" s="1" t="s">
        <v>1882</v>
      </c>
      <c r="L2937" s="1" t="s">
        <v>2</v>
      </c>
      <c r="M2937" s="1" t="s">
        <v>2</v>
      </c>
      <c r="O2937" s="2"/>
      <c r="P2937" s="2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</row>
    <row r="2938" spans="1:32" s="1" customFormat="1" ht="20.25" customHeight="1" x14ac:dyDescent="0.25">
      <c r="A2938" s="2"/>
      <c r="B2938" s="2"/>
      <c r="C2938" s="2"/>
      <c r="D2938" s="2">
        <f>COUNTIF(contact[[#This Row],[Bagossy]:[Szo
03:00 - 10:00]],"=~?")</f>
        <v>0</v>
      </c>
      <c r="E2938" s="2">
        <f>COUNTIF(contact[[#This Row],[Bagossy]:[Szo
03:00 - 10:00]],"=x")</f>
        <v>0</v>
      </c>
      <c r="F2938" s="2">
        <f>SUM(contact[[#This Row],[?]:[x]])</f>
        <v>0</v>
      </c>
      <c r="G29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8" s="3" t="s">
        <v>3134</v>
      </c>
      <c r="K2938" s="1" t="s">
        <v>425</v>
      </c>
      <c r="L2938" s="1" t="s">
        <v>2</v>
      </c>
      <c r="M2938" s="1" t="s">
        <v>2</v>
      </c>
      <c r="O2938" s="2"/>
      <c r="P2938" s="2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</row>
    <row r="2939" spans="1:32" s="1" customFormat="1" ht="20.25" customHeight="1" x14ac:dyDescent="0.25">
      <c r="A2939" s="2"/>
      <c r="B2939" s="2"/>
      <c r="C2939" s="2"/>
      <c r="D2939" s="2">
        <f>COUNTIF(contact[[#This Row],[Bagossy]:[Szo
03:00 - 10:00]],"=~?")</f>
        <v>0</v>
      </c>
      <c r="E2939" s="2">
        <f>COUNTIF(contact[[#This Row],[Bagossy]:[Szo
03:00 - 10:00]],"=x")</f>
        <v>0</v>
      </c>
      <c r="F2939" s="2">
        <f>SUM(contact[[#This Row],[?]:[x]])</f>
        <v>0</v>
      </c>
      <c r="G29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39" s="3" t="s">
        <v>3363</v>
      </c>
      <c r="K2939" s="1" t="s">
        <v>1622</v>
      </c>
      <c r="L2939" s="1" t="s">
        <v>2</v>
      </c>
      <c r="M2939" s="1" t="s">
        <v>2</v>
      </c>
      <c r="O2939" s="2"/>
      <c r="P2939" s="2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</row>
    <row r="2940" spans="1:32" s="1" customFormat="1" ht="20.25" customHeight="1" x14ac:dyDescent="0.25">
      <c r="A2940" s="2"/>
      <c r="B2940" s="2"/>
      <c r="C2940" s="2"/>
      <c r="D2940" s="2">
        <f>COUNTIF(contact[[#This Row],[Bagossy]:[Szo
03:00 - 10:00]],"=~?")</f>
        <v>0</v>
      </c>
      <c r="E2940" s="2">
        <f>COUNTIF(contact[[#This Row],[Bagossy]:[Szo
03:00 - 10:00]],"=x")</f>
        <v>0</v>
      </c>
      <c r="F2940" s="2">
        <f>SUM(contact[[#This Row],[?]:[x]])</f>
        <v>0</v>
      </c>
      <c r="G29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0" s="3" t="s">
        <v>3390</v>
      </c>
      <c r="K2940" s="1" t="s">
        <v>780</v>
      </c>
      <c r="L2940" s="1" t="s">
        <v>2</v>
      </c>
      <c r="M2940" s="1" t="s">
        <v>2</v>
      </c>
      <c r="O2940" s="2"/>
      <c r="P2940" s="2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</row>
    <row r="2941" spans="1:32" s="1" customFormat="1" ht="20.25" customHeight="1" x14ac:dyDescent="0.25">
      <c r="A2941" s="2"/>
      <c r="B2941" s="2"/>
      <c r="C2941" s="2"/>
      <c r="D2941" s="2">
        <f>COUNTIF(contact[[#This Row],[Bagossy]:[Szo
03:00 - 10:00]],"=~?")</f>
        <v>0</v>
      </c>
      <c r="E2941" s="2">
        <f>COUNTIF(contact[[#This Row],[Bagossy]:[Szo
03:00 - 10:00]],"=x")</f>
        <v>0</v>
      </c>
      <c r="F2941" s="2">
        <f>SUM(contact[[#This Row],[?]:[x]])</f>
        <v>0</v>
      </c>
      <c r="G29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1" s="3" t="s">
        <v>3414</v>
      </c>
      <c r="K2941" s="1" t="s">
        <v>2</v>
      </c>
      <c r="L2941" s="1" t="s">
        <v>2</v>
      </c>
      <c r="M2941" s="1" t="s">
        <v>2</v>
      </c>
      <c r="O2941" s="2"/>
      <c r="P2941" s="2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</row>
    <row r="2942" spans="1:32" s="1" customFormat="1" ht="20.25" customHeight="1" x14ac:dyDescent="0.25">
      <c r="A2942" s="2"/>
      <c r="B2942" s="2"/>
      <c r="C2942" s="2"/>
      <c r="D2942" s="2">
        <f>COUNTIF(contact[[#This Row],[Bagossy]:[Szo
03:00 - 10:00]],"=~?")</f>
        <v>0</v>
      </c>
      <c r="E2942" s="2">
        <f>COUNTIF(contact[[#This Row],[Bagossy]:[Szo
03:00 - 10:00]],"=x")</f>
        <v>0</v>
      </c>
      <c r="F2942" s="2">
        <f>SUM(contact[[#This Row],[?]:[x]])</f>
        <v>0</v>
      </c>
      <c r="G29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2" s="3" t="s">
        <v>3427</v>
      </c>
      <c r="K2942" s="1" t="s">
        <v>1642</v>
      </c>
      <c r="L2942" s="1" t="s">
        <v>2</v>
      </c>
      <c r="M2942" s="1" t="s">
        <v>2</v>
      </c>
      <c r="O2942" s="2"/>
      <c r="P2942" s="2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</row>
    <row r="2943" spans="1:32" s="1" customFormat="1" ht="20.25" customHeight="1" x14ac:dyDescent="0.25">
      <c r="A2943" s="2"/>
      <c r="B2943" s="2"/>
      <c r="C2943" s="2"/>
      <c r="D2943" s="2">
        <f>COUNTIF(contact[[#This Row],[Bagossy]:[Szo
03:00 - 10:00]],"=~?")</f>
        <v>0</v>
      </c>
      <c r="E2943" s="2">
        <f>COUNTIF(contact[[#This Row],[Bagossy]:[Szo
03:00 - 10:00]],"=x")</f>
        <v>0</v>
      </c>
      <c r="F2943" s="2">
        <f>SUM(contact[[#This Row],[?]:[x]])</f>
        <v>0</v>
      </c>
      <c r="G29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3" s="3" t="s">
        <v>3548</v>
      </c>
      <c r="K2943" s="1" t="s">
        <v>2</v>
      </c>
      <c r="L2943" s="1" t="s">
        <v>2</v>
      </c>
      <c r="M2943" s="1" t="s">
        <v>2</v>
      </c>
      <c r="O2943" s="2"/>
      <c r="P2943" s="2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</row>
    <row r="2944" spans="1:32" s="1" customFormat="1" ht="20.25" customHeight="1" x14ac:dyDescent="0.25">
      <c r="A2944" s="2"/>
      <c r="B2944" s="2"/>
      <c r="C2944" s="2"/>
      <c r="D2944" s="2">
        <f>COUNTIF(contact[[#This Row],[Bagossy]:[Szo
03:00 - 10:00]],"=~?")</f>
        <v>0</v>
      </c>
      <c r="E2944" s="2">
        <f>COUNTIF(contact[[#This Row],[Bagossy]:[Szo
03:00 - 10:00]],"=x")</f>
        <v>0</v>
      </c>
      <c r="F2944" s="2">
        <f>SUM(contact[[#This Row],[?]:[x]])</f>
        <v>0</v>
      </c>
      <c r="G29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4" s="3" t="s">
        <v>3695</v>
      </c>
      <c r="K2944" s="1" t="s">
        <v>901</v>
      </c>
      <c r="L2944" s="1" t="s">
        <v>2</v>
      </c>
      <c r="M2944" s="1" t="s">
        <v>2</v>
      </c>
      <c r="O2944" s="2"/>
      <c r="P2944" s="2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</row>
    <row r="2945" spans="1:32" s="1" customFormat="1" ht="20.25" customHeight="1" x14ac:dyDescent="0.25">
      <c r="A2945" s="2"/>
      <c r="B2945" s="2"/>
      <c r="C2945" s="2"/>
      <c r="D2945" s="2">
        <f>COUNTIF(contact[[#This Row],[Bagossy]:[Szo
03:00 - 10:00]],"=~?")</f>
        <v>0</v>
      </c>
      <c r="E2945" s="2">
        <f>COUNTIF(contact[[#This Row],[Bagossy]:[Szo
03:00 - 10:00]],"=x")</f>
        <v>0</v>
      </c>
      <c r="F2945" s="2">
        <f>SUM(contact[[#This Row],[?]:[x]])</f>
        <v>0</v>
      </c>
      <c r="G29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5" s="3" t="s">
        <v>4059</v>
      </c>
      <c r="K2945" s="1" t="s">
        <v>1084</v>
      </c>
      <c r="L2945" s="1" t="s">
        <v>2</v>
      </c>
      <c r="M2945" s="1" t="s">
        <v>2</v>
      </c>
      <c r="O2945" s="2"/>
      <c r="P2945" s="2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</row>
    <row r="2946" spans="1:32" s="1" customFormat="1" ht="20.25" customHeight="1" x14ac:dyDescent="0.25">
      <c r="A2946" s="2"/>
      <c r="B2946" s="2"/>
      <c r="C2946" s="2"/>
      <c r="D2946" s="2">
        <f>COUNTIF(contact[[#This Row],[Bagossy]:[Szo
03:00 - 10:00]],"=~?")</f>
        <v>0</v>
      </c>
      <c r="E2946" s="2">
        <f>COUNTIF(contact[[#This Row],[Bagossy]:[Szo
03:00 - 10:00]],"=x")</f>
        <v>0</v>
      </c>
      <c r="F2946" s="2">
        <f>SUM(contact[[#This Row],[?]:[x]])</f>
        <v>0</v>
      </c>
      <c r="G29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6" s="3" t="s">
        <v>4388</v>
      </c>
      <c r="K2946" s="1" t="s">
        <v>1221</v>
      </c>
      <c r="L2946" s="1" t="s">
        <v>2</v>
      </c>
      <c r="M2946" s="1" t="s">
        <v>2</v>
      </c>
      <c r="O2946" s="2"/>
      <c r="P2946" s="2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</row>
    <row r="2947" spans="1:32" s="1" customFormat="1" ht="20.25" customHeight="1" x14ac:dyDescent="0.25">
      <c r="A2947" s="2"/>
      <c r="B2947" s="2"/>
      <c r="C2947" s="2"/>
      <c r="D2947" s="2">
        <f>COUNTIF(contact[[#This Row],[Bagossy]:[Szo
03:00 - 10:00]],"=~?")</f>
        <v>0</v>
      </c>
      <c r="E2947" s="2">
        <f>COUNTIF(contact[[#This Row],[Bagossy]:[Szo
03:00 - 10:00]],"=x")</f>
        <v>0</v>
      </c>
      <c r="F2947" s="2">
        <f>SUM(contact[[#This Row],[?]:[x]])</f>
        <v>0</v>
      </c>
      <c r="G29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7" s="3" t="s">
        <v>4393</v>
      </c>
      <c r="K2947" s="1" t="s">
        <v>2</v>
      </c>
      <c r="L2947" s="1" t="s">
        <v>2</v>
      </c>
      <c r="M2947" s="1" t="s">
        <v>2</v>
      </c>
      <c r="O2947" s="2"/>
      <c r="P2947" s="2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</row>
    <row r="2948" spans="1:32" s="1" customFormat="1" ht="20.25" customHeight="1" x14ac:dyDescent="0.25">
      <c r="A2948" s="2"/>
      <c r="B2948" s="2"/>
      <c r="C2948" s="2"/>
      <c r="D2948" s="2">
        <f>COUNTIF(contact[[#This Row],[Bagossy]:[Szo
03:00 - 10:00]],"=~?")</f>
        <v>0</v>
      </c>
      <c r="E2948" s="2">
        <f>COUNTIF(contact[[#This Row],[Bagossy]:[Szo
03:00 - 10:00]],"=x")</f>
        <v>0</v>
      </c>
      <c r="F2948" s="2">
        <f>SUM(contact[[#This Row],[?]:[x]])</f>
        <v>0</v>
      </c>
      <c r="G29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8" s="3" t="s">
        <v>4425</v>
      </c>
      <c r="K2948" s="1" t="s">
        <v>2</v>
      </c>
      <c r="L2948" s="1" t="s">
        <v>2</v>
      </c>
      <c r="M2948" s="1" t="s">
        <v>2</v>
      </c>
      <c r="O2948" s="2"/>
      <c r="P2948" s="2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</row>
    <row r="2949" spans="1:32" s="1" customFormat="1" ht="20.25" customHeight="1" x14ac:dyDescent="0.25">
      <c r="A2949" s="2"/>
      <c r="B2949" s="2"/>
      <c r="C2949" s="2"/>
      <c r="D2949" s="2">
        <f>COUNTIF(contact[[#This Row],[Bagossy]:[Szo
03:00 - 10:00]],"=~?")</f>
        <v>0</v>
      </c>
      <c r="E2949" s="2">
        <f>COUNTIF(contact[[#This Row],[Bagossy]:[Szo
03:00 - 10:00]],"=x")</f>
        <v>0</v>
      </c>
      <c r="F2949" s="2">
        <f>SUM(contact[[#This Row],[?]:[x]])</f>
        <v>0</v>
      </c>
      <c r="G29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49" s="3" t="s">
        <v>4479</v>
      </c>
      <c r="K2949" s="1" t="s">
        <v>1873</v>
      </c>
      <c r="L2949" s="1" t="s">
        <v>2</v>
      </c>
      <c r="M2949" s="1" t="s">
        <v>2</v>
      </c>
      <c r="O2949" s="2"/>
      <c r="P2949" s="2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</row>
    <row r="2950" spans="1:32" s="1" customFormat="1" ht="20.25" customHeight="1" x14ac:dyDescent="0.25">
      <c r="A2950" s="2"/>
      <c r="B2950" s="2"/>
      <c r="C2950" s="2"/>
      <c r="D2950" s="2">
        <f>COUNTIF(contact[[#This Row],[Bagossy]:[Szo
03:00 - 10:00]],"=~?")</f>
        <v>0</v>
      </c>
      <c r="E2950" s="2">
        <f>COUNTIF(contact[[#This Row],[Bagossy]:[Szo
03:00 - 10:00]],"=x")</f>
        <v>0</v>
      </c>
      <c r="F2950" s="2">
        <f>SUM(contact[[#This Row],[?]:[x]])</f>
        <v>0</v>
      </c>
      <c r="G29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0" s="3" t="s">
        <v>2669</v>
      </c>
      <c r="K2950" s="1" t="s">
        <v>1468</v>
      </c>
      <c r="L2950" s="1" t="s">
        <v>2</v>
      </c>
      <c r="M2950" s="1" t="s">
        <v>2</v>
      </c>
      <c r="O2950" s="2"/>
      <c r="P2950" s="2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</row>
    <row r="2951" spans="1:32" s="1" customFormat="1" ht="20.25" customHeight="1" x14ac:dyDescent="0.25">
      <c r="A2951" s="2"/>
      <c r="B2951" s="2"/>
      <c r="C2951" s="2"/>
      <c r="D2951" s="2">
        <f>COUNTIF(contact[[#This Row],[Bagossy]:[Szo
03:00 - 10:00]],"=~?")</f>
        <v>0</v>
      </c>
      <c r="E2951" s="2">
        <f>COUNTIF(contact[[#This Row],[Bagossy]:[Szo
03:00 - 10:00]],"=x")</f>
        <v>0</v>
      </c>
      <c r="F2951" s="2">
        <f>SUM(contact[[#This Row],[?]:[x]])</f>
        <v>0</v>
      </c>
      <c r="G29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1" s="3" t="s">
        <v>3574</v>
      </c>
      <c r="K2951" s="1" t="s">
        <v>1675</v>
      </c>
      <c r="L2951" s="1" t="s">
        <v>2</v>
      </c>
      <c r="M2951" s="1" t="s">
        <v>2</v>
      </c>
      <c r="O2951" s="2"/>
      <c r="P2951" s="2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</row>
    <row r="2952" spans="1:32" s="1" customFormat="1" ht="20.25" customHeight="1" x14ac:dyDescent="0.25">
      <c r="A2952" s="2"/>
      <c r="B2952" s="2"/>
      <c r="C2952" s="2"/>
      <c r="D2952" s="2">
        <f>COUNTIF(contact[[#This Row],[Bagossy]:[Szo
03:00 - 10:00]],"=~?")</f>
        <v>0</v>
      </c>
      <c r="E2952" s="2">
        <f>COUNTIF(contact[[#This Row],[Bagossy]:[Szo
03:00 - 10:00]],"=x")</f>
        <v>0</v>
      </c>
      <c r="F2952" s="2">
        <f>SUM(contact[[#This Row],[?]:[x]])</f>
        <v>0</v>
      </c>
      <c r="G29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52" s="2"/>
      <c r="I2952" s="2"/>
      <c r="J2952" s="3" t="s">
        <v>4517</v>
      </c>
      <c r="K2952" s="1" t="s">
        <v>1115</v>
      </c>
      <c r="L2952" s="1" t="s">
        <v>2</v>
      </c>
      <c r="M2952" s="1" t="s">
        <v>2</v>
      </c>
      <c r="O2952" s="2"/>
      <c r="P2952" s="2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</row>
    <row r="2953" spans="1:32" s="1" customFormat="1" ht="20.25" customHeight="1" x14ac:dyDescent="0.25">
      <c r="A2953" s="2"/>
      <c r="B2953" s="2"/>
      <c r="C2953" s="2"/>
      <c r="D2953" s="2">
        <f>COUNTIF(contact[[#This Row],[Bagossy]:[Szo
03:00 - 10:00]],"=~?")</f>
        <v>0</v>
      </c>
      <c r="E2953" s="2">
        <f>COUNTIF(contact[[#This Row],[Bagossy]:[Szo
03:00 - 10:00]],"=x")</f>
        <v>0</v>
      </c>
      <c r="F2953" s="2">
        <f>SUM(contact[[#This Row],[?]:[x]])</f>
        <v>0</v>
      </c>
      <c r="G29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3" s="3" t="s">
        <v>4440</v>
      </c>
      <c r="K2953" s="1" t="s">
        <v>345</v>
      </c>
      <c r="L2953" s="1" t="s">
        <v>2</v>
      </c>
      <c r="M2953" s="1" t="s">
        <v>2</v>
      </c>
      <c r="O2953" s="2"/>
      <c r="P2953" s="2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</row>
    <row r="2954" spans="1:32" s="1" customFormat="1" ht="20.25" customHeight="1" x14ac:dyDescent="0.25">
      <c r="A2954" s="2"/>
      <c r="B2954" s="2"/>
      <c r="C2954" s="2"/>
      <c r="D2954" s="2">
        <f>COUNTIF(contact[[#This Row],[Bagossy]:[Szo
03:00 - 10:00]],"=~?")</f>
        <v>0</v>
      </c>
      <c r="E2954" s="2">
        <f>COUNTIF(contact[[#This Row],[Bagossy]:[Szo
03:00 - 10:00]],"=x")</f>
        <v>0</v>
      </c>
      <c r="F2954" s="2">
        <f>SUM(contact[[#This Row],[?]:[x]])</f>
        <v>0</v>
      </c>
      <c r="G29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4" s="3" t="s">
        <v>3912</v>
      </c>
      <c r="K2954" s="1" t="s">
        <v>2</v>
      </c>
      <c r="L2954" s="1" t="s">
        <v>2</v>
      </c>
      <c r="M2954" s="1" t="s">
        <v>2</v>
      </c>
      <c r="O2954" s="2"/>
      <c r="P2954" s="2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</row>
    <row r="2955" spans="1:32" s="1" customFormat="1" ht="20.25" customHeight="1" x14ac:dyDescent="0.25">
      <c r="A2955" s="2"/>
      <c r="B2955" s="2"/>
      <c r="C2955" s="2"/>
      <c r="D2955" s="2">
        <f>COUNTIF(contact[[#This Row],[Bagossy]:[Szo
03:00 - 10:00]],"=~?")</f>
        <v>0</v>
      </c>
      <c r="E2955" s="2">
        <f>COUNTIF(contact[[#This Row],[Bagossy]:[Szo
03:00 - 10:00]],"=x")</f>
        <v>0</v>
      </c>
      <c r="F2955" s="2">
        <f>SUM(contact[[#This Row],[?]:[x]])</f>
        <v>0</v>
      </c>
      <c r="G29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55" s="2"/>
      <c r="I2955" s="2"/>
      <c r="J2955" s="3" t="s">
        <v>4519</v>
      </c>
      <c r="K2955" s="1" t="s">
        <v>172</v>
      </c>
      <c r="L2955" s="1" t="s">
        <v>2</v>
      </c>
      <c r="M2955" s="1" t="s">
        <v>2</v>
      </c>
      <c r="O2955" s="2"/>
      <c r="P2955" s="2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</row>
    <row r="2956" spans="1:32" s="1" customFormat="1" ht="20.25" customHeight="1" x14ac:dyDescent="0.25">
      <c r="A2956" s="2"/>
      <c r="B2956" s="2"/>
      <c r="C2956" s="2"/>
      <c r="D2956" s="2">
        <f>COUNTIF(contact[[#This Row],[Bagossy]:[Szo
03:00 - 10:00]],"=~?")</f>
        <v>0</v>
      </c>
      <c r="E2956" s="2">
        <f>COUNTIF(contact[[#This Row],[Bagossy]:[Szo
03:00 - 10:00]],"=x")</f>
        <v>0</v>
      </c>
      <c r="F2956" s="2">
        <f>SUM(contact[[#This Row],[?]:[x]])</f>
        <v>0</v>
      </c>
      <c r="G29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6" s="3" t="s">
        <v>3655</v>
      </c>
      <c r="K2956" s="1" t="s">
        <v>2</v>
      </c>
      <c r="L2956" s="1" t="s">
        <v>2</v>
      </c>
      <c r="M2956" s="1" t="s">
        <v>2</v>
      </c>
      <c r="O2956" s="2"/>
      <c r="P2956" s="2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</row>
    <row r="2957" spans="1:32" s="1" customFormat="1" ht="20.25" customHeight="1" x14ac:dyDescent="0.25">
      <c r="A2957" s="2"/>
      <c r="B2957" s="2"/>
      <c r="C2957" s="2"/>
      <c r="D2957" s="2">
        <f>COUNTIF(contact[[#This Row],[Bagossy]:[Szo
03:00 - 10:00]],"=~?")</f>
        <v>0</v>
      </c>
      <c r="E2957" s="2">
        <f>COUNTIF(contact[[#This Row],[Bagossy]:[Szo
03:00 - 10:00]],"=x")</f>
        <v>0</v>
      </c>
      <c r="F2957" s="2">
        <f>SUM(contact[[#This Row],[?]:[x]])</f>
        <v>0</v>
      </c>
      <c r="G29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7" s="3" t="s">
        <v>2216</v>
      </c>
      <c r="K2957" s="1" t="s">
        <v>180</v>
      </c>
      <c r="L2957" s="1" t="s">
        <v>2</v>
      </c>
      <c r="M2957" s="1" t="s">
        <v>2</v>
      </c>
      <c r="O2957" s="2"/>
      <c r="P2957" s="2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</row>
    <row r="2958" spans="1:32" s="1" customFormat="1" ht="20.25" customHeight="1" x14ac:dyDescent="0.25">
      <c r="A2958" s="2"/>
      <c r="B2958" s="2"/>
      <c r="C2958" s="2"/>
      <c r="D2958" s="2">
        <f>COUNTIF(contact[[#This Row],[Bagossy]:[Szo
03:00 - 10:00]],"=~?")</f>
        <v>0</v>
      </c>
      <c r="E2958" s="2">
        <f>COUNTIF(contact[[#This Row],[Bagossy]:[Szo
03:00 - 10:00]],"=x")</f>
        <v>0</v>
      </c>
      <c r="F2958" s="2">
        <f>SUM(contact[[#This Row],[?]:[x]])</f>
        <v>0</v>
      </c>
      <c r="G29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8" s="3" t="s">
        <v>1205</v>
      </c>
      <c r="K2958" s="1" t="s">
        <v>2</v>
      </c>
      <c r="L2958" s="1" t="s">
        <v>2</v>
      </c>
      <c r="M2958" s="1" t="s">
        <v>2</v>
      </c>
      <c r="O2958" s="2"/>
      <c r="P2958" s="2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</row>
    <row r="2959" spans="1:32" s="1" customFormat="1" ht="20.25" customHeight="1" x14ac:dyDescent="0.25">
      <c r="A2959" s="2"/>
      <c r="B2959" s="2"/>
      <c r="C2959" s="2"/>
      <c r="D2959" s="2">
        <f>COUNTIF(contact[[#This Row],[Bagossy]:[Szo
03:00 - 10:00]],"=~?")</f>
        <v>0</v>
      </c>
      <c r="E2959" s="2">
        <f>COUNTIF(contact[[#This Row],[Bagossy]:[Szo
03:00 - 10:00]],"=x")</f>
        <v>0</v>
      </c>
      <c r="F2959" s="2">
        <f>SUM(contact[[#This Row],[?]:[x]])</f>
        <v>0</v>
      </c>
      <c r="G29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59" s="3" t="s">
        <v>3499</v>
      </c>
      <c r="K2959" s="1" t="s">
        <v>1660</v>
      </c>
      <c r="L2959" s="1" t="s">
        <v>2</v>
      </c>
      <c r="M2959" s="1" t="s">
        <v>2</v>
      </c>
      <c r="O2959" s="2"/>
      <c r="P2959" s="2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</row>
    <row r="2960" spans="1:32" s="1" customFormat="1" ht="20.25" customHeight="1" x14ac:dyDescent="0.25">
      <c r="A2960" s="2"/>
      <c r="B2960" s="2"/>
      <c r="C2960" s="2"/>
      <c r="D2960" s="2">
        <f>COUNTIF(contact[[#This Row],[Bagossy]:[Szo
03:00 - 10:00]],"=~?")</f>
        <v>0</v>
      </c>
      <c r="E2960" s="2">
        <f>COUNTIF(contact[[#This Row],[Bagossy]:[Szo
03:00 - 10:00]],"=x")</f>
        <v>0</v>
      </c>
      <c r="F2960" s="2">
        <f>SUM(contact[[#This Row],[?]:[x]])</f>
        <v>0</v>
      </c>
      <c r="G29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0" s="3" t="s">
        <v>4570</v>
      </c>
      <c r="K2960" s="1" t="s">
        <v>1327</v>
      </c>
      <c r="L2960" s="1" t="s">
        <v>2</v>
      </c>
      <c r="M2960" s="1" t="s">
        <v>2</v>
      </c>
      <c r="O2960" s="2"/>
      <c r="P2960" s="2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</row>
    <row r="2961" spans="1:32" s="1" customFormat="1" ht="20.25" customHeight="1" x14ac:dyDescent="0.25">
      <c r="A2961" s="2"/>
      <c r="B2961" s="2"/>
      <c r="C2961" s="2" t="s">
        <v>1285</v>
      </c>
      <c r="D2961" s="2">
        <f>COUNTIF(contact[[#This Row],[Bagossy]:[Szo
03:00 - 10:00]],"=~?")</f>
        <v>0</v>
      </c>
      <c r="E2961" s="2">
        <f>COUNTIF(contact[[#This Row],[Bagossy]:[Szo
03:00 - 10:00]],"=x")</f>
        <v>0</v>
      </c>
      <c r="F2961" s="2">
        <f>SUM(contact[[#This Row],[?]:[x]])</f>
        <v>0</v>
      </c>
      <c r="G29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61" s="2"/>
      <c r="I2961" s="2"/>
      <c r="J2961" s="3" t="s">
        <v>4520</v>
      </c>
      <c r="K2961" s="1" t="s">
        <v>181</v>
      </c>
      <c r="L2961" s="1" t="s">
        <v>2</v>
      </c>
      <c r="M2961" s="1" t="s">
        <v>2</v>
      </c>
      <c r="O2961" s="2"/>
      <c r="P2961" s="2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</row>
    <row r="2962" spans="1:32" s="1" customFormat="1" ht="20.25" customHeight="1" x14ac:dyDescent="0.25">
      <c r="A2962" s="2"/>
      <c r="B2962" s="2"/>
      <c r="C2962" s="2"/>
      <c r="D2962" s="2">
        <f>COUNTIF(contact[[#This Row],[Bagossy]:[Szo
03:00 - 10:00]],"=~?")</f>
        <v>0</v>
      </c>
      <c r="E2962" s="2">
        <f>COUNTIF(contact[[#This Row],[Bagossy]:[Szo
03:00 - 10:00]],"=x")</f>
        <v>0</v>
      </c>
      <c r="F2962" s="2">
        <f>SUM(contact[[#This Row],[?]:[x]])</f>
        <v>0</v>
      </c>
      <c r="G29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2" s="3" t="s">
        <v>2302</v>
      </c>
      <c r="K2962" s="1" t="s">
        <v>233</v>
      </c>
      <c r="L2962" s="1" t="s">
        <v>2</v>
      </c>
      <c r="M2962" s="1" t="s">
        <v>2</v>
      </c>
      <c r="O2962" s="2"/>
      <c r="P2962" s="2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</row>
    <row r="2963" spans="1:32" s="1" customFormat="1" ht="20.25" customHeight="1" x14ac:dyDescent="0.25">
      <c r="A2963" s="2"/>
      <c r="B2963" s="2"/>
      <c r="C2963" s="2"/>
      <c r="D2963" s="2">
        <f>COUNTIF(contact[[#This Row],[Bagossy]:[Szo
03:00 - 10:00]],"=~?")</f>
        <v>0</v>
      </c>
      <c r="E2963" s="2">
        <f>COUNTIF(contact[[#This Row],[Bagossy]:[Szo
03:00 - 10:00]],"=x")</f>
        <v>0</v>
      </c>
      <c r="F2963" s="2">
        <f>SUM(contact[[#This Row],[?]:[x]])</f>
        <v>0</v>
      </c>
      <c r="G29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3" s="3" t="s">
        <v>3364</v>
      </c>
      <c r="K2963" s="1" t="s">
        <v>2</v>
      </c>
      <c r="L2963" s="1" t="s">
        <v>2</v>
      </c>
      <c r="M2963" s="1" t="s">
        <v>2</v>
      </c>
      <c r="O2963" s="2"/>
      <c r="P2963" s="2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</row>
    <row r="2964" spans="1:32" s="1" customFormat="1" ht="20.25" customHeight="1" x14ac:dyDescent="0.25">
      <c r="A2964" s="2"/>
      <c r="B2964" s="2"/>
      <c r="C2964" s="2"/>
      <c r="D2964" s="2">
        <f>COUNTIF(contact[[#This Row],[Bagossy]:[Szo
03:00 - 10:00]],"=~?")</f>
        <v>0</v>
      </c>
      <c r="E2964" s="2">
        <f>COUNTIF(contact[[#This Row],[Bagossy]:[Szo
03:00 - 10:00]],"=x")</f>
        <v>0</v>
      </c>
      <c r="F2964" s="2">
        <f>SUM(contact[[#This Row],[?]:[x]])</f>
        <v>0</v>
      </c>
      <c r="G29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64" s="2"/>
      <c r="I2964" s="2"/>
      <c r="J2964" s="3" t="s">
        <v>4522</v>
      </c>
      <c r="K2964" s="1" t="s">
        <v>1883</v>
      </c>
      <c r="L2964" s="1" t="s">
        <v>2</v>
      </c>
      <c r="M2964" s="1" t="s">
        <v>2</v>
      </c>
      <c r="O2964" s="2"/>
      <c r="P2964" s="2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</row>
    <row r="2965" spans="1:32" s="1" customFormat="1" ht="20.25" customHeight="1" x14ac:dyDescent="0.25">
      <c r="A2965" s="2"/>
      <c r="B2965" s="2"/>
      <c r="C2965" s="2"/>
      <c r="D2965" s="2">
        <f>COUNTIF(contact[[#This Row],[Bagossy]:[Szo
03:00 - 10:00]],"=~?")</f>
        <v>0</v>
      </c>
      <c r="E2965" s="2">
        <f>COUNTIF(contact[[#This Row],[Bagossy]:[Szo
03:00 - 10:00]],"=x")</f>
        <v>0</v>
      </c>
      <c r="F2965" s="2">
        <f>SUM(contact[[#This Row],[?]:[x]])</f>
        <v>0</v>
      </c>
      <c r="G29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5" s="3" t="s">
        <v>3804</v>
      </c>
      <c r="K2965" s="1" t="s">
        <v>1716</v>
      </c>
      <c r="L2965" s="1" t="s">
        <v>2</v>
      </c>
      <c r="M2965" s="1" t="s">
        <v>2</v>
      </c>
      <c r="O2965" s="2"/>
      <c r="P2965" s="2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</row>
    <row r="2966" spans="1:32" s="1" customFormat="1" ht="20.25" customHeight="1" x14ac:dyDescent="0.25">
      <c r="A2966" s="2"/>
      <c r="B2966" s="2"/>
      <c r="C2966" s="2"/>
      <c r="D2966" s="2">
        <f>COUNTIF(contact[[#This Row],[Bagossy]:[Szo
03:00 - 10:00]],"=~?")</f>
        <v>0</v>
      </c>
      <c r="E2966" s="2">
        <f>COUNTIF(contact[[#This Row],[Bagossy]:[Szo
03:00 - 10:00]],"=x")</f>
        <v>0</v>
      </c>
      <c r="F2966" s="2">
        <f>SUM(contact[[#This Row],[?]:[x]])</f>
        <v>0</v>
      </c>
      <c r="G29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6" s="3" t="s">
        <v>4328</v>
      </c>
      <c r="K2966" s="1" t="s">
        <v>2</v>
      </c>
      <c r="L2966" s="1" t="s">
        <v>2</v>
      </c>
      <c r="M2966" s="1" t="s">
        <v>2</v>
      </c>
      <c r="O2966" s="2"/>
      <c r="P2966" s="2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</row>
    <row r="2967" spans="1:32" s="1" customFormat="1" ht="20.25" customHeight="1" x14ac:dyDescent="0.25">
      <c r="A2967" s="2"/>
      <c r="B2967" s="2"/>
      <c r="C2967" s="2"/>
      <c r="D2967" s="2">
        <f>COUNTIF(contact[[#This Row],[Bagossy]:[Szo
03:00 - 10:00]],"=~?")</f>
        <v>0</v>
      </c>
      <c r="E2967" s="2">
        <f>COUNTIF(contact[[#This Row],[Bagossy]:[Szo
03:00 - 10:00]],"=x")</f>
        <v>0</v>
      </c>
      <c r="F2967" s="2">
        <f>SUM(contact[[#This Row],[?]:[x]])</f>
        <v>0</v>
      </c>
      <c r="G29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7" s="3" t="s">
        <v>4489</v>
      </c>
      <c r="K2967" s="1" t="s">
        <v>1877</v>
      </c>
      <c r="L2967" s="1" t="s">
        <v>2</v>
      </c>
      <c r="M2967" s="1" t="s">
        <v>2</v>
      </c>
      <c r="O2967" s="2"/>
      <c r="P2967" s="2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</row>
    <row r="2968" spans="1:32" s="1" customFormat="1" ht="20.25" customHeight="1" x14ac:dyDescent="0.25">
      <c r="A2968" s="2"/>
      <c r="B2968" s="2"/>
      <c r="C2968" s="2"/>
      <c r="D2968" s="2">
        <f>COUNTIF(contact[[#This Row],[Bagossy]:[Szo
03:00 - 10:00]],"=~?")</f>
        <v>0</v>
      </c>
      <c r="E2968" s="2">
        <f>COUNTIF(contact[[#This Row],[Bagossy]:[Szo
03:00 - 10:00]],"=x")</f>
        <v>0</v>
      </c>
      <c r="F2968" s="2">
        <f>SUM(contact[[#This Row],[?]:[x]])</f>
        <v>0</v>
      </c>
      <c r="G29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8" s="3" t="s">
        <v>2941</v>
      </c>
      <c r="K2968" s="1" t="s">
        <v>567</v>
      </c>
      <c r="L2968" s="1" t="s">
        <v>2</v>
      </c>
      <c r="M2968" s="1" t="s">
        <v>2</v>
      </c>
      <c r="O2968" s="2"/>
      <c r="P2968" s="2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</row>
    <row r="2969" spans="1:32" s="1" customFormat="1" ht="20.25" customHeight="1" x14ac:dyDescent="0.25">
      <c r="A2969" s="2"/>
      <c r="B2969" s="2"/>
      <c r="C2969" s="2"/>
      <c r="D2969" s="2">
        <f>COUNTIF(contact[[#This Row],[Bagossy]:[Szo
03:00 - 10:00]],"=~?")</f>
        <v>0</v>
      </c>
      <c r="E2969" s="2">
        <f>COUNTIF(contact[[#This Row],[Bagossy]:[Szo
03:00 - 10:00]],"=x")</f>
        <v>0</v>
      </c>
      <c r="F2969" s="2">
        <f>SUM(contact[[#This Row],[?]:[x]])</f>
        <v>0</v>
      </c>
      <c r="G29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69" s="3" t="s">
        <v>3773</v>
      </c>
      <c r="K2969" s="1" t="s">
        <v>2</v>
      </c>
      <c r="L2969" s="1" t="s">
        <v>2</v>
      </c>
      <c r="M2969" s="1" t="s">
        <v>2</v>
      </c>
      <c r="O2969" s="2"/>
      <c r="P2969" s="2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</row>
    <row r="2970" spans="1:32" s="1" customFormat="1" ht="20.25" customHeight="1" x14ac:dyDescent="0.25">
      <c r="A2970" s="2"/>
      <c r="B2970" s="2"/>
      <c r="C2970" s="2"/>
      <c r="D2970" s="2">
        <f>COUNTIF(contact[[#This Row],[Bagossy]:[Szo
03:00 - 10:00]],"=~?")</f>
        <v>0</v>
      </c>
      <c r="E2970" s="2">
        <f>COUNTIF(contact[[#This Row],[Bagossy]:[Szo
03:00 - 10:00]],"=x")</f>
        <v>0</v>
      </c>
      <c r="F2970" s="2">
        <f>SUM(contact[[#This Row],[?]:[x]])</f>
        <v>0</v>
      </c>
      <c r="G29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70" s="3" t="s">
        <v>4490</v>
      </c>
      <c r="K2970" s="1" t="s">
        <v>1878</v>
      </c>
      <c r="L2970" s="1" t="s">
        <v>2</v>
      </c>
      <c r="M2970" s="1" t="s">
        <v>2</v>
      </c>
      <c r="O2970" s="2"/>
      <c r="P2970" s="2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</row>
    <row r="2971" spans="1:32" s="1" customFormat="1" ht="20.25" customHeight="1" x14ac:dyDescent="0.25">
      <c r="A2971" s="2"/>
      <c r="B2971" s="2"/>
      <c r="C2971" s="2"/>
      <c r="D2971" s="2">
        <f>COUNTIF(contact[[#This Row],[Bagossy]:[Szo
03:00 - 10:00]],"=~?")</f>
        <v>0</v>
      </c>
      <c r="E2971" s="2">
        <f>COUNTIF(contact[[#This Row],[Bagossy]:[Szo
03:00 - 10:00]],"=x")</f>
        <v>0</v>
      </c>
      <c r="F2971" s="2">
        <f>SUM(contact[[#This Row],[?]:[x]])</f>
        <v>0</v>
      </c>
      <c r="G29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71" s="2"/>
      <c r="I2971" s="2"/>
      <c r="J2971" s="3" t="s">
        <v>4524</v>
      </c>
      <c r="K2971" s="1" t="s">
        <v>227</v>
      </c>
      <c r="L2971" s="1" t="s">
        <v>2</v>
      </c>
      <c r="M2971" s="1" t="s">
        <v>2</v>
      </c>
      <c r="O2971" s="2"/>
      <c r="P2971" s="2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</row>
    <row r="2972" spans="1:32" s="1" customFormat="1" ht="20.25" customHeight="1" x14ac:dyDescent="0.25">
      <c r="A2972" s="2"/>
      <c r="B2972" s="2"/>
      <c r="C2972" s="2"/>
      <c r="D2972" s="2">
        <f>COUNTIF(contact[[#This Row],[Bagossy]:[Szo
03:00 - 10:00]],"=~?")</f>
        <v>0</v>
      </c>
      <c r="E2972" s="2">
        <f>COUNTIF(contact[[#This Row],[Bagossy]:[Szo
03:00 - 10:00]],"=x")</f>
        <v>0</v>
      </c>
      <c r="F2972" s="2">
        <f>SUM(contact[[#This Row],[?]:[x]])</f>
        <v>0</v>
      </c>
      <c r="G29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72" s="2"/>
      <c r="I2972" s="2"/>
      <c r="J2972" s="3" t="s">
        <v>4525</v>
      </c>
      <c r="K2972" s="1" t="s">
        <v>1884</v>
      </c>
      <c r="L2972" s="1" t="s">
        <v>2</v>
      </c>
      <c r="M2972" s="1" t="s">
        <v>2</v>
      </c>
      <c r="O2972" s="2"/>
      <c r="P2972" s="2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</row>
    <row r="2973" spans="1:32" s="1" customFormat="1" ht="20.25" customHeight="1" x14ac:dyDescent="0.25">
      <c r="A2973" s="2"/>
      <c r="B2973" s="2"/>
      <c r="C2973" s="2"/>
      <c r="D2973" s="2">
        <f>COUNTIF(contact[[#This Row],[Bagossy]:[Szo
03:00 - 10:00]],"=~?")</f>
        <v>0</v>
      </c>
      <c r="E2973" s="2">
        <f>COUNTIF(contact[[#This Row],[Bagossy]:[Szo
03:00 - 10:00]],"=x")</f>
        <v>0</v>
      </c>
      <c r="F2973" s="2">
        <f>SUM(contact[[#This Row],[?]:[x]])</f>
        <v>0</v>
      </c>
      <c r="G29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73" s="3" t="s">
        <v>4145</v>
      </c>
      <c r="K2973" s="1" t="s">
        <v>1293</v>
      </c>
      <c r="L2973" s="1" t="s">
        <v>2</v>
      </c>
      <c r="M2973" s="1" t="s">
        <v>2</v>
      </c>
      <c r="O2973" s="2"/>
      <c r="P2973" s="2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</row>
    <row r="2974" spans="1:32" s="1" customFormat="1" ht="20.25" customHeight="1" x14ac:dyDescent="0.25">
      <c r="A2974" s="2"/>
      <c r="B2974" s="2"/>
      <c r="C2974" s="2"/>
      <c r="D2974" s="2">
        <f>COUNTIF(contact[[#This Row],[Bagossy]:[Szo
03:00 - 10:00]],"=~?")</f>
        <v>0</v>
      </c>
      <c r="E2974" s="2">
        <f>COUNTIF(contact[[#This Row],[Bagossy]:[Szo
03:00 - 10:00]],"=x")</f>
        <v>0</v>
      </c>
      <c r="F2974" s="2">
        <f>SUM(contact[[#This Row],[?]:[x]])</f>
        <v>0</v>
      </c>
      <c r="G29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74" s="3" t="s">
        <v>3501</v>
      </c>
      <c r="K2974" s="1" t="s">
        <v>2</v>
      </c>
      <c r="L2974" s="1" t="s">
        <v>2</v>
      </c>
      <c r="M2974" s="1" t="s">
        <v>2</v>
      </c>
      <c r="O2974" s="2"/>
      <c r="P2974" s="2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</row>
    <row r="2975" spans="1:32" s="1" customFormat="1" ht="20.25" customHeight="1" x14ac:dyDescent="0.25">
      <c r="A2975" s="2"/>
      <c r="B2975" s="2"/>
      <c r="C2975" s="2"/>
      <c r="D2975" s="2">
        <f>COUNTIF(contact[[#This Row],[Bagossy]:[Szo
03:00 - 10:00]],"=~?")</f>
        <v>0</v>
      </c>
      <c r="E2975" s="2">
        <f>COUNTIF(contact[[#This Row],[Bagossy]:[Szo
03:00 - 10:00]],"=x")</f>
        <v>0</v>
      </c>
      <c r="F2975" s="2">
        <f>SUM(contact[[#This Row],[?]:[x]])</f>
        <v>0</v>
      </c>
      <c r="G29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75" s="3" t="s">
        <v>4389</v>
      </c>
      <c r="K2975" s="1" t="s">
        <v>1222</v>
      </c>
      <c r="L2975" s="1" t="s">
        <v>2</v>
      </c>
      <c r="M2975" s="1" t="s">
        <v>2</v>
      </c>
      <c r="O2975" s="2"/>
      <c r="P2975" s="2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</row>
    <row r="2976" spans="1:32" s="1" customFormat="1" ht="20.25" customHeight="1" x14ac:dyDescent="0.25">
      <c r="A2976" s="2"/>
      <c r="B2976" s="2"/>
      <c r="C2976" s="2"/>
      <c r="D2976" s="2">
        <f>COUNTIF(contact[[#This Row],[Bagossy]:[Szo
03:00 - 10:00]],"=~?")</f>
        <v>0</v>
      </c>
      <c r="E2976" s="2">
        <f>COUNTIF(contact[[#This Row],[Bagossy]:[Szo
03:00 - 10:00]],"=x")</f>
        <v>0</v>
      </c>
      <c r="F2976" s="2">
        <f>SUM(contact[[#This Row],[?]:[x]])</f>
        <v>0</v>
      </c>
      <c r="G29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76" s="2"/>
      <c r="I2976" s="2"/>
      <c r="J2976" s="3" t="s">
        <v>4526</v>
      </c>
      <c r="K2976" s="1" t="s">
        <v>1885</v>
      </c>
      <c r="L2976" s="1" t="s">
        <v>2</v>
      </c>
      <c r="M2976" s="1" t="s">
        <v>2</v>
      </c>
      <c r="O2976" s="2"/>
      <c r="P2976" s="2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</row>
    <row r="2977" spans="1:32" s="1" customFormat="1" ht="20.25" customHeight="1" x14ac:dyDescent="0.25">
      <c r="A2977" s="2"/>
      <c r="B2977" s="2"/>
      <c r="C2977" s="2"/>
      <c r="D2977" s="2">
        <f>COUNTIF(contact[[#This Row],[Bagossy]:[Szo
03:00 - 10:00]],"=~?")</f>
        <v>0</v>
      </c>
      <c r="E2977" s="2">
        <f>COUNTIF(contact[[#This Row],[Bagossy]:[Szo
03:00 - 10:00]],"=x")</f>
        <v>0</v>
      </c>
      <c r="F2977" s="2">
        <f>SUM(contact[[#This Row],[?]:[x]])</f>
        <v>0</v>
      </c>
      <c r="G29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77" s="3" t="s">
        <v>3126</v>
      </c>
      <c r="K2977" s="1" t="s">
        <v>2</v>
      </c>
      <c r="L2977" s="1" t="s">
        <v>2</v>
      </c>
      <c r="M2977" s="1" t="s">
        <v>2</v>
      </c>
      <c r="O2977" s="2"/>
      <c r="P2977" s="2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</row>
    <row r="2978" spans="1:32" s="1" customFormat="1" ht="20.25" customHeight="1" x14ac:dyDescent="0.25">
      <c r="A2978" s="2"/>
      <c r="B2978" s="2"/>
      <c r="C2978" s="2"/>
      <c r="D2978" s="2">
        <f>COUNTIF(contact[[#This Row],[Bagossy]:[Szo
03:00 - 10:00]],"=~?")</f>
        <v>0</v>
      </c>
      <c r="E2978" s="2">
        <f>COUNTIF(contact[[#This Row],[Bagossy]:[Szo
03:00 - 10:00]],"=x")</f>
        <v>0</v>
      </c>
      <c r="F2978" s="2">
        <f>SUM(contact[[#This Row],[?]:[x]])</f>
        <v>0</v>
      </c>
      <c r="G29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78" s="2"/>
      <c r="I2978" s="2"/>
      <c r="J2978" s="3" t="s">
        <v>4527</v>
      </c>
      <c r="K2978" s="1" t="s">
        <v>1886</v>
      </c>
      <c r="L2978" s="1" t="s">
        <v>2</v>
      </c>
      <c r="M2978" s="1" t="s">
        <v>2</v>
      </c>
      <c r="O2978" s="2"/>
      <c r="P2978" s="2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</row>
    <row r="2979" spans="1:32" s="1" customFormat="1" ht="20.25" customHeight="1" x14ac:dyDescent="0.25">
      <c r="A2979" s="2"/>
      <c r="B2979" s="2"/>
      <c r="C2979" s="2"/>
      <c r="D2979" s="2">
        <f>COUNTIF(contact[[#This Row],[Bagossy]:[Szo
03:00 - 10:00]],"=~?")</f>
        <v>0</v>
      </c>
      <c r="E2979" s="2">
        <f>COUNTIF(contact[[#This Row],[Bagossy]:[Szo
03:00 - 10:00]],"=x")</f>
        <v>0</v>
      </c>
      <c r="F2979" s="2">
        <f>SUM(contact[[#This Row],[?]:[x]])</f>
        <v>0</v>
      </c>
      <c r="G29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79" s="2"/>
      <c r="I2979" s="2"/>
      <c r="J2979" s="3" t="s">
        <v>4529</v>
      </c>
      <c r="K2979" s="1" t="s">
        <v>1887</v>
      </c>
      <c r="L2979" s="1" t="s">
        <v>2</v>
      </c>
      <c r="M2979" s="1" t="s">
        <v>2</v>
      </c>
      <c r="O2979" s="2"/>
      <c r="P2979" s="2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</row>
    <row r="2980" spans="1:32" s="1" customFormat="1" ht="20.25" customHeight="1" x14ac:dyDescent="0.25">
      <c r="A2980" s="2"/>
      <c r="B2980" s="2"/>
      <c r="C2980" s="2"/>
      <c r="D2980" s="2">
        <f>COUNTIF(contact[[#This Row],[Bagossy]:[Szo
03:00 - 10:00]],"=~?")</f>
        <v>0</v>
      </c>
      <c r="E2980" s="2">
        <f>COUNTIF(contact[[#This Row],[Bagossy]:[Szo
03:00 - 10:00]],"=x")</f>
        <v>0</v>
      </c>
      <c r="F2980" s="2">
        <f>SUM(contact[[#This Row],[?]:[x]])</f>
        <v>0</v>
      </c>
      <c r="G29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0" s="3" t="s">
        <v>3611</v>
      </c>
      <c r="K2980" s="1" t="s">
        <v>2</v>
      </c>
      <c r="L2980" s="1" t="s">
        <v>2</v>
      </c>
      <c r="M2980" s="1" t="s">
        <v>2</v>
      </c>
      <c r="O2980" s="2"/>
      <c r="P2980" s="2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</row>
    <row r="2981" spans="1:32" s="1" customFormat="1" ht="20.25" customHeight="1" x14ac:dyDescent="0.25">
      <c r="A2981" s="2"/>
      <c r="B2981" s="2"/>
      <c r="C2981" s="2"/>
      <c r="D2981" s="2">
        <f>COUNTIF(contact[[#This Row],[Bagossy]:[Szo
03:00 - 10:00]],"=~?")</f>
        <v>0</v>
      </c>
      <c r="E2981" s="2">
        <f>COUNTIF(contact[[#This Row],[Bagossy]:[Szo
03:00 - 10:00]],"=x")</f>
        <v>0</v>
      </c>
      <c r="F2981" s="2">
        <f>SUM(contact[[#This Row],[?]:[x]])</f>
        <v>0</v>
      </c>
      <c r="G29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1" s="3" t="s">
        <v>3512</v>
      </c>
      <c r="K2981" s="1" t="s">
        <v>2</v>
      </c>
      <c r="L2981" s="1" t="s">
        <v>2</v>
      </c>
      <c r="M2981" s="1" t="s">
        <v>2</v>
      </c>
      <c r="O2981" s="2"/>
      <c r="P2981" s="2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</row>
    <row r="2982" spans="1:32" s="1" customFormat="1" ht="20.25" customHeight="1" x14ac:dyDescent="0.25">
      <c r="A2982" s="2"/>
      <c r="B2982" s="2"/>
      <c r="C2982" s="2"/>
      <c r="D2982" s="2">
        <f>COUNTIF(contact[[#This Row],[Bagossy]:[Szo
03:00 - 10:00]],"=~?")</f>
        <v>0</v>
      </c>
      <c r="E2982" s="2">
        <f>COUNTIF(contact[[#This Row],[Bagossy]:[Szo
03:00 - 10:00]],"=x")</f>
        <v>0</v>
      </c>
      <c r="F2982" s="2">
        <f>SUM(contact[[#This Row],[?]:[x]])</f>
        <v>0</v>
      </c>
      <c r="G29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2" s="3" t="s">
        <v>2034</v>
      </c>
      <c r="K2982" s="1" t="s">
        <v>77</v>
      </c>
      <c r="L2982" s="1" t="s">
        <v>2</v>
      </c>
      <c r="M2982" s="1" t="s">
        <v>2</v>
      </c>
      <c r="O2982" s="2"/>
      <c r="P2982" s="2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</row>
    <row r="2983" spans="1:32" s="1" customFormat="1" ht="20.25" customHeight="1" x14ac:dyDescent="0.25">
      <c r="A2983" s="2"/>
      <c r="B2983" s="2"/>
      <c r="C2983" s="2"/>
      <c r="D2983" s="2">
        <f>COUNTIF(contact[[#This Row],[Bagossy]:[Szo
03:00 - 10:00]],"=~?")</f>
        <v>0</v>
      </c>
      <c r="E2983" s="2">
        <f>COUNTIF(contact[[#This Row],[Bagossy]:[Szo
03:00 - 10:00]],"=x")</f>
        <v>0</v>
      </c>
      <c r="F2983" s="2">
        <f>SUM(contact[[#This Row],[?]:[x]])</f>
        <v>0</v>
      </c>
      <c r="G298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3" s="3" t="s">
        <v>2069</v>
      </c>
      <c r="K2983" s="1" t="s">
        <v>2</v>
      </c>
      <c r="L2983" s="1" t="s">
        <v>2</v>
      </c>
      <c r="M2983" s="1" t="s">
        <v>2</v>
      </c>
      <c r="O2983" s="2"/>
      <c r="P2983" s="2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</row>
    <row r="2984" spans="1:32" s="1" customFormat="1" ht="20.25" customHeight="1" x14ac:dyDescent="0.25">
      <c r="A2984" s="2"/>
      <c r="B2984" s="2"/>
      <c r="C2984" s="2"/>
      <c r="D2984" s="2">
        <f>COUNTIF(contact[[#This Row],[Bagossy]:[Szo
03:00 - 10:00]],"=~?")</f>
        <v>0</v>
      </c>
      <c r="E2984" s="2">
        <f>COUNTIF(contact[[#This Row],[Bagossy]:[Szo
03:00 - 10:00]],"=x")</f>
        <v>0</v>
      </c>
      <c r="F2984" s="2">
        <f>SUM(contact[[#This Row],[?]:[x]])</f>
        <v>0</v>
      </c>
      <c r="G298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4" s="3" t="s">
        <v>2218</v>
      </c>
      <c r="K2984" s="1" t="s">
        <v>182</v>
      </c>
      <c r="L2984" s="1" t="s">
        <v>2</v>
      </c>
      <c r="M2984" s="1" t="s">
        <v>2</v>
      </c>
      <c r="O2984" s="2"/>
      <c r="P2984" s="2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</row>
    <row r="2985" spans="1:32" s="1" customFormat="1" ht="20.25" customHeight="1" x14ac:dyDescent="0.25">
      <c r="A2985" s="2"/>
      <c r="B2985" s="2"/>
      <c r="C2985" s="2"/>
      <c r="D2985" s="2">
        <f>COUNTIF(contact[[#This Row],[Bagossy]:[Szo
03:00 - 10:00]],"=~?")</f>
        <v>0</v>
      </c>
      <c r="E2985" s="2">
        <f>COUNTIF(contact[[#This Row],[Bagossy]:[Szo
03:00 - 10:00]],"=x")</f>
        <v>0</v>
      </c>
      <c r="F2985" s="2">
        <f>SUM(contact[[#This Row],[?]:[x]])</f>
        <v>0</v>
      </c>
      <c r="G298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5" s="3" t="s">
        <v>2793</v>
      </c>
      <c r="K2985" s="1" t="s">
        <v>2</v>
      </c>
      <c r="L2985" s="1" t="s">
        <v>2</v>
      </c>
      <c r="M2985" s="1" t="s">
        <v>2</v>
      </c>
      <c r="O2985" s="2"/>
      <c r="P2985" s="2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</row>
    <row r="2986" spans="1:32" s="1" customFormat="1" ht="20.25" customHeight="1" x14ac:dyDescent="0.25">
      <c r="A2986" s="2"/>
      <c r="B2986" s="2"/>
      <c r="C2986" s="2"/>
      <c r="D2986" s="2">
        <f>COUNTIF(contact[[#This Row],[Bagossy]:[Szo
03:00 - 10:00]],"=~?")</f>
        <v>0</v>
      </c>
      <c r="E2986" s="2">
        <f>COUNTIF(contact[[#This Row],[Bagossy]:[Szo
03:00 - 10:00]],"=x")</f>
        <v>0</v>
      </c>
      <c r="F2986" s="2">
        <f>SUM(contact[[#This Row],[?]:[x]])</f>
        <v>0</v>
      </c>
      <c r="G298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86" s="2"/>
      <c r="I2986" s="2"/>
      <c r="J2986" s="3" t="s">
        <v>4530</v>
      </c>
      <c r="K2986" s="1" t="s">
        <v>1888</v>
      </c>
      <c r="L2986" s="1" t="s">
        <v>2</v>
      </c>
      <c r="M2986" s="1" t="s">
        <v>2</v>
      </c>
      <c r="O2986" s="2"/>
      <c r="P2986" s="2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</row>
    <row r="2987" spans="1:32" s="1" customFormat="1" ht="20.25" customHeight="1" x14ac:dyDescent="0.25">
      <c r="A2987" s="2"/>
      <c r="B2987" s="2"/>
      <c r="C2987" s="2"/>
      <c r="D2987" s="2">
        <f>COUNTIF(contact[[#This Row],[Bagossy]:[Szo
03:00 - 10:00]],"=~?")</f>
        <v>0</v>
      </c>
      <c r="E2987" s="2">
        <f>COUNTIF(contact[[#This Row],[Bagossy]:[Szo
03:00 - 10:00]],"=x")</f>
        <v>0</v>
      </c>
      <c r="F2987" s="2">
        <f>SUM(contact[[#This Row],[?]:[x]])</f>
        <v>0</v>
      </c>
      <c r="G298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7" s="3" t="s">
        <v>3513</v>
      </c>
      <c r="K2987" s="1" t="s">
        <v>465</v>
      </c>
      <c r="L2987" s="1" t="s">
        <v>2</v>
      </c>
      <c r="M2987" s="1" t="s">
        <v>2</v>
      </c>
      <c r="O2987" s="2"/>
      <c r="P2987" s="2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</row>
    <row r="2988" spans="1:32" s="1" customFormat="1" ht="20.25" customHeight="1" x14ac:dyDescent="0.25">
      <c r="A2988" s="2"/>
      <c r="B2988" s="2"/>
      <c r="C2988" s="2"/>
      <c r="D2988" s="2">
        <f>COUNTIF(contact[[#This Row],[Bagossy]:[Szo
03:00 - 10:00]],"=~?")</f>
        <v>0</v>
      </c>
      <c r="E2988" s="2">
        <f>COUNTIF(contact[[#This Row],[Bagossy]:[Szo
03:00 - 10:00]],"=x")</f>
        <v>0</v>
      </c>
      <c r="F2988" s="2">
        <f>SUM(contact[[#This Row],[?]:[x]])</f>
        <v>0</v>
      </c>
      <c r="G298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88" s="3" t="s">
        <v>3796</v>
      </c>
      <c r="K2988" s="1" t="s">
        <v>2</v>
      </c>
      <c r="L2988" s="1" t="s">
        <v>2</v>
      </c>
      <c r="M2988" s="1" t="s">
        <v>2</v>
      </c>
      <c r="O2988" s="2"/>
      <c r="P2988" s="2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</row>
    <row r="2989" spans="1:32" s="1" customFormat="1" ht="20.25" customHeight="1" x14ac:dyDescent="0.25">
      <c r="A2989" s="2" t="s">
        <v>1285</v>
      </c>
      <c r="B2989" s="2" t="s">
        <v>1285</v>
      </c>
      <c r="C2989" s="2" t="s">
        <v>1285</v>
      </c>
      <c r="D2989" s="2">
        <f>COUNTIF(contact[[#This Row],[Bagossy]:[Szo
03:00 - 10:00]],"=~?")</f>
        <v>0</v>
      </c>
      <c r="E2989" s="2">
        <f>COUNTIF(contact[[#This Row],[Bagossy]:[Szo
03:00 - 10:00]],"=x")</f>
        <v>0</v>
      </c>
      <c r="F2989" s="2">
        <f>SUM(contact[[#This Row],[?]:[x]])</f>
        <v>0</v>
      </c>
      <c r="G298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89" s="2"/>
      <c r="I2989" s="2"/>
      <c r="J2989" s="3" t="s">
        <v>4533</v>
      </c>
      <c r="K2989" s="1" t="s">
        <v>6</v>
      </c>
      <c r="L2989" s="1" t="s">
        <v>45</v>
      </c>
      <c r="M2989" s="1" t="s">
        <v>1057</v>
      </c>
      <c r="N2989" s="2" t="s">
        <v>4612</v>
      </c>
      <c r="O2989" s="2"/>
      <c r="P2989" s="2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</row>
    <row r="2990" spans="1:32" s="1" customFormat="1" ht="20.25" customHeight="1" x14ac:dyDescent="0.25">
      <c r="A2990" s="2" t="s">
        <v>1285</v>
      </c>
      <c r="B2990" s="2" t="s">
        <v>1285</v>
      </c>
      <c r="C2990" s="2" t="s">
        <v>1285</v>
      </c>
      <c r="D2990" s="2">
        <f>COUNTIF(contact[[#This Row],[Bagossy]:[Szo
03:00 - 10:00]],"=~?")</f>
        <v>0</v>
      </c>
      <c r="E2990" s="2">
        <f>COUNTIF(contact[[#This Row],[Bagossy]:[Szo
03:00 - 10:00]],"=x")</f>
        <v>0</v>
      </c>
      <c r="F2990" s="2">
        <f>SUM(contact[[#This Row],[?]:[x]])</f>
        <v>0</v>
      </c>
      <c r="G299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90" s="2"/>
      <c r="I2990" s="2"/>
      <c r="J2990" s="3" t="s">
        <v>1057</v>
      </c>
      <c r="K2990" s="1" t="s">
        <v>1201</v>
      </c>
      <c r="L2990" s="1" t="s">
        <v>2</v>
      </c>
      <c r="M2990" s="1" t="s">
        <v>2</v>
      </c>
      <c r="N2990" s="2" t="s">
        <v>4612</v>
      </c>
      <c r="O2990" s="2"/>
      <c r="P2990" s="2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</row>
    <row r="2991" spans="1:32" s="1" customFormat="1" ht="20.25" customHeight="1" x14ac:dyDescent="0.25">
      <c r="A2991" s="2"/>
      <c r="B2991" s="2"/>
      <c r="C2991" s="2"/>
      <c r="D2991" s="2">
        <f>COUNTIF(contact[[#This Row],[Bagossy]:[Szo
03:00 - 10:00]],"=~?")</f>
        <v>0</v>
      </c>
      <c r="E2991" s="2">
        <f>COUNTIF(contact[[#This Row],[Bagossy]:[Szo
03:00 - 10:00]],"=x")</f>
        <v>0</v>
      </c>
      <c r="F2991" s="2">
        <f>SUM(contact[[#This Row],[?]:[x]])</f>
        <v>0</v>
      </c>
      <c r="G299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1" s="3" t="s">
        <v>4500</v>
      </c>
      <c r="K2991" s="1" t="s">
        <v>2</v>
      </c>
      <c r="L2991" s="1" t="s">
        <v>2</v>
      </c>
      <c r="M2991" s="1" t="s">
        <v>2</v>
      </c>
      <c r="O2991" s="2"/>
      <c r="P2991" s="2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</row>
    <row r="2992" spans="1:32" s="1" customFormat="1" ht="20.25" customHeight="1" x14ac:dyDescent="0.25">
      <c r="A2992" s="2"/>
      <c r="B2992" s="2"/>
      <c r="C2992" s="2"/>
      <c r="D2992" s="2">
        <f>COUNTIF(contact[[#This Row],[Bagossy]:[Szo
03:00 - 10:00]],"=~?")</f>
        <v>0</v>
      </c>
      <c r="E2992" s="2">
        <f>COUNTIF(contact[[#This Row],[Bagossy]:[Szo
03:00 - 10:00]],"=x")</f>
        <v>0</v>
      </c>
      <c r="F2992" s="2">
        <f>SUM(contact[[#This Row],[?]:[x]])</f>
        <v>0</v>
      </c>
      <c r="G299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2" s="3" t="s">
        <v>4390</v>
      </c>
      <c r="K2992" s="1" t="s">
        <v>1374</v>
      </c>
      <c r="L2992" s="1" t="s">
        <v>2</v>
      </c>
      <c r="M2992" s="1" t="s">
        <v>2</v>
      </c>
      <c r="O2992" s="2"/>
      <c r="P2992" s="2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</row>
    <row r="2993" spans="1:32" s="1" customFormat="1" ht="20.25" customHeight="1" x14ac:dyDescent="0.25">
      <c r="A2993" s="2"/>
      <c r="B2993" s="2"/>
      <c r="C2993" s="2"/>
      <c r="D2993" s="2">
        <f>COUNTIF(contact[[#This Row],[Bagossy]:[Szo
03:00 - 10:00]],"=~?")</f>
        <v>0</v>
      </c>
      <c r="E2993" s="2">
        <f>COUNTIF(contact[[#This Row],[Bagossy]:[Szo
03:00 - 10:00]],"=x")</f>
        <v>0</v>
      </c>
      <c r="F2993" s="2">
        <f>SUM(contact[[#This Row],[?]:[x]])</f>
        <v>0</v>
      </c>
      <c r="G299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3" s="3" t="s">
        <v>2512</v>
      </c>
      <c r="K2993" s="1" t="s">
        <v>1327</v>
      </c>
      <c r="L2993" s="1" t="s">
        <v>2</v>
      </c>
      <c r="M2993" s="1" t="s">
        <v>2</v>
      </c>
      <c r="O2993" s="2"/>
      <c r="P2993" s="2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</row>
    <row r="2994" spans="1:32" s="1" customFormat="1" ht="20.25" customHeight="1" x14ac:dyDescent="0.25">
      <c r="A2994" s="2"/>
      <c r="B2994" s="2"/>
      <c r="C2994" s="2"/>
      <c r="D2994" s="2">
        <f>COUNTIF(contact[[#This Row],[Bagossy]:[Szo
03:00 - 10:00]],"=~?")</f>
        <v>0</v>
      </c>
      <c r="E2994" s="2">
        <f>COUNTIF(contact[[#This Row],[Bagossy]:[Szo
03:00 - 10:00]],"=x")</f>
        <v>0</v>
      </c>
      <c r="F2994" s="2">
        <f>SUM(contact[[#This Row],[?]:[x]])</f>
        <v>0</v>
      </c>
      <c r="G299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94" s="2"/>
      <c r="I2994" s="2"/>
      <c r="J2994" s="3" t="s">
        <v>4543</v>
      </c>
      <c r="K2994" s="1" t="s">
        <v>305</v>
      </c>
      <c r="L2994" s="1" t="s">
        <v>2</v>
      </c>
      <c r="M2994" s="1" t="s">
        <v>2</v>
      </c>
      <c r="O2994" s="2"/>
      <c r="P2994" s="2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</row>
    <row r="2995" spans="1:32" s="1" customFormat="1" ht="20.25" customHeight="1" x14ac:dyDescent="0.25">
      <c r="A2995" s="2"/>
      <c r="B2995" s="2"/>
      <c r="C2995" s="2"/>
      <c r="D2995" s="2">
        <f>COUNTIF(contact[[#This Row],[Bagossy]:[Szo
03:00 - 10:00]],"=~?")</f>
        <v>0</v>
      </c>
      <c r="E2995" s="2">
        <f>COUNTIF(contact[[#This Row],[Bagossy]:[Szo
03:00 - 10:00]],"=x")</f>
        <v>0</v>
      </c>
      <c r="F2995" s="2">
        <f>SUM(contact[[#This Row],[?]:[x]])</f>
        <v>0</v>
      </c>
      <c r="G299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5" s="3" t="s">
        <v>2627</v>
      </c>
      <c r="K2995" s="1" t="s">
        <v>1303</v>
      </c>
      <c r="L2995" s="1" t="s">
        <v>2</v>
      </c>
      <c r="M2995" s="1" t="s">
        <v>2</v>
      </c>
      <c r="O2995" s="2"/>
      <c r="P2995" s="2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</row>
    <row r="2996" spans="1:32" s="1" customFormat="1" ht="20.25" customHeight="1" x14ac:dyDescent="0.25">
      <c r="A2996" s="2"/>
      <c r="B2996" s="2"/>
      <c r="C2996" s="2"/>
      <c r="D2996" s="2">
        <f>COUNTIF(contact[[#This Row],[Bagossy]:[Szo
03:00 - 10:00]],"=~?")</f>
        <v>0</v>
      </c>
      <c r="E2996" s="2">
        <f>COUNTIF(contact[[#This Row],[Bagossy]:[Szo
03:00 - 10:00]],"=x")</f>
        <v>0</v>
      </c>
      <c r="F2996" s="2">
        <f>SUM(contact[[#This Row],[?]:[x]])</f>
        <v>0</v>
      </c>
      <c r="G299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6" s="3" t="s">
        <v>4175</v>
      </c>
      <c r="K2996" s="1" t="s">
        <v>2</v>
      </c>
      <c r="L2996" s="1" t="s">
        <v>2</v>
      </c>
      <c r="M2996" s="1" t="s">
        <v>2</v>
      </c>
      <c r="O2996" s="2"/>
      <c r="P2996" s="2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</row>
    <row r="2997" spans="1:32" s="1" customFormat="1" ht="20.25" customHeight="1" x14ac:dyDescent="0.25">
      <c r="A2997" s="2"/>
      <c r="B2997" s="2"/>
      <c r="C2997" s="2"/>
      <c r="D2997" s="2">
        <f>COUNTIF(contact[[#This Row],[Bagossy]:[Szo
03:00 - 10:00]],"=~?")</f>
        <v>0</v>
      </c>
      <c r="E2997" s="2">
        <f>COUNTIF(contact[[#This Row],[Bagossy]:[Szo
03:00 - 10:00]],"=x")</f>
        <v>0</v>
      </c>
      <c r="F2997" s="2">
        <f>SUM(contact[[#This Row],[?]:[x]])</f>
        <v>0</v>
      </c>
      <c r="G299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2997" s="2"/>
      <c r="I2997" s="2"/>
      <c r="J2997" s="3" t="s">
        <v>1169</v>
      </c>
      <c r="K2997" s="1" t="s">
        <v>1159</v>
      </c>
      <c r="L2997" s="1" t="s">
        <v>2</v>
      </c>
      <c r="M2997" s="1" t="s">
        <v>2</v>
      </c>
      <c r="O2997" s="2"/>
      <c r="P2997" s="2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</row>
    <row r="2998" spans="1:32" s="1" customFormat="1" ht="20.25" customHeight="1" x14ac:dyDescent="0.25">
      <c r="A2998" s="2"/>
      <c r="B2998" s="2"/>
      <c r="C2998" s="2"/>
      <c r="D2998" s="2">
        <f>COUNTIF(contact[[#This Row],[Bagossy]:[Szo
03:00 - 10:00]],"=~?")</f>
        <v>0</v>
      </c>
      <c r="E2998" s="2">
        <f>COUNTIF(contact[[#This Row],[Bagossy]:[Szo
03:00 - 10:00]],"=x")</f>
        <v>0</v>
      </c>
      <c r="F2998" s="2">
        <f>SUM(contact[[#This Row],[?]:[x]])</f>
        <v>0</v>
      </c>
      <c r="G299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8" s="3" t="s">
        <v>3560</v>
      </c>
      <c r="K2998" s="1" t="s">
        <v>1671</v>
      </c>
      <c r="L2998" s="1" t="s">
        <v>2</v>
      </c>
      <c r="M2998" s="1" t="s">
        <v>2</v>
      </c>
      <c r="O2998" s="2"/>
      <c r="P2998" s="2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</row>
    <row r="2999" spans="1:32" s="1" customFormat="1" ht="20.25" customHeight="1" x14ac:dyDescent="0.25">
      <c r="A2999" s="2"/>
      <c r="B2999" s="2"/>
      <c r="C2999" s="2"/>
      <c r="D2999" s="2">
        <f>COUNTIF(contact[[#This Row],[Bagossy]:[Szo
03:00 - 10:00]],"=~?")</f>
        <v>0</v>
      </c>
      <c r="E2999" s="2">
        <f>COUNTIF(contact[[#This Row],[Bagossy]:[Szo
03:00 - 10:00]],"=x")</f>
        <v>0</v>
      </c>
      <c r="F2999" s="2">
        <f>SUM(contact[[#This Row],[?]:[x]])</f>
        <v>0</v>
      </c>
      <c r="G299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2999" s="3" t="s">
        <v>3828</v>
      </c>
      <c r="K2999" s="1" t="s">
        <v>2</v>
      </c>
      <c r="L2999" s="1" t="s">
        <v>2</v>
      </c>
      <c r="M2999" s="1" t="s">
        <v>2</v>
      </c>
      <c r="O2999" s="2"/>
      <c r="P2999" s="2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</row>
    <row r="3000" spans="1:32" s="1" customFormat="1" ht="20.25" customHeight="1" x14ac:dyDescent="0.25">
      <c r="A3000" s="2"/>
      <c r="B3000" s="2"/>
      <c r="C3000" s="2"/>
      <c r="D3000" s="2">
        <f>COUNTIF(contact[[#This Row],[Bagossy]:[Szo
03:00 - 10:00]],"=~?")</f>
        <v>0</v>
      </c>
      <c r="E3000" s="2">
        <f>COUNTIF(contact[[#This Row],[Bagossy]:[Szo
03:00 - 10:00]],"=x")</f>
        <v>0</v>
      </c>
      <c r="F3000" s="2">
        <f>SUM(contact[[#This Row],[?]:[x]])</f>
        <v>0</v>
      </c>
      <c r="G300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0" s="3" t="s">
        <v>2346</v>
      </c>
      <c r="K3000" s="1" t="s">
        <v>1396</v>
      </c>
      <c r="L3000" s="1" t="s">
        <v>2</v>
      </c>
      <c r="M3000" s="1" t="s">
        <v>2</v>
      </c>
      <c r="O3000" s="2"/>
      <c r="P3000" s="2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</row>
    <row r="3001" spans="1:32" s="1" customFormat="1" ht="20.25" customHeight="1" x14ac:dyDescent="0.25">
      <c r="A3001" s="2"/>
      <c r="B3001" s="2"/>
      <c r="C3001" s="2"/>
      <c r="D3001" s="2">
        <f>COUNTIF(contact[[#This Row],[Bagossy]:[Szo
03:00 - 10:00]],"=~?")</f>
        <v>0</v>
      </c>
      <c r="E3001" s="2">
        <f>COUNTIF(contact[[#This Row],[Bagossy]:[Szo
03:00 - 10:00]],"=x")</f>
        <v>0</v>
      </c>
      <c r="F3001" s="2">
        <f>SUM(contact[[#This Row],[?]:[x]])</f>
        <v>0</v>
      </c>
      <c r="G300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1" s="3" t="s">
        <v>1209</v>
      </c>
      <c r="K3001" s="1" t="s">
        <v>2</v>
      </c>
      <c r="L3001" s="1" t="s">
        <v>2</v>
      </c>
      <c r="M3001" s="1" t="s">
        <v>2</v>
      </c>
      <c r="O3001" s="2"/>
      <c r="P3001" s="2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</row>
    <row r="3002" spans="1:32" s="1" customFormat="1" ht="20.25" customHeight="1" x14ac:dyDescent="0.25">
      <c r="A3002" s="2"/>
      <c r="B3002" s="2"/>
      <c r="C3002" s="2"/>
      <c r="D3002" s="2">
        <f>COUNTIF(contact[[#This Row],[Bagossy]:[Szo
03:00 - 10:00]],"=~?")</f>
        <v>0</v>
      </c>
      <c r="E3002" s="2">
        <f>COUNTIF(contact[[#This Row],[Bagossy]:[Szo
03:00 - 10:00]],"=x")</f>
        <v>0</v>
      </c>
      <c r="F3002" s="2">
        <f>SUM(contact[[#This Row],[?]:[x]])</f>
        <v>0</v>
      </c>
      <c r="G300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2" s="3" t="s">
        <v>3185</v>
      </c>
      <c r="K3002" s="1" t="s">
        <v>680</v>
      </c>
      <c r="L3002" s="1" t="s">
        <v>2</v>
      </c>
      <c r="M3002" s="1" t="s">
        <v>2</v>
      </c>
      <c r="O3002" s="2"/>
      <c r="P3002" s="2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</row>
    <row r="3003" spans="1:32" s="1" customFormat="1" ht="20.25" customHeight="1" x14ac:dyDescent="0.25">
      <c r="A3003" s="2"/>
      <c r="B3003" s="2"/>
      <c r="C3003" s="2"/>
      <c r="D3003" s="2">
        <f>COUNTIF(contact[[#This Row],[Bagossy]:[Szo
03:00 - 10:00]],"=~?")</f>
        <v>0</v>
      </c>
      <c r="E3003" s="2">
        <f>COUNTIF(contact[[#This Row],[Bagossy]:[Szo
03:00 - 10:00]],"=x")</f>
        <v>0</v>
      </c>
      <c r="F3003" s="2">
        <f>SUM(contact[[#This Row],[?]:[x]])</f>
        <v>0</v>
      </c>
      <c r="G300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3" s="3" t="s">
        <v>2158</v>
      </c>
      <c r="K3003" s="1" t="s">
        <v>1351</v>
      </c>
      <c r="L3003" s="1" t="s">
        <v>2</v>
      </c>
      <c r="M3003" s="1" t="s">
        <v>2</v>
      </c>
      <c r="O3003" s="2"/>
      <c r="P3003" s="2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</row>
    <row r="3004" spans="1:32" s="1" customFormat="1" ht="20.25" customHeight="1" x14ac:dyDescent="0.25">
      <c r="A3004" s="2"/>
      <c r="B3004" s="2"/>
      <c r="C3004" s="2"/>
      <c r="D3004" s="2">
        <f>COUNTIF(contact[[#This Row],[Bagossy]:[Szo
03:00 - 10:00]],"=~?")</f>
        <v>0</v>
      </c>
      <c r="E3004" s="2">
        <f>COUNTIF(contact[[#This Row],[Bagossy]:[Szo
03:00 - 10:00]],"=x")</f>
        <v>0</v>
      </c>
      <c r="F3004" s="2">
        <f>SUM(contact[[#This Row],[?]:[x]])</f>
        <v>0</v>
      </c>
      <c r="G300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4" s="3" t="s">
        <v>4042</v>
      </c>
      <c r="K3004" s="1" t="s">
        <v>2</v>
      </c>
      <c r="L3004" s="1" t="s">
        <v>2</v>
      </c>
      <c r="M3004" s="1" t="s">
        <v>2</v>
      </c>
      <c r="O3004" s="2"/>
      <c r="P3004" s="2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</row>
    <row r="3005" spans="1:32" s="1" customFormat="1" ht="20.25" customHeight="1" x14ac:dyDescent="0.25">
      <c r="A3005" s="2"/>
      <c r="B3005" s="2"/>
      <c r="C3005" s="2"/>
      <c r="D3005" s="2">
        <f>COUNTIF(contact[[#This Row],[Bagossy]:[Szo
03:00 - 10:00]],"=~?")</f>
        <v>0</v>
      </c>
      <c r="E3005" s="2">
        <f>COUNTIF(contact[[#This Row],[Bagossy]:[Szo
03:00 - 10:00]],"=x")</f>
        <v>0</v>
      </c>
      <c r="F3005" s="2">
        <f>SUM(contact[[#This Row],[?]:[x]])</f>
        <v>0</v>
      </c>
      <c r="G300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5" s="3" t="s">
        <v>2381</v>
      </c>
      <c r="K3005" s="1" t="s">
        <v>2</v>
      </c>
      <c r="L3005" s="1" t="s">
        <v>2</v>
      </c>
      <c r="M3005" s="1" t="s">
        <v>2</v>
      </c>
      <c r="O3005" s="2"/>
      <c r="P3005" s="2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</row>
    <row r="3006" spans="1:32" s="1" customFormat="1" ht="20.25" customHeight="1" x14ac:dyDescent="0.25">
      <c r="A3006" s="2" t="s">
        <v>1285</v>
      </c>
      <c r="B3006" s="2" t="s">
        <v>1285</v>
      </c>
      <c r="C3006" s="2" t="s">
        <v>1285</v>
      </c>
      <c r="D3006" s="2">
        <f>COUNTIF(contact[[#This Row],[Bagossy]:[Szo
03:00 - 10:00]],"=~?")</f>
        <v>1</v>
      </c>
      <c r="E3006" s="2">
        <f>COUNTIF(contact[[#This Row],[Bagossy]:[Szo
03:00 - 10:00]],"=x")</f>
        <v>2</v>
      </c>
      <c r="F3006" s="2">
        <f>SUM(contact[[#This Row],[?]:[x]])</f>
        <v>3</v>
      </c>
      <c r="G3006" s="2">
        <f>COUNTIF(contact[[#This Row],[Sze
10:00 - 22:00]:[Cs
03:00 - 08:00]],"=x")+COUNTIF(contact[[#This Row],[P
08:00 - 12:00]:[P
03:00 - 08:00]],"=x")+COUNTIF(contact[[#This Row],[Szo
08:00 - 12:00]:[Szo
03:00 - 10:00]],"=x")</f>
        <v>1</v>
      </c>
      <c r="H3006" s="2" t="s">
        <v>4622</v>
      </c>
      <c r="I3006" s="2" t="s">
        <v>4634</v>
      </c>
      <c r="J3006" s="3" t="s">
        <v>4548</v>
      </c>
      <c r="K3006" s="1" t="s">
        <v>6</v>
      </c>
      <c r="L3006" s="1" t="s">
        <v>2</v>
      </c>
      <c r="M3006" s="1" t="s">
        <v>2</v>
      </c>
      <c r="N3006" s="2" t="s">
        <v>4612</v>
      </c>
      <c r="O3006" s="2" t="s">
        <v>1285</v>
      </c>
      <c r="P3006" s="2"/>
      <c r="Q3006" s="6"/>
      <c r="R3006" s="6"/>
      <c r="S3006" s="6"/>
      <c r="T3006" s="6"/>
      <c r="U3006" s="6" t="s">
        <v>1285</v>
      </c>
      <c r="V3006" s="6"/>
      <c r="W3006" s="6"/>
      <c r="X3006" s="6"/>
      <c r="Y3006" s="6"/>
      <c r="Z3006" s="6"/>
      <c r="AA3006" s="6"/>
      <c r="AB3006" s="6"/>
      <c r="AC3006" s="6"/>
      <c r="AD3006" s="6"/>
      <c r="AE3006" s="6" t="s">
        <v>4616</v>
      </c>
      <c r="AF3006" s="6"/>
    </row>
    <row r="3007" spans="1:32" s="1" customFormat="1" ht="20.25" customHeight="1" x14ac:dyDescent="0.25">
      <c r="A3007" s="2"/>
      <c r="B3007" s="2"/>
      <c r="C3007" s="2"/>
      <c r="D3007" s="2">
        <f>COUNTIF(contact[[#This Row],[Bagossy]:[Szo
03:00 - 10:00]],"=~?")</f>
        <v>0</v>
      </c>
      <c r="E3007" s="2">
        <f>COUNTIF(contact[[#This Row],[Bagossy]:[Szo
03:00 - 10:00]],"=x")</f>
        <v>0</v>
      </c>
      <c r="F3007" s="2">
        <f>SUM(contact[[#This Row],[?]:[x]])</f>
        <v>0</v>
      </c>
      <c r="G300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7" s="3" t="s">
        <v>2366</v>
      </c>
      <c r="K3007" s="1" t="s">
        <v>266</v>
      </c>
      <c r="L3007" s="1" t="s">
        <v>2</v>
      </c>
      <c r="M3007" s="1" t="s">
        <v>2</v>
      </c>
      <c r="O3007" s="2"/>
      <c r="P3007" s="2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</row>
    <row r="3008" spans="1:32" s="1" customFormat="1" ht="20.25" customHeight="1" x14ac:dyDescent="0.25">
      <c r="A3008" s="2"/>
      <c r="B3008" s="2"/>
      <c r="C3008" s="2"/>
      <c r="D3008" s="2">
        <f>COUNTIF(contact[[#This Row],[Bagossy]:[Szo
03:00 - 10:00]],"=~?")</f>
        <v>0</v>
      </c>
      <c r="E3008" s="2">
        <f>COUNTIF(contact[[#This Row],[Bagossy]:[Szo
03:00 - 10:00]],"=x")</f>
        <v>0</v>
      </c>
      <c r="F3008" s="2">
        <f>SUM(contact[[#This Row],[?]:[x]])</f>
        <v>0</v>
      </c>
      <c r="G300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8" s="3" t="s">
        <v>2367</v>
      </c>
      <c r="K3008" s="1" t="s">
        <v>268</v>
      </c>
      <c r="L3008" s="1" t="s">
        <v>2</v>
      </c>
      <c r="M3008" s="1" t="s">
        <v>2</v>
      </c>
      <c r="O3008" s="2"/>
      <c r="P3008" s="2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</row>
    <row r="3009" spans="1:32" s="1" customFormat="1" ht="20.25" customHeight="1" x14ac:dyDescent="0.25">
      <c r="A3009" s="2"/>
      <c r="B3009" s="2"/>
      <c r="C3009" s="2"/>
      <c r="D3009" s="2">
        <f>COUNTIF(contact[[#This Row],[Bagossy]:[Szo
03:00 - 10:00]],"=~?")</f>
        <v>0</v>
      </c>
      <c r="E3009" s="2">
        <f>COUNTIF(contact[[#This Row],[Bagossy]:[Szo
03:00 - 10:00]],"=x")</f>
        <v>0</v>
      </c>
      <c r="F3009" s="2">
        <f>SUM(contact[[#This Row],[?]:[x]])</f>
        <v>0</v>
      </c>
      <c r="G300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09" s="3" t="s">
        <v>2551</v>
      </c>
      <c r="K3009" s="1" t="s">
        <v>2</v>
      </c>
      <c r="L3009" s="1" t="s">
        <v>2</v>
      </c>
      <c r="M3009" s="1" t="s">
        <v>2</v>
      </c>
      <c r="O3009" s="2"/>
      <c r="P3009" s="2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</row>
    <row r="3010" spans="1:32" s="1" customFormat="1" ht="20.25" customHeight="1" x14ac:dyDescent="0.25">
      <c r="A3010" s="2"/>
      <c r="B3010" s="2"/>
      <c r="C3010" s="2"/>
      <c r="D3010" s="2">
        <f>COUNTIF(contact[[#This Row],[Bagossy]:[Szo
03:00 - 10:00]],"=~?")</f>
        <v>0</v>
      </c>
      <c r="E3010" s="2">
        <f>COUNTIF(contact[[#This Row],[Bagossy]:[Szo
03:00 - 10:00]],"=x")</f>
        <v>0</v>
      </c>
      <c r="F3010" s="2">
        <f>SUM(contact[[#This Row],[?]:[x]])</f>
        <v>0</v>
      </c>
      <c r="G301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0" s="3" t="s">
        <v>4167</v>
      </c>
      <c r="K3010" s="1" t="s">
        <v>1801</v>
      </c>
      <c r="L3010" s="1" t="s">
        <v>2</v>
      </c>
      <c r="M3010" s="1" t="s">
        <v>2</v>
      </c>
      <c r="O3010" s="2"/>
      <c r="P3010" s="2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</row>
    <row r="3011" spans="1:32" s="1" customFormat="1" ht="20.25" customHeight="1" x14ac:dyDescent="0.25">
      <c r="A3011" s="2"/>
      <c r="B3011" s="2"/>
      <c r="C3011" s="2"/>
      <c r="D3011" s="2">
        <f>COUNTIF(contact[[#This Row],[Bagossy]:[Szo
03:00 - 10:00]],"=~?")</f>
        <v>0</v>
      </c>
      <c r="E3011" s="2">
        <f>COUNTIF(contact[[#This Row],[Bagossy]:[Szo
03:00 - 10:00]],"=x")</f>
        <v>0</v>
      </c>
      <c r="F3011" s="2">
        <f>SUM(contact[[#This Row],[?]:[x]])</f>
        <v>0</v>
      </c>
      <c r="G301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1" s="3" t="s">
        <v>2133</v>
      </c>
      <c r="K3011" s="1" t="s">
        <v>1343</v>
      </c>
      <c r="L3011" s="1" t="s">
        <v>2</v>
      </c>
      <c r="M3011" s="1" t="s">
        <v>2</v>
      </c>
      <c r="O3011" s="2"/>
      <c r="P3011" s="2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</row>
    <row r="3012" spans="1:32" s="1" customFormat="1" ht="20.25" customHeight="1" x14ac:dyDescent="0.25">
      <c r="A3012" s="2"/>
      <c r="B3012" s="2"/>
      <c r="C3012" s="2"/>
      <c r="D3012" s="2">
        <f>COUNTIF(contact[[#This Row],[Bagossy]:[Szo
03:00 - 10:00]],"=~?")</f>
        <v>0</v>
      </c>
      <c r="E3012" s="2">
        <f>COUNTIF(contact[[#This Row],[Bagossy]:[Szo
03:00 - 10:00]],"=x")</f>
        <v>0</v>
      </c>
      <c r="F3012" s="2">
        <f>SUM(contact[[#This Row],[?]:[x]])</f>
        <v>0</v>
      </c>
      <c r="G301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2" s="3" t="s">
        <v>4511</v>
      </c>
      <c r="K3012" s="1" t="s">
        <v>2</v>
      </c>
      <c r="L3012" s="1" t="s">
        <v>2</v>
      </c>
      <c r="M3012" s="1" t="s">
        <v>2</v>
      </c>
      <c r="O3012" s="2"/>
      <c r="P3012" s="2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</row>
    <row r="3013" spans="1:32" s="1" customFormat="1" ht="20.25" customHeight="1" x14ac:dyDescent="0.25">
      <c r="A3013" s="2"/>
      <c r="B3013" s="2"/>
      <c r="C3013" s="2"/>
      <c r="D3013" s="2">
        <f>COUNTIF(contact[[#This Row],[Bagossy]:[Szo
03:00 - 10:00]],"=~?")</f>
        <v>0</v>
      </c>
      <c r="E3013" s="2">
        <f>COUNTIF(contact[[#This Row],[Bagossy]:[Szo
03:00 - 10:00]],"=x")</f>
        <v>0</v>
      </c>
      <c r="F3013" s="2">
        <f>SUM(contact[[#This Row],[?]:[x]])</f>
        <v>0</v>
      </c>
      <c r="G301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3" s="3" t="s">
        <v>3429</v>
      </c>
      <c r="K3013" s="1" t="s">
        <v>2</v>
      </c>
      <c r="L3013" s="1" t="s">
        <v>2</v>
      </c>
      <c r="M3013" s="1" t="s">
        <v>2</v>
      </c>
      <c r="O3013" s="2"/>
      <c r="P3013" s="2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</row>
    <row r="3014" spans="1:32" s="1" customFormat="1" ht="20.25" customHeight="1" x14ac:dyDescent="0.25">
      <c r="A3014" s="2"/>
      <c r="B3014" s="2"/>
      <c r="C3014" s="2"/>
      <c r="D3014" s="2">
        <f>COUNTIF(contact[[#This Row],[Bagossy]:[Szo
03:00 - 10:00]],"=~?")</f>
        <v>0</v>
      </c>
      <c r="E3014" s="2">
        <f>COUNTIF(contact[[#This Row],[Bagossy]:[Szo
03:00 - 10:00]],"=x")</f>
        <v>0</v>
      </c>
      <c r="F3014" s="2">
        <f>SUM(contact[[#This Row],[?]:[x]])</f>
        <v>0</v>
      </c>
      <c r="G301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4" s="3" t="s">
        <v>3953</v>
      </c>
      <c r="K3014" s="1" t="s">
        <v>1293</v>
      </c>
      <c r="L3014" s="1" t="s">
        <v>2</v>
      </c>
      <c r="M3014" s="1" t="s">
        <v>2</v>
      </c>
      <c r="O3014" s="2"/>
      <c r="P3014" s="2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</row>
    <row r="3015" spans="1:32" s="1" customFormat="1" ht="20.25" customHeight="1" x14ac:dyDescent="0.25">
      <c r="A3015" s="2"/>
      <c r="B3015" s="2"/>
      <c r="C3015" s="2"/>
      <c r="D3015" s="2">
        <f>COUNTIF(contact[[#This Row],[Bagossy]:[Szo
03:00 - 10:00]],"=~?")</f>
        <v>0</v>
      </c>
      <c r="E3015" s="2">
        <f>COUNTIF(contact[[#This Row],[Bagossy]:[Szo
03:00 - 10:00]],"=x")</f>
        <v>0</v>
      </c>
      <c r="F3015" s="2">
        <f>SUM(contact[[#This Row],[?]:[x]])</f>
        <v>0</v>
      </c>
      <c r="G301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5" s="3" t="s">
        <v>4426</v>
      </c>
      <c r="K3015" s="1" t="s">
        <v>2</v>
      </c>
      <c r="L3015" s="1" t="s">
        <v>2</v>
      </c>
      <c r="M3015" s="1" t="s">
        <v>2</v>
      </c>
      <c r="O3015" s="2"/>
      <c r="P3015" s="2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</row>
    <row r="3016" spans="1:32" s="1" customFormat="1" ht="20.25" customHeight="1" x14ac:dyDescent="0.25">
      <c r="A3016" s="2"/>
      <c r="B3016" s="2"/>
      <c r="C3016" s="2"/>
      <c r="D3016" s="2">
        <f>COUNTIF(contact[[#This Row],[Bagossy]:[Szo
03:00 - 10:00]],"=~?")</f>
        <v>0</v>
      </c>
      <c r="E3016" s="2">
        <f>COUNTIF(contact[[#This Row],[Bagossy]:[Szo
03:00 - 10:00]],"=x")</f>
        <v>0</v>
      </c>
      <c r="F3016" s="2">
        <f>SUM(contact[[#This Row],[?]:[x]])</f>
        <v>0</v>
      </c>
      <c r="G301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6" s="3" t="s">
        <v>2686</v>
      </c>
      <c r="K3016" s="1" t="s">
        <v>444</v>
      </c>
      <c r="L3016" s="1" t="s">
        <v>2</v>
      </c>
      <c r="M3016" s="1" t="s">
        <v>2</v>
      </c>
      <c r="O3016" s="2"/>
      <c r="P3016" s="2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</row>
    <row r="3017" spans="1:32" s="1" customFormat="1" ht="20.25" customHeight="1" x14ac:dyDescent="0.25">
      <c r="A3017" s="2"/>
      <c r="B3017" s="2"/>
      <c r="C3017" s="2"/>
      <c r="D3017" s="2">
        <f>COUNTIF(contact[[#This Row],[Bagossy]:[Szo
03:00 - 10:00]],"=~?")</f>
        <v>0</v>
      </c>
      <c r="E3017" s="2">
        <f>COUNTIF(contact[[#This Row],[Bagossy]:[Szo
03:00 - 10:00]],"=x")</f>
        <v>0</v>
      </c>
      <c r="F3017" s="2">
        <f>SUM(contact[[#This Row],[?]:[x]])</f>
        <v>0</v>
      </c>
      <c r="G301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7" s="3" t="s">
        <v>2667</v>
      </c>
      <c r="K3017" s="1" t="s">
        <v>2</v>
      </c>
      <c r="L3017" s="1" t="s">
        <v>2</v>
      </c>
      <c r="M3017" s="1" t="s">
        <v>2</v>
      </c>
      <c r="O3017" s="2"/>
      <c r="P3017" s="2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</row>
    <row r="3018" spans="1:32" s="1" customFormat="1" ht="20.25" customHeight="1" x14ac:dyDescent="0.25">
      <c r="A3018" s="2"/>
      <c r="B3018" s="2"/>
      <c r="C3018" s="2"/>
      <c r="D3018" s="2">
        <f>COUNTIF(contact[[#This Row],[Bagossy]:[Szo
03:00 - 10:00]],"=~?")</f>
        <v>0</v>
      </c>
      <c r="E3018" s="2">
        <f>COUNTIF(contact[[#This Row],[Bagossy]:[Szo
03:00 - 10:00]],"=x")</f>
        <v>0</v>
      </c>
      <c r="F3018" s="2">
        <f>SUM(contact[[#This Row],[?]:[x]])</f>
        <v>0</v>
      </c>
      <c r="G301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18" s="3" t="s">
        <v>3502</v>
      </c>
      <c r="K3018" s="1" t="s">
        <v>198</v>
      </c>
      <c r="L3018" s="1" t="s">
        <v>2</v>
      </c>
      <c r="M3018" s="1" t="s">
        <v>2</v>
      </c>
      <c r="O3018" s="2"/>
      <c r="P3018" s="2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</row>
    <row r="3019" spans="1:32" s="1" customFormat="1" ht="20.25" customHeight="1" x14ac:dyDescent="0.25">
      <c r="A3019" s="2" t="s">
        <v>1285</v>
      </c>
      <c r="B3019" s="2" t="s">
        <v>1285</v>
      </c>
      <c r="C3019" s="2" t="s">
        <v>1285</v>
      </c>
      <c r="D3019" s="2">
        <f>COUNTIF(contact[[#This Row],[Bagossy]:[Szo
03:00 - 10:00]],"=~?")</f>
        <v>0</v>
      </c>
      <c r="E3019" s="2">
        <f>COUNTIF(contact[[#This Row],[Bagossy]:[Szo
03:00 - 10:00]],"=x")</f>
        <v>2</v>
      </c>
      <c r="F3019" s="2">
        <f>SUM(contact[[#This Row],[?]:[x]])</f>
        <v>2</v>
      </c>
      <c r="G3019" s="2">
        <f>COUNTIF(contact[[#This Row],[Sze
10:00 - 22:00]:[Cs
03:00 - 08:00]],"=x")+COUNTIF(contact[[#This Row],[P
08:00 - 12:00]:[P
03:00 - 08:00]],"=x")+COUNTIF(contact[[#This Row],[Szo
08:00 - 12:00]:[Szo
03:00 - 10:00]],"=x")</f>
        <v>1</v>
      </c>
      <c r="H3019" s="2" t="s">
        <v>4620</v>
      </c>
      <c r="I3019" s="2"/>
      <c r="J3019" s="3" t="s">
        <v>4549</v>
      </c>
      <c r="K3019" s="1" t="s">
        <v>1389</v>
      </c>
      <c r="L3019" s="1" t="s">
        <v>2</v>
      </c>
      <c r="M3019" s="1" t="s">
        <v>2</v>
      </c>
      <c r="N3019" s="2" t="s">
        <v>4612</v>
      </c>
      <c r="O3019" s="2" t="s">
        <v>1285</v>
      </c>
      <c r="P3019" s="2"/>
      <c r="Q3019" s="6"/>
      <c r="R3019" s="6" t="s">
        <v>1285</v>
      </c>
      <c r="S3019" s="6"/>
      <c r="T3019" s="6"/>
      <c r="U3019" s="6"/>
      <c r="V3019" s="6"/>
      <c r="W3019" s="8"/>
      <c r="X3019" s="6"/>
      <c r="Y3019" s="6"/>
      <c r="Z3019" s="6"/>
      <c r="AA3019" s="6"/>
      <c r="AB3019" s="6"/>
      <c r="AC3019" s="6"/>
      <c r="AD3019" s="6"/>
      <c r="AE3019" s="6"/>
      <c r="AF3019" s="6"/>
    </row>
    <row r="3020" spans="1:32" s="1" customFormat="1" ht="20.25" customHeight="1" x14ac:dyDescent="0.25">
      <c r="A3020" s="2"/>
      <c r="B3020" s="2"/>
      <c r="C3020" s="2"/>
      <c r="D3020" s="2">
        <f>COUNTIF(contact[[#This Row],[Bagossy]:[Szo
03:00 - 10:00]],"=~?")</f>
        <v>0</v>
      </c>
      <c r="E3020" s="2">
        <f>COUNTIF(contact[[#This Row],[Bagossy]:[Szo
03:00 - 10:00]],"=x")</f>
        <v>0</v>
      </c>
      <c r="F3020" s="2">
        <f>SUM(contact[[#This Row],[?]:[x]])</f>
        <v>0</v>
      </c>
      <c r="G302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0" s="3" t="s">
        <v>2517</v>
      </c>
      <c r="K3020" s="1" t="s">
        <v>2</v>
      </c>
      <c r="L3020" s="1" t="s">
        <v>2</v>
      </c>
      <c r="M3020" s="1" t="s">
        <v>2</v>
      </c>
      <c r="O3020" s="2"/>
      <c r="P3020" s="2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</row>
    <row r="3021" spans="1:32" s="1" customFormat="1" ht="20.25" customHeight="1" x14ac:dyDescent="0.25">
      <c r="A3021" s="2"/>
      <c r="B3021" s="2"/>
      <c r="C3021" s="2"/>
      <c r="D3021" s="2">
        <f>COUNTIF(contact[[#This Row],[Bagossy]:[Szo
03:00 - 10:00]],"=~?")</f>
        <v>0</v>
      </c>
      <c r="E3021" s="2">
        <f>COUNTIF(contact[[#This Row],[Bagossy]:[Szo
03:00 - 10:00]],"=x")</f>
        <v>0</v>
      </c>
      <c r="F3021" s="2">
        <f>SUM(contact[[#This Row],[?]:[x]])</f>
        <v>0</v>
      </c>
      <c r="G302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1" s="3" t="s">
        <v>4256</v>
      </c>
      <c r="K3021" s="1" t="s">
        <v>1160</v>
      </c>
      <c r="L3021" s="1" t="s">
        <v>2</v>
      </c>
      <c r="M3021" s="1" t="s">
        <v>2</v>
      </c>
      <c r="O3021" s="2"/>
      <c r="P3021" s="2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</row>
    <row r="3022" spans="1:32" s="1" customFormat="1" ht="20.25" customHeight="1" x14ac:dyDescent="0.25">
      <c r="A3022" s="2"/>
      <c r="B3022" s="2"/>
      <c r="C3022" s="2"/>
      <c r="D3022" s="2">
        <f>COUNTIF(contact[[#This Row],[Bagossy]:[Szo
03:00 - 10:00]],"=~?")</f>
        <v>0</v>
      </c>
      <c r="E3022" s="2">
        <f>COUNTIF(contact[[#This Row],[Bagossy]:[Szo
03:00 - 10:00]],"=x")</f>
        <v>0</v>
      </c>
      <c r="F3022" s="2">
        <f>SUM(contact[[#This Row],[?]:[x]])</f>
        <v>0</v>
      </c>
      <c r="G302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2" s="3" t="s">
        <v>1227</v>
      </c>
      <c r="K3022" s="1" t="s">
        <v>2</v>
      </c>
      <c r="L3022" s="1" t="s">
        <v>2</v>
      </c>
      <c r="M3022" s="1" t="s">
        <v>2</v>
      </c>
      <c r="O3022" s="2"/>
      <c r="P3022" s="2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</row>
    <row r="3023" spans="1:32" s="1" customFormat="1" ht="20.25" customHeight="1" x14ac:dyDescent="0.25">
      <c r="A3023" s="2"/>
      <c r="B3023" s="2"/>
      <c r="C3023" s="2"/>
      <c r="D3023" s="2">
        <f>COUNTIF(contact[[#This Row],[Bagossy]:[Szo
03:00 - 10:00]],"=~?")</f>
        <v>0</v>
      </c>
      <c r="E3023" s="2">
        <f>COUNTIF(contact[[#This Row],[Bagossy]:[Szo
03:00 - 10:00]],"=x")</f>
        <v>0</v>
      </c>
      <c r="F3023" s="2">
        <f>SUM(contact[[#This Row],[?]:[x]])</f>
        <v>0</v>
      </c>
      <c r="G302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3" s="3" t="s">
        <v>2279</v>
      </c>
      <c r="K3023" s="1" t="s">
        <v>225</v>
      </c>
      <c r="L3023" s="1" t="s">
        <v>2</v>
      </c>
      <c r="M3023" s="1" t="s">
        <v>2</v>
      </c>
      <c r="O3023" s="2"/>
      <c r="P3023" s="2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</row>
    <row r="3024" spans="1:32" s="1" customFormat="1" ht="20.25" customHeight="1" x14ac:dyDescent="0.25">
      <c r="A3024" s="2"/>
      <c r="B3024" s="2"/>
      <c r="C3024" s="2"/>
      <c r="D3024" s="2">
        <f>COUNTIF(contact[[#This Row],[Bagossy]:[Szo
03:00 - 10:00]],"=~?")</f>
        <v>0</v>
      </c>
      <c r="E3024" s="2">
        <f>COUNTIF(contact[[#This Row],[Bagossy]:[Szo
03:00 - 10:00]],"=x")</f>
        <v>0</v>
      </c>
      <c r="F3024" s="2">
        <f>SUM(contact[[#This Row],[?]:[x]])</f>
        <v>0</v>
      </c>
      <c r="G302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4" s="3" t="s">
        <v>3350</v>
      </c>
      <c r="K3024" s="1" t="s">
        <v>607</v>
      </c>
      <c r="L3024" s="1" t="s">
        <v>2</v>
      </c>
      <c r="M3024" s="1" t="s">
        <v>2</v>
      </c>
      <c r="O3024" s="2"/>
      <c r="P3024" s="2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</row>
    <row r="3025" spans="1:32" s="1" customFormat="1" ht="20.25" customHeight="1" x14ac:dyDescent="0.25">
      <c r="A3025" s="2"/>
      <c r="B3025" s="2"/>
      <c r="C3025" s="2"/>
      <c r="D3025" s="2">
        <f>COUNTIF(contact[[#This Row],[Bagossy]:[Szo
03:00 - 10:00]],"=~?")</f>
        <v>0</v>
      </c>
      <c r="E3025" s="2">
        <f>COUNTIF(contact[[#This Row],[Bagossy]:[Szo
03:00 - 10:00]],"=x")</f>
        <v>0</v>
      </c>
      <c r="F3025" s="2">
        <f>SUM(contact[[#This Row],[?]:[x]])</f>
        <v>0</v>
      </c>
      <c r="G302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5" s="3" t="s">
        <v>2043</v>
      </c>
      <c r="K3025" s="1" t="s">
        <v>78</v>
      </c>
      <c r="L3025" s="1" t="s">
        <v>2</v>
      </c>
      <c r="M3025" s="1" t="s">
        <v>2</v>
      </c>
      <c r="O3025" s="2"/>
      <c r="P3025" s="2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</row>
    <row r="3026" spans="1:32" s="1" customFormat="1" ht="20.25" customHeight="1" x14ac:dyDescent="0.25">
      <c r="A3026" s="2"/>
      <c r="B3026" s="2"/>
      <c r="C3026" s="2"/>
      <c r="D3026" s="2">
        <f>COUNTIF(contact[[#This Row],[Bagossy]:[Szo
03:00 - 10:00]],"=~?")</f>
        <v>0</v>
      </c>
      <c r="E3026" s="2">
        <f>COUNTIF(contact[[#This Row],[Bagossy]:[Szo
03:00 - 10:00]],"=x")</f>
        <v>0</v>
      </c>
      <c r="F3026" s="2">
        <f>SUM(contact[[#This Row],[?]:[x]])</f>
        <v>0</v>
      </c>
      <c r="G302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6" s="3" t="s">
        <v>3682</v>
      </c>
      <c r="K3026" s="1" t="s">
        <v>98</v>
      </c>
      <c r="L3026" s="1" t="s">
        <v>2</v>
      </c>
      <c r="M3026" s="1" t="s">
        <v>2</v>
      </c>
      <c r="O3026" s="2"/>
      <c r="P3026" s="2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</row>
    <row r="3027" spans="1:32" s="1" customFormat="1" ht="20.25" customHeight="1" x14ac:dyDescent="0.25">
      <c r="A3027" s="2"/>
      <c r="B3027" s="2"/>
      <c r="C3027" s="2"/>
      <c r="D3027" s="2">
        <f>COUNTIF(contact[[#This Row],[Bagossy]:[Szo
03:00 - 10:00]],"=~?")</f>
        <v>0</v>
      </c>
      <c r="E3027" s="2">
        <f>COUNTIF(contact[[#This Row],[Bagossy]:[Szo
03:00 - 10:00]],"=x")</f>
        <v>0</v>
      </c>
      <c r="F3027" s="2">
        <f>SUM(contact[[#This Row],[?]:[x]])</f>
        <v>0</v>
      </c>
      <c r="G302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7" s="3" t="s">
        <v>414</v>
      </c>
      <c r="K3027" s="1" t="s">
        <v>2</v>
      </c>
      <c r="L3027" s="1" t="s">
        <v>2</v>
      </c>
      <c r="M3027" s="1" t="s">
        <v>2</v>
      </c>
      <c r="O3027" s="2"/>
      <c r="P3027" s="2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</row>
    <row r="3028" spans="1:32" s="1" customFormat="1" ht="20.25" customHeight="1" x14ac:dyDescent="0.25">
      <c r="A3028" s="2"/>
      <c r="B3028" s="2"/>
      <c r="C3028" s="2"/>
      <c r="D3028" s="2">
        <f>COUNTIF(contact[[#This Row],[Bagossy]:[Szo
03:00 - 10:00]],"=~?")</f>
        <v>0</v>
      </c>
      <c r="E3028" s="2">
        <f>COUNTIF(contact[[#This Row],[Bagossy]:[Szo
03:00 - 10:00]],"=x")</f>
        <v>0</v>
      </c>
      <c r="F3028" s="2">
        <f>SUM(contact[[#This Row],[?]:[x]])</f>
        <v>0</v>
      </c>
      <c r="G302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8" s="3" t="s">
        <v>1234</v>
      </c>
      <c r="K3028" s="1" t="s">
        <v>2</v>
      </c>
      <c r="L3028" s="1" t="s">
        <v>2</v>
      </c>
      <c r="M3028" s="1" t="s">
        <v>2</v>
      </c>
      <c r="O3028" s="2"/>
      <c r="P3028" s="2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</row>
    <row r="3029" spans="1:32" s="1" customFormat="1" ht="20.25" customHeight="1" x14ac:dyDescent="0.25">
      <c r="A3029" s="2"/>
      <c r="B3029" s="2"/>
      <c r="C3029" s="2"/>
      <c r="D3029" s="2">
        <f>COUNTIF(contact[[#This Row],[Bagossy]:[Szo
03:00 - 10:00]],"=~?")</f>
        <v>0</v>
      </c>
      <c r="E3029" s="2">
        <f>COUNTIF(contact[[#This Row],[Bagossy]:[Szo
03:00 - 10:00]],"=x")</f>
        <v>0</v>
      </c>
      <c r="F3029" s="2">
        <f>SUM(contact[[#This Row],[?]:[x]])</f>
        <v>0</v>
      </c>
      <c r="G302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29" s="3" t="s">
        <v>2888</v>
      </c>
      <c r="K3029" s="1" t="s">
        <v>1509</v>
      </c>
      <c r="L3029" s="1" t="s">
        <v>2</v>
      </c>
      <c r="M3029" s="1" t="s">
        <v>2</v>
      </c>
      <c r="O3029" s="2"/>
      <c r="P3029" s="2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</row>
    <row r="3030" spans="1:32" s="1" customFormat="1" ht="20.25" customHeight="1" x14ac:dyDescent="0.25">
      <c r="A3030" s="2"/>
      <c r="B3030" s="2"/>
      <c r="C3030" s="2"/>
      <c r="D3030" s="2">
        <f>COUNTIF(contact[[#This Row],[Bagossy]:[Szo
03:00 - 10:00]],"=~?")</f>
        <v>0</v>
      </c>
      <c r="E3030" s="2">
        <f>COUNTIF(contact[[#This Row],[Bagossy]:[Szo
03:00 - 10:00]],"=x")</f>
        <v>0</v>
      </c>
      <c r="F3030" s="2">
        <f>SUM(contact[[#This Row],[?]:[x]])</f>
        <v>0</v>
      </c>
      <c r="G303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0" s="3" t="s">
        <v>3407</v>
      </c>
      <c r="K3030" s="1" t="s">
        <v>391</v>
      </c>
      <c r="L3030" s="1" t="s">
        <v>2</v>
      </c>
      <c r="M3030" s="1" t="s">
        <v>2</v>
      </c>
      <c r="O3030" s="2"/>
      <c r="P3030" s="2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</row>
    <row r="3031" spans="1:32" s="1" customFormat="1" ht="20.25" customHeight="1" x14ac:dyDescent="0.25">
      <c r="A3031" s="2"/>
      <c r="B3031" s="2"/>
      <c r="C3031" s="2"/>
      <c r="D3031" s="2">
        <f>COUNTIF(contact[[#This Row],[Bagossy]:[Szo
03:00 - 10:00]],"=~?")</f>
        <v>0</v>
      </c>
      <c r="E3031" s="2">
        <f>COUNTIF(contact[[#This Row],[Bagossy]:[Szo
03:00 - 10:00]],"=x")</f>
        <v>0</v>
      </c>
      <c r="F3031" s="2">
        <f>SUM(contact[[#This Row],[?]:[x]])</f>
        <v>0</v>
      </c>
      <c r="G303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1" s="3" t="s">
        <v>2106</v>
      </c>
      <c r="K3031" s="1" t="s">
        <v>2</v>
      </c>
      <c r="L3031" s="1" t="s">
        <v>2</v>
      </c>
      <c r="M3031" s="1" t="s">
        <v>2</v>
      </c>
      <c r="O3031" s="2"/>
      <c r="P3031" s="2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</row>
    <row r="3032" spans="1:32" s="1" customFormat="1" ht="20.25" customHeight="1" x14ac:dyDescent="0.25">
      <c r="A3032" s="2" t="s">
        <v>1285</v>
      </c>
      <c r="B3032" s="2" t="s">
        <v>1285</v>
      </c>
      <c r="C3032" s="2" t="s">
        <v>1285</v>
      </c>
      <c r="D3032" s="2">
        <f>COUNTIF(contact[[#This Row],[Bagossy]:[Szo
03:00 - 10:00]],"=~?")</f>
        <v>1</v>
      </c>
      <c r="E3032" s="2">
        <f>COUNTIF(contact[[#This Row],[Bagossy]:[Szo
03:00 - 10:00]],"=x")</f>
        <v>3</v>
      </c>
      <c r="F3032" s="2">
        <f>SUM(contact[[#This Row],[?]:[x]])</f>
        <v>4</v>
      </c>
      <c r="G3032" s="2">
        <f>COUNTIF(contact[[#This Row],[Sze
10:00 - 22:00]:[Cs
03:00 - 08:00]],"=x")+COUNTIF(contact[[#This Row],[P
08:00 - 12:00]:[P
03:00 - 08:00]],"=x")+COUNTIF(contact[[#This Row],[Szo
08:00 - 12:00]:[Szo
03:00 - 10:00]],"=x")</f>
        <v>2</v>
      </c>
      <c r="H3032" s="2" t="s">
        <v>4623</v>
      </c>
      <c r="I3032" s="2"/>
      <c r="J3032" s="3" t="s">
        <v>4550</v>
      </c>
      <c r="K3032" s="1" t="s">
        <v>1891</v>
      </c>
      <c r="L3032" s="1" t="s">
        <v>2</v>
      </c>
      <c r="M3032" s="1" t="s">
        <v>2</v>
      </c>
      <c r="N3032" s="2" t="s">
        <v>4612</v>
      </c>
      <c r="O3032" s="2" t="s">
        <v>1285</v>
      </c>
      <c r="P3032" s="2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 t="s">
        <v>4616</v>
      </c>
      <c r="AD3032" s="6" t="s">
        <v>1285</v>
      </c>
      <c r="AE3032" s="6" t="s">
        <v>1285</v>
      </c>
      <c r="AF3032" s="6"/>
    </row>
    <row r="3033" spans="1:32" s="1" customFormat="1" ht="20.25" customHeight="1" x14ac:dyDescent="0.25">
      <c r="A3033" s="2"/>
      <c r="B3033" s="2"/>
      <c r="C3033" s="2"/>
      <c r="D3033" s="2">
        <f>COUNTIF(contact[[#This Row],[Bagossy]:[Szo
03:00 - 10:00]],"=~?")</f>
        <v>0</v>
      </c>
      <c r="E3033" s="2">
        <f>COUNTIF(contact[[#This Row],[Bagossy]:[Szo
03:00 - 10:00]],"=x")</f>
        <v>0</v>
      </c>
      <c r="F3033" s="2">
        <f>SUM(contact[[#This Row],[?]:[x]])</f>
        <v>0</v>
      </c>
      <c r="G303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3" s="3" t="s">
        <v>2628</v>
      </c>
      <c r="K3033" s="1" t="s">
        <v>416</v>
      </c>
      <c r="L3033" s="1" t="s">
        <v>2</v>
      </c>
      <c r="M3033" s="1" t="s">
        <v>2</v>
      </c>
      <c r="O3033" s="2"/>
      <c r="P3033" s="2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</row>
    <row r="3034" spans="1:32" s="1" customFormat="1" ht="20.25" customHeight="1" x14ac:dyDescent="0.25">
      <c r="A3034" s="2"/>
      <c r="B3034" s="2"/>
      <c r="C3034" s="2"/>
      <c r="D3034" s="2">
        <f>COUNTIF(contact[[#This Row],[Bagossy]:[Szo
03:00 - 10:00]],"=~?")</f>
        <v>0</v>
      </c>
      <c r="E3034" s="2">
        <f>COUNTIF(contact[[#This Row],[Bagossy]:[Szo
03:00 - 10:00]],"=x")</f>
        <v>0</v>
      </c>
      <c r="F3034" s="2">
        <f>SUM(contact[[#This Row],[?]:[x]])</f>
        <v>0</v>
      </c>
      <c r="G303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4" s="3" t="s">
        <v>3503</v>
      </c>
      <c r="K3034" s="1" t="s">
        <v>1303</v>
      </c>
      <c r="L3034" s="1" t="s">
        <v>2</v>
      </c>
      <c r="M3034" s="1" t="s">
        <v>2</v>
      </c>
      <c r="O3034" s="2"/>
      <c r="P3034" s="2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</row>
    <row r="3035" spans="1:32" s="1" customFormat="1" ht="20.25" customHeight="1" x14ac:dyDescent="0.25">
      <c r="A3035" s="2"/>
      <c r="B3035" s="2"/>
      <c r="C3035" s="2"/>
      <c r="D3035" s="2">
        <f>COUNTIF(contact[[#This Row],[Bagossy]:[Szo
03:00 - 10:00]],"=~?")</f>
        <v>0</v>
      </c>
      <c r="E3035" s="2">
        <f>COUNTIF(contact[[#This Row],[Bagossy]:[Szo
03:00 - 10:00]],"=x")</f>
        <v>0</v>
      </c>
      <c r="F3035" s="2">
        <f>SUM(contact[[#This Row],[?]:[x]])</f>
        <v>0</v>
      </c>
      <c r="G303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35" s="2"/>
      <c r="I3035" s="2"/>
      <c r="J3035" s="3" t="s">
        <v>4556</v>
      </c>
      <c r="K3035" s="1" t="s">
        <v>1892</v>
      </c>
      <c r="L3035" s="1" t="s">
        <v>2</v>
      </c>
      <c r="M3035" s="1" t="s">
        <v>2</v>
      </c>
      <c r="O3035" s="2"/>
      <c r="P3035" s="2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</row>
    <row r="3036" spans="1:32" s="1" customFormat="1" ht="20.25" customHeight="1" x14ac:dyDescent="0.25">
      <c r="A3036" s="2"/>
      <c r="B3036" s="2"/>
      <c r="C3036" s="2"/>
      <c r="D3036" s="2">
        <f>COUNTIF(contact[[#This Row],[Bagossy]:[Szo
03:00 - 10:00]],"=~?")</f>
        <v>0</v>
      </c>
      <c r="E3036" s="2">
        <f>COUNTIF(contact[[#This Row],[Bagossy]:[Szo
03:00 - 10:00]],"=x")</f>
        <v>0</v>
      </c>
      <c r="F3036" s="2">
        <f>SUM(contact[[#This Row],[?]:[x]])</f>
        <v>0</v>
      </c>
      <c r="G303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6" s="3" t="s">
        <v>588</v>
      </c>
      <c r="K3036" s="1" t="s">
        <v>2</v>
      </c>
      <c r="L3036" s="1" t="s">
        <v>2</v>
      </c>
      <c r="M3036" s="1" t="s">
        <v>2</v>
      </c>
      <c r="O3036" s="2"/>
      <c r="P3036" s="2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</row>
    <row r="3037" spans="1:32" s="1" customFormat="1" ht="20.25" customHeight="1" x14ac:dyDescent="0.25">
      <c r="A3037" s="2"/>
      <c r="B3037" s="2"/>
      <c r="C3037" s="2"/>
      <c r="D3037" s="2">
        <f>COUNTIF(contact[[#This Row],[Bagossy]:[Szo
03:00 - 10:00]],"=~?")</f>
        <v>0</v>
      </c>
      <c r="E3037" s="2">
        <f>COUNTIF(contact[[#This Row],[Bagossy]:[Szo
03:00 - 10:00]],"=x")</f>
        <v>0</v>
      </c>
      <c r="F3037" s="2">
        <f>SUM(contact[[#This Row],[?]:[x]])</f>
        <v>0</v>
      </c>
      <c r="G303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7" s="3" t="s">
        <v>2978</v>
      </c>
      <c r="K3037" s="1" t="s">
        <v>1327</v>
      </c>
      <c r="L3037" s="1" t="s">
        <v>2</v>
      </c>
      <c r="M3037" s="1" t="s">
        <v>2</v>
      </c>
      <c r="O3037" s="2"/>
      <c r="P3037" s="2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</row>
    <row r="3038" spans="1:32" s="1" customFormat="1" ht="20.25" customHeight="1" x14ac:dyDescent="0.25">
      <c r="A3038" s="2"/>
      <c r="B3038" s="2"/>
      <c r="C3038" s="2"/>
      <c r="D3038" s="2">
        <f>COUNTIF(contact[[#This Row],[Bagossy]:[Szo
03:00 - 10:00]],"=~?")</f>
        <v>0</v>
      </c>
      <c r="E3038" s="2">
        <f>COUNTIF(contact[[#This Row],[Bagossy]:[Szo
03:00 - 10:00]],"=x")</f>
        <v>0</v>
      </c>
      <c r="F3038" s="2">
        <f>SUM(contact[[#This Row],[?]:[x]])</f>
        <v>0</v>
      </c>
      <c r="G303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8" s="3" t="s">
        <v>1236</v>
      </c>
      <c r="K3038" s="1" t="s">
        <v>483</v>
      </c>
      <c r="L3038" s="1" t="s">
        <v>2</v>
      </c>
      <c r="M3038" s="1" t="s">
        <v>2</v>
      </c>
      <c r="O3038" s="2"/>
      <c r="P3038" s="2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</row>
    <row r="3039" spans="1:32" s="1" customFormat="1" ht="20.25" customHeight="1" x14ac:dyDescent="0.25">
      <c r="A3039" s="2"/>
      <c r="B3039" s="2"/>
      <c r="C3039" s="2"/>
      <c r="D3039" s="2">
        <f>COUNTIF(contact[[#This Row],[Bagossy]:[Szo
03:00 - 10:00]],"=~?")</f>
        <v>0</v>
      </c>
      <c r="E3039" s="2">
        <f>COUNTIF(contact[[#This Row],[Bagossy]:[Szo
03:00 - 10:00]],"=x")</f>
        <v>0</v>
      </c>
      <c r="F3039" s="2">
        <f>SUM(contact[[#This Row],[?]:[x]])</f>
        <v>0</v>
      </c>
      <c r="G303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39" s="3" t="s">
        <v>4099</v>
      </c>
      <c r="K3039" s="1" t="s">
        <v>2</v>
      </c>
      <c r="L3039" s="1" t="s">
        <v>2</v>
      </c>
      <c r="M3039" s="1" t="s">
        <v>2</v>
      </c>
      <c r="O3039" s="2"/>
      <c r="P3039" s="2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</row>
    <row r="3040" spans="1:32" s="1" customFormat="1" ht="20.25" customHeight="1" x14ac:dyDescent="0.25">
      <c r="A3040" s="2"/>
      <c r="B3040" s="2"/>
      <c r="C3040" s="2"/>
      <c r="D3040" s="2">
        <f>COUNTIF(contact[[#This Row],[Bagossy]:[Szo
03:00 - 10:00]],"=~?")</f>
        <v>0</v>
      </c>
      <c r="E3040" s="2">
        <f>COUNTIF(contact[[#This Row],[Bagossy]:[Szo
03:00 - 10:00]],"=x")</f>
        <v>0</v>
      </c>
      <c r="F3040" s="2">
        <f>SUM(contact[[#This Row],[?]:[x]])</f>
        <v>0</v>
      </c>
      <c r="G304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0" s="3" t="s">
        <v>4045</v>
      </c>
      <c r="K3040" s="1" t="s">
        <v>1769</v>
      </c>
      <c r="L3040" s="1" t="s">
        <v>2</v>
      </c>
      <c r="M3040" s="1" t="s">
        <v>2</v>
      </c>
      <c r="O3040" s="2"/>
      <c r="P3040" s="2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</row>
    <row r="3041" spans="1:32" s="1" customFormat="1" ht="20.25" customHeight="1" x14ac:dyDescent="0.25">
      <c r="A3041" s="2"/>
      <c r="B3041" s="2"/>
      <c r="C3041" s="2"/>
      <c r="D3041" s="2">
        <f>COUNTIF(contact[[#This Row],[Bagossy]:[Szo
03:00 - 10:00]],"=~?")</f>
        <v>0</v>
      </c>
      <c r="E3041" s="2">
        <f>COUNTIF(contact[[#This Row],[Bagossy]:[Szo
03:00 - 10:00]],"=x")</f>
        <v>0</v>
      </c>
      <c r="F3041" s="2">
        <f>SUM(contact[[#This Row],[?]:[x]])</f>
        <v>0</v>
      </c>
      <c r="G304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1" s="3" t="s">
        <v>2219</v>
      </c>
      <c r="K3041" s="1" t="s">
        <v>1369</v>
      </c>
      <c r="L3041" s="1" t="s">
        <v>2</v>
      </c>
      <c r="M3041" s="1" t="s">
        <v>2</v>
      </c>
      <c r="O3041" s="2"/>
      <c r="P3041" s="2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</row>
    <row r="3042" spans="1:32" s="1" customFormat="1" ht="20.25" customHeight="1" x14ac:dyDescent="0.25">
      <c r="A3042" s="2"/>
      <c r="B3042" s="2"/>
      <c r="C3042" s="2"/>
      <c r="D3042" s="2">
        <f>COUNTIF(contact[[#This Row],[Bagossy]:[Szo
03:00 - 10:00]],"=~?")</f>
        <v>0</v>
      </c>
      <c r="E3042" s="2">
        <f>COUNTIF(contact[[#This Row],[Bagossy]:[Szo
03:00 - 10:00]],"=x")</f>
        <v>0</v>
      </c>
      <c r="F3042" s="2">
        <f>SUM(contact[[#This Row],[?]:[x]])</f>
        <v>0</v>
      </c>
      <c r="G304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2" s="3" t="s">
        <v>2965</v>
      </c>
      <c r="K3042" s="1" t="s">
        <v>583</v>
      </c>
      <c r="L3042" s="1" t="s">
        <v>2</v>
      </c>
      <c r="M3042" s="1" t="s">
        <v>2</v>
      </c>
      <c r="O3042" s="2"/>
      <c r="P3042" s="2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</row>
    <row r="3043" spans="1:32" s="1" customFormat="1" ht="20.25" customHeight="1" x14ac:dyDescent="0.25">
      <c r="A3043" s="2"/>
      <c r="B3043" s="2"/>
      <c r="C3043" s="2"/>
      <c r="D3043" s="2">
        <f>COUNTIF(contact[[#This Row],[Bagossy]:[Szo
03:00 - 10:00]],"=~?")</f>
        <v>0</v>
      </c>
      <c r="E3043" s="2">
        <f>COUNTIF(contact[[#This Row],[Bagossy]:[Szo
03:00 - 10:00]],"=x")</f>
        <v>0</v>
      </c>
      <c r="F3043" s="2">
        <f>SUM(contact[[#This Row],[?]:[x]])</f>
        <v>0</v>
      </c>
      <c r="G304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3" s="3" t="s">
        <v>3295</v>
      </c>
      <c r="K3043" s="1" t="s">
        <v>741</v>
      </c>
      <c r="L3043" s="1" t="s">
        <v>2</v>
      </c>
      <c r="M3043" s="1" t="s">
        <v>2</v>
      </c>
      <c r="O3043" s="2"/>
      <c r="P3043" s="2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</row>
    <row r="3044" spans="1:32" s="1" customFormat="1" ht="20.25" customHeight="1" x14ac:dyDescent="0.25">
      <c r="A3044" s="2"/>
      <c r="B3044" s="2"/>
      <c r="C3044" s="2"/>
      <c r="D3044" s="2">
        <f>COUNTIF(contact[[#This Row],[Bagossy]:[Szo
03:00 - 10:00]],"=~?")</f>
        <v>0</v>
      </c>
      <c r="E3044" s="2">
        <f>COUNTIF(contact[[#This Row],[Bagossy]:[Szo
03:00 - 10:00]],"=x")</f>
        <v>0</v>
      </c>
      <c r="F3044" s="2">
        <f>SUM(contact[[#This Row],[?]:[x]])</f>
        <v>0</v>
      </c>
      <c r="G304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4" s="3" t="s">
        <v>2277</v>
      </c>
      <c r="K3044" s="1" t="s">
        <v>1381</v>
      </c>
      <c r="L3044" s="1" t="s">
        <v>2</v>
      </c>
      <c r="M3044" s="1" t="s">
        <v>2</v>
      </c>
      <c r="O3044" s="2"/>
      <c r="P3044" s="2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</row>
    <row r="3045" spans="1:32" s="1" customFormat="1" ht="20.25" customHeight="1" x14ac:dyDescent="0.25">
      <c r="A3045" s="2"/>
      <c r="B3045" s="2"/>
      <c r="C3045" s="2"/>
      <c r="D3045" s="2">
        <f>COUNTIF(contact[[#This Row],[Bagossy]:[Szo
03:00 - 10:00]],"=~?")</f>
        <v>0</v>
      </c>
      <c r="E3045" s="2">
        <f>COUNTIF(contact[[#This Row],[Bagossy]:[Szo
03:00 - 10:00]],"=x")</f>
        <v>0</v>
      </c>
      <c r="F3045" s="2">
        <f>SUM(contact[[#This Row],[?]:[x]])</f>
        <v>0</v>
      </c>
      <c r="G304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5" s="3" t="s">
        <v>2714</v>
      </c>
      <c r="K3045" s="1" t="s">
        <v>1474</v>
      </c>
      <c r="L3045" s="1" t="s">
        <v>2</v>
      </c>
      <c r="M3045" s="1" t="s">
        <v>2</v>
      </c>
      <c r="O3045" s="2"/>
      <c r="P3045" s="2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</row>
    <row r="3046" spans="1:32" s="1" customFormat="1" ht="20.25" customHeight="1" x14ac:dyDescent="0.25">
      <c r="A3046" s="2"/>
      <c r="B3046" s="2"/>
      <c r="C3046" s="2"/>
      <c r="D3046" s="2">
        <f>COUNTIF(contact[[#This Row],[Bagossy]:[Szo
03:00 - 10:00]],"=~?")</f>
        <v>0</v>
      </c>
      <c r="E3046" s="2">
        <f>COUNTIF(contact[[#This Row],[Bagossy]:[Szo
03:00 - 10:00]],"=x")</f>
        <v>0</v>
      </c>
      <c r="F3046" s="2">
        <f>SUM(contact[[#This Row],[?]:[x]])</f>
        <v>0</v>
      </c>
      <c r="G304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6" s="3" t="s">
        <v>3504</v>
      </c>
      <c r="K3046" s="1" t="s">
        <v>816</v>
      </c>
      <c r="L3046" s="1" t="s">
        <v>2</v>
      </c>
      <c r="M3046" s="1" t="s">
        <v>2</v>
      </c>
      <c r="O3046" s="2"/>
      <c r="P3046" s="2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</row>
    <row r="3047" spans="1:32" s="1" customFormat="1" ht="20.25" customHeight="1" x14ac:dyDescent="0.25">
      <c r="A3047" s="2"/>
      <c r="B3047" s="2"/>
      <c r="C3047" s="2" t="s">
        <v>1285</v>
      </c>
      <c r="D3047" s="2">
        <f>COUNTIF(contact[[#This Row],[Bagossy]:[Szo
03:00 - 10:00]],"=~?")</f>
        <v>0</v>
      </c>
      <c r="E3047" s="2">
        <f>COUNTIF(contact[[#This Row],[Bagossy]:[Szo
03:00 - 10:00]],"=x")</f>
        <v>0</v>
      </c>
      <c r="F3047" s="2">
        <f>SUM(contact[[#This Row],[?]:[x]])</f>
        <v>0</v>
      </c>
      <c r="G304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47" s="2"/>
      <c r="I3047" s="2"/>
      <c r="J3047" s="3" t="s">
        <v>4558</v>
      </c>
      <c r="K3047" s="1" t="s">
        <v>6</v>
      </c>
      <c r="L3047" s="1" t="s">
        <v>2</v>
      </c>
      <c r="M3047" s="1" t="s">
        <v>2</v>
      </c>
      <c r="O3047" s="2"/>
      <c r="P3047" s="2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</row>
    <row r="3048" spans="1:32" s="1" customFormat="1" ht="20.25" customHeight="1" x14ac:dyDescent="0.25">
      <c r="A3048" s="2"/>
      <c r="B3048" s="2"/>
      <c r="C3048" s="2"/>
      <c r="D3048" s="2">
        <f>COUNTIF(contact[[#This Row],[Bagossy]:[Szo
03:00 - 10:00]],"=~?")</f>
        <v>0</v>
      </c>
      <c r="E3048" s="2">
        <f>COUNTIF(contact[[#This Row],[Bagossy]:[Szo
03:00 - 10:00]],"=x")</f>
        <v>0</v>
      </c>
      <c r="F3048" s="2">
        <f>SUM(contact[[#This Row],[?]:[x]])</f>
        <v>0</v>
      </c>
      <c r="G304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48" s="3" t="s">
        <v>1239</v>
      </c>
      <c r="K3048" s="1" t="s">
        <v>2</v>
      </c>
      <c r="L3048" s="1" t="s">
        <v>2</v>
      </c>
      <c r="M3048" s="1" t="s">
        <v>2</v>
      </c>
      <c r="O3048" s="2"/>
      <c r="P3048" s="2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</row>
    <row r="3049" spans="1:32" s="1" customFormat="1" ht="20.25" customHeight="1" x14ac:dyDescent="0.25">
      <c r="A3049" s="2"/>
      <c r="B3049" s="2"/>
      <c r="C3049" s="2" t="s">
        <v>1285</v>
      </c>
      <c r="D3049" s="2">
        <f>COUNTIF(contact[[#This Row],[Bagossy]:[Szo
03:00 - 10:00]],"=~?")</f>
        <v>0</v>
      </c>
      <c r="E3049" s="2">
        <f>COUNTIF(contact[[#This Row],[Bagossy]:[Szo
03:00 - 10:00]],"=x")</f>
        <v>0</v>
      </c>
      <c r="F3049" s="2">
        <f>SUM(contact[[#This Row],[?]:[x]])</f>
        <v>0</v>
      </c>
      <c r="G304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49" s="2"/>
      <c r="I3049" s="2"/>
      <c r="J3049" s="3" t="s">
        <v>4565</v>
      </c>
      <c r="K3049" s="1" t="s">
        <v>1894</v>
      </c>
      <c r="L3049" s="1" t="s">
        <v>2</v>
      </c>
      <c r="M3049" s="1" t="s">
        <v>2</v>
      </c>
      <c r="O3049" s="2"/>
      <c r="P3049" s="2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</row>
    <row r="3050" spans="1:32" s="1" customFormat="1" ht="20.25" customHeight="1" x14ac:dyDescent="0.25">
      <c r="A3050" s="2"/>
      <c r="B3050" s="2"/>
      <c r="C3050" s="2" t="s">
        <v>1285</v>
      </c>
      <c r="D3050" s="2">
        <f>COUNTIF(contact[[#This Row],[Bagossy]:[Szo
03:00 - 10:00]],"=~?")</f>
        <v>0</v>
      </c>
      <c r="E3050" s="2">
        <f>COUNTIF(contact[[#This Row],[Bagossy]:[Szo
03:00 - 10:00]],"=x")</f>
        <v>0</v>
      </c>
      <c r="F3050" s="2">
        <f>SUM(contact[[#This Row],[?]:[x]])</f>
        <v>0</v>
      </c>
      <c r="G305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50" s="2"/>
      <c r="I3050" s="2"/>
      <c r="J3050" s="3" t="s">
        <v>4569</v>
      </c>
      <c r="K3050" s="1" t="s">
        <v>305</v>
      </c>
      <c r="L3050" s="1" t="s">
        <v>2</v>
      </c>
      <c r="M3050" s="1" t="s">
        <v>2</v>
      </c>
      <c r="O3050" s="2"/>
      <c r="P3050" s="2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</row>
    <row r="3051" spans="1:32" s="1" customFormat="1" ht="20.25" customHeight="1" x14ac:dyDescent="0.25">
      <c r="A3051" s="2"/>
      <c r="B3051" s="2"/>
      <c r="C3051" s="2"/>
      <c r="D3051" s="2">
        <f>COUNTIF(contact[[#This Row],[Bagossy]:[Szo
03:00 - 10:00]],"=~?")</f>
        <v>0</v>
      </c>
      <c r="E3051" s="2">
        <f>COUNTIF(contact[[#This Row],[Bagossy]:[Szo
03:00 - 10:00]],"=x")</f>
        <v>0</v>
      </c>
      <c r="F3051" s="2">
        <f>SUM(contact[[#This Row],[?]:[x]])</f>
        <v>0</v>
      </c>
      <c r="G305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51" s="3" t="s">
        <v>4572</v>
      </c>
      <c r="K3051" s="1" t="s">
        <v>391</v>
      </c>
      <c r="L3051" s="1" t="s">
        <v>2</v>
      </c>
      <c r="M3051" s="1" t="s">
        <v>2</v>
      </c>
      <c r="O3051" s="2"/>
      <c r="P3051" s="2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</row>
    <row r="3052" spans="1:32" s="1" customFormat="1" ht="20.25" customHeight="1" x14ac:dyDescent="0.25">
      <c r="A3052" s="2"/>
      <c r="B3052" s="2"/>
      <c r="C3052" s="2"/>
      <c r="D3052" s="2">
        <f>COUNTIF(contact[[#This Row],[Bagossy]:[Szo
03:00 - 10:00]],"=~?")</f>
        <v>0</v>
      </c>
      <c r="E3052" s="2">
        <f>COUNTIF(contact[[#This Row],[Bagossy]:[Szo
03:00 - 10:00]],"=x")</f>
        <v>0</v>
      </c>
      <c r="F3052" s="2">
        <f>SUM(contact[[#This Row],[?]:[x]])</f>
        <v>0</v>
      </c>
      <c r="G305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52" s="2"/>
      <c r="I3052" s="2"/>
      <c r="J3052" s="3" t="s">
        <v>4571</v>
      </c>
      <c r="K3052" s="1" t="s">
        <v>6</v>
      </c>
      <c r="L3052" s="1" t="s">
        <v>2</v>
      </c>
      <c r="M3052" s="1" t="s">
        <v>2</v>
      </c>
      <c r="O3052" s="2"/>
      <c r="P3052" s="2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</row>
    <row r="3053" spans="1:32" s="1" customFormat="1" ht="20.25" customHeight="1" x14ac:dyDescent="0.25">
      <c r="A3053" s="2"/>
      <c r="B3053" s="2"/>
      <c r="C3053" s="2"/>
      <c r="D3053" s="2">
        <f>COUNTIF(contact[[#This Row],[Bagossy]:[Szo
03:00 - 10:00]],"=~?")</f>
        <v>0</v>
      </c>
      <c r="E3053" s="2">
        <f>COUNTIF(contact[[#This Row],[Bagossy]:[Szo
03:00 - 10:00]],"=x")</f>
        <v>0</v>
      </c>
      <c r="F3053" s="2">
        <f>SUM(contact[[#This Row],[?]:[x]])</f>
        <v>0</v>
      </c>
      <c r="G305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53" s="3" t="s">
        <v>2476</v>
      </c>
      <c r="K3053" s="1" t="s">
        <v>1419</v>
      </c>
      <c r="L3053" s="1" t="s">
        <v>2</v>
      </c>
      <c r="M3053" s="1" t="s">
        <v>2</v>
      </c>
      <c r="O3053" s="2"/>
      <c r="P3053" s="2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</row>
    <row r="3054" spans="1:32" s="1" customFormat="1" ht="20.25" customHeight="1" x14ac:dyDescent="0.25">
      <c r="A3054" s="2"/>
      <c r="B3054" s="2"/>
      <c r="C3054" s="2"/>
      <c r="D3054" s="2">
        <f>COUNTIF(contact[[#This Row],[Bagossy]:[Szo
03:00 - 10:00]],"=~?")</f>
        <v>0</v>
      </c>
      <c r="E3054" s="2">
        <f>COUNTIF(contact[[#This Row],[Bagossy]:[Szo
03:00 - 10:00]],"=x")</f>
        <v>0</v>
      </c>
      <c r="F3054" s="2">
        <f>SUM(contact[[#This Row],[?]:[x]])</f>
        <v>0</v>
      </c>
      <c r="G305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54" s="3" t="s">
        <v>2758</v>
      </c>
      <c r="K3054" s="1" t="s">
        <v>2</v>
      </c>
      <c r="L3054" s="1" t="s">
        <v>2</v>
      </c>
      <c r="M3054" s="1" t="s">
        <v>2</v>
      </c>
      <c r="O3054" s="2"/>
      <c r="P3054" s="2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</row>
    <row r="3055" spans="1:32" s="1" customFormat="1" ht="20.25" customHeight="1" x14ac:dyDescent="0.25">
      <c r="A3055" s="2"/>
      <c r="B3055" s="2"/>
      <c r="C3055" s="2"/>
      <c r="D3055" s="2">
        <f>COUNTIF(contact[[#This Row],[Bagossy]:[Szo
03:00 - 10:00]],"=~?")</f>
        <v>0</v>
      </c>
      <c r="E3055" s="2">
        <f>COUNTIF(contact[[#This Row],[Bagossy]:[Szo
03:00 - 10:00]],"=x")</f>
        <v>0</v>
      </c>
      <c r="F3055" s="2">
        <f>SUM(contact[[#This Row],[?]:[x]])</f>
        <v>0</v>
      </c>
      <c r="G305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55" s="3" t="s">
        <v>4429</v>
      </c>
      <c r="K3055" s="1" t="s">
        <v>1856</v>
      </c>
      <c r="L3055" s="1" t="s">
        <v>2</v>
      </c>
      <c r="M3055" s="1" t="s">
        <v>2</v>
      </c>
      <c r="O3055" s="2"/>
      <c r="P3055" s="2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</row>
    <row r="3056" spans="1:32" s="1" customFormat="1" ht="20.25" customHeight="1" x14ac:dyDescent="0.25">
      <c r="A3056" s="2"/>
      <c r="B3056" s="2"/>
      <c r="C3056" s="2"/>
      <c r="D3056" s="2">
        <f>COUNTIF(contact[[#This Row],[Bagossy]:[Szo
03:00 - 10:00]],"=~?")</f>
        <v>0</v>
      </c>
      <c r="E3056" s="2">
        <f>COUNTIF(contact[[#This Row],[Bagossy]:[Szo
03:00 - 10:00]],"=x")</f>
        <v>0</v>
      </c>
      <c r="F3056" s="2">
        <f>SUM(contact[[#This Row],[?]:[x]])</f>
        <v>0</v>
      </c>
      <c r="G305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56" s="2"/>
      <c r="I3056" s="2"/>
      <c r="J3056" s="3" t="s">
        <v>4573</v>
      </c>
      <c r="K3056" s="1" t="s">
        <v>371</v>
      </c>
      <c r="L3056" s="1" t="s">
        <v>2</v>
      </c>
      <c r="M3056" s="1" t="s">
        <v>2</v>
      </c>
      <c r="O3056" s="2"/>
      <c r="P3056" s="2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</row>
    <row r="3057" spans="1:32" s="1" customFormat="1" ht="20.25" customHeight="1" x14ac:dyDescent="0.25">
      <c r="A3057" s="2"/>
      <c r="B3057" s="2"/>
      <c r="C3057" s="2"/>
      <c r="D3057" s="2">
        <f>COUNTIF(contact[[#This Row],[Bagossy]:[Szo
03:00 - 10:00]],"=~?")</f>
        <v>0</v>
      </c>
      <c r="E3057" s="2">
        <f>COUNTIF(contact[[#This Row],[Bagossy]:[Szo
03:00 - 10:00]],"=x")</f>
        <v>0</v>
      </c>
      <c r="F3057" s="2">
        <f>SUM(contact[[#This Row],[?]:[x]])</f>
        <v>0</v>
      </c>
      <c r="G305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57" s="3" t="s">
        <v>4124</v>
      </c>
      <c r="K3057" s="1" t="s">
        <v>1109</v>
      </c>
      <c r="L3057" s="1" t="s">
        <v>2</v>
      </c>
      <c r="M3057" s="1" t="s">
        <v>2</v>
      </c>
      <c r="O3057" s="2"/>
      <c r="P3057" s="2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</row>
    <row r="3058" spans="1:32" s="1" customFormat="1" ht="20.25" customHeight="1" x14ac:dyDescent="0.25">
      <c r="A3058" s="2"/>
      <c r="B3058" s="2"/>
      <c r="C3058" s="2"/>
      <c r="D3058" s="2">
        <f>COUNTIF(contact[[#This Row],[Bagossy]:[Szo
03:00 - 10:00]],"=~?")</f>
        <v>0</v>
      </c>
      <c r="E3058" s="2">
        <f>COUNTIF(contact[[#This Row],[Bagossy]:[Szo
03:00 - 10:00]],"=x")</f>
        <v>0</v>
      </c>
      <c r="F3058" s="2">
        <f>SUM(contact[[#This Row],[?]:[x]])</f>
        <v>0</v>
      </c>
      <c r="G305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58" s="3" t="s">
        <v>1241</v>
      </c>
      <c r="K3058" s="1" t="s">
        <v>2</v>
      </c>
      <c r="L3058" s="1" t="s">
        <v>2</v>
      </c>
      <c r="M3058" s="1" t="s">
        <v>2</v>
      </c>
      <c r="O3058" s="2"/>
      <c r="P3058" s="2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</row>
    <row r="3059" spans="1:32" s="1" customFormat="1" ht="20.25" customHeight="1" x14ac:dyDescent="0.25">
      <c r="A3059" s="2"/>
      <c r="B3059" s="2"/>
      <c r="C3059" s="2"/>
      <c r="D3059" s="2">
        <f>COUNTIF(contact[[#This Row],[Bagossy]:[Szo
03:00 - 10:00]],"=~?")</f>
        <v>0</v>
      </c>
      <c r="E3059" s="2">
        <f>COUNTIF(contact[[#This Row],[Bagossy]:[Szo
03:00 - 10:00]],"=x")</f>
        <v>0</v>
      </c>
      <c r="F3059" s="2">
        <f>SUM(contact[[#This Row],[?]:[x]])</f>
        <v>0</v>
      </c>
      <c r="G305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59" s="3" t="s">
        <v>3127</v>
      </c>
      <c r="K3059" s="1" t="s">
        <v>654</v>
      </c>
      <c r="L3059" s="1" t="s">
        <v>2</v>
      </c>
      <c r="M3059" s="1" t="s">
        <v>2</v>
      </c>
      <c r="O3059" s="2"/>
      <c r="P3059" s="2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</row>
    <row r="3060" spans="1:32" s="1" customFormat="1" ht="20.25" customHeight="1" x14ac:dyDescent="0.25">
      <c r="A3060" s="2"/>
      <c r="B3060" s="2"/>
      <c r="C3060" s="2"/>
      <c r="D3060" s="2">
        <f>COUNTIF(contact[[#This Row],[Bagossy]:[Szo
03:00 - 10:00]],"=~?")</f>
        <v>0</v>
      </c>
      <c r="E3060" s="2">
        <f>COUNTIF(contact[[#This Row],[Bagossy]:[Szo
03:00 - 10:00]],"=x")</f>
        <v>0</v>
      </c>
      <c r="F3060" s="2">
        <f>SUM(contact[[#This Row],[?]:[x]])</f>
        <v>0</v>
      </c>
      <c r="G306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0" s="3" t="s">
        <v>1242</v>
      </c>
      <c r="K3060" s="1" t="s">
        <v>2</v>
      </c>
      <c r="L3060" s="1" t="s">
        <v>2</v>
      </c>
      <c r="M3060" s="1" t="s">
        <v>2</v>
      </c>
      <c r="O3060" s="2"/>
      <c r="P3060" s="2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</row>
    <row r="3061" spans="1:32" s="1" customFormat="1" ht="20.25" customHeight="1" x14ac:dyDescent="0.25">
      <c r="A3061" s="2"/>
      <c r="B3061" s="2"/>
      <c r="C3061" s="2"/>
      <c r="D3061" s="2">
        <f>COUNTIF(contact[[#This Row],[Bagossy]:[Szo
03:00 - 10:00]],"=~?")</f>
        <v>0</v>
      </c>
      <c r="E3061" s="2">
        <f>COUNTIF(contact[[#This Row],[Bagossy]:[Szo
03:00 - 10:00]],"=x")</f>
        <v>0</v>
      </c>
      <c r="F3061" s="2">
        <f>SUM(contact[[#This Row],[?]:[x]])</f>
        <v>0</v>
      </c>
      <c r="G306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1" s="3" t="s">
        <v>2261</v>
      </c>
      <c r="K3061" s="1" t="s">
        <v>2</v>
      </c>
      <c r="L3061" s="1" t="s">
        <v>2</v>
      </c>
      <c r="M3061" s="1" t="s">
        <v>2</v>
      </c>
      <c r="O3061" s="2"/>
      <c r="P3061" s="2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</row>
    <row r="3062" spans="1:32" s="1" customFormat="1" ht="20.25" customHeight="1" x14ac:dyDescent="0.25">
      <c r="A3062" s="2"/>
      <c r="B3062" s="2"/>
      <c r="C3062" s="2"/>
      <c r="D3062" s="2">
        <f>COUNTIF(contact[[#This Row],[Bagossy]:[Szo
03:00 - 10:00]],"=~?")</f>
        <v>0</v>
      </c>
      <c r="E3062" s="2">
        <f>COUNTIF(contact[[#This Row],[Bagossy]:[Szo
03:00 - 10:00]],"=x")</f>
        <v>0</v>
      </c>
      <c r="F3062" s="2">
        <f>SUM(contact[[#This Row],[?]:[x]])</f>
        <v>0</v>
      </c>
      <c r="G306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2" s="3" t="s">
        <v>3046</v>
      </c>
      <c r="K3062" s="1" t="s">
        <v>616</v>
      </c>
      <c r="L3062" s="1" t="s">
        <v>2</v>
      </c>
      <c r="M3062" s="1" t="s">
        <v>2</v>
      </c>
      <c r="O3062" s="2"/>
      <c r="P3062" s="2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</row>
    <row r="3063" spans="1:32" s="1" customFormat="1" ht="20.25" customHeight="1" x14ac:dyDescent="0.25">
      <c r="A3063" s="2"/>
      <c r="B3063" s="2"/>
      <c r="C3063" s="2"/>
      <c r="D3063" s="2">
        <f>COUNTIF(contact[[#This Row],[Bagossy]:[Szo
03:00 - 10:00]],"=~?")</f>
        <v>0</v>
      </c>
      <c r="E3063" s="2">
        <f>COUNTIF(contact[[#This Row],[Bagossy]:[Szo
03:00 - 10:00]],"=x")</f>
        <v>0</v>
      </c>
      <c r="F3063" s="2">
        <f>SUM(contact[[#This Row],[?]:[x]])</f>
        <v>0</v>
      </c>
      <c r="G306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3" s="3" t="s">
        <v>3518</v>
      </c>
      <c r="K3063" s="1" t="s">
        <v>2</v>
      </c>
      <c r="L3063" s="1" t="s">
        <v>2</v>
      </c>
      <c r="M3063" s="1" t="s">
        <v>2</v>
      </c>
      <c r="O3063" s="2"/>
      <c r="P3063" s="2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</row>
    <row r="3064" spans="1:32" s="1" customFormat="1" ht="20.25" customHeight="1" x14ac:dyDescent="0.25">
      <c r="A3064" s="2"/>
      <c r="B3064" s="2"/>
      <c r="C3064" s="2"/>
      <c r="D3064" s="2">
        <f>COUNTIF(contact[[#This Row],[Bagossy]:[Szo
03:00 - 10:00]],"=~?")</f>
        <v>0</v>
      </c>
      <c r="E3064" s="2">
        <f>COUNTIF(contact[[#This Row],[Bagossy]:[Szo
03:00 - 10:00]],"=x")</f>
        <v>0</v>
      </c>
      <c r="F3064" s="2">
        <f>SUM(contact[[#This Row],[?]:[x]])</f>
        <v>0</v>
      </c>
      <c r="G306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4" s="3" t="s">
        <v>4257</v>
      </c>
      <c r="K3064" s="1" t="s">
        <v>1161</v>
      </c>
      <c r="L3064" s="1" t="s">
        <v>2</v>
      </c>
      <c r="M3064" s="1" t="s">
        <v>2</v>
      </c>
      <c r="O3064" s="2"/>
      <c r="P3064" s="2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</row>
    <row r="3065" spans="1:32" s="1" customFormat="1" ht="20.25" customHeight="1" x14ac:dyDescent="0.25">
      <c r="A3065" s="2"/>
      <c r="B3065" s="2"/>
      <c r="C3065" s="2"/>
      <c r="D3065" s="2">
        <f>COUNTIF(contact[[#This Row],[Bagossy]:[Szo
03:00 - 10:00]],"=~?")</f>
        <v>0</v>
      </c>
      <c r="E3065" s="2">
        <f>COUNTIF(contact[[#This Row],[Bagossy]:[Szo
03:00 - 10:00]],"=x")</f>
        <v>0</v>
      </c>
      <c r="F3065" s="2">
        <f>SUM(contact[[#This Row],[?]:[x]])</f>
        <v>0</v>
      </c>
      <c r="G306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5" s="3" t="s">
        <v>2649</v>
      </c>
      <c r="K3065" s="1" t="s">
        <v>2</v>
      </c>
      <c r="L3065" s="1" t="s">
        <v>2</v>
      </c>
      <c r="M3065" s="1" t="s">
        <v>2</v>
      </c>
      <c r="O3065" s="2"/>
      <c r="P3065" s="2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</row>
    <row r="3066" spans="1:32" s="1" customFormat="1" ht="20.25" customHeight="1" x14ac:dyDescent="0.25">
      <c r="A3066" s="2"/>
      <c r="B3066" s="2"/>
      <c r="C3066" s="2"/>
      <c r="D3066" s="2">
        <f>COUNTIF(contact[[#This Row],[Bagossy]:[Szo
03:00 - 10:00]],"=~?")</f>
        <v>0</v>
      </c>
      <c r="E3066" s="2">
        <f>COUNTIF(contact[[#This Row],[Bagossy]:[Szo
03:00 - 10:00]],"=x")</f>
        <v>0</v>
      </c>
      <c r="F3066" s="2">
        <f>SUM(contact[[#This Row],[?]:[x]])</f>
        <v>0</v>
      </c>
      <c r="G306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6" s="3" t="s">
        <v>3128</v>
      </c>
      <c r="K3066" s="1" t="s">
        <v>1571</v>
      </c>
      <c r="L3066" s="1" t="s">
        <v>2</v>
      </c>
      <c r="M3066" s="1" t="s">
        <v>2</v>
      </c>
      <c r="O3066" s="2"/>
      <c r="P3066" s="2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</row>
    <row r="3067" spans="1:32" s="1" customFormat="1" ht="20.25" customHeight="1" x14ac:dyDescent="0.25">
      <c r="A3067" s="2"/>
      <c r="B3067" s="2"/>
      <c r="C3067" s="2"/>
      <c r="D3067" s="2">
        <f>COUNTIF(contact[[#This Row],[Bagossy]:[Szo
03:00 - 10:00]],"=~?")</f>
        <v>0</v>
      </c>
      <c r="E3067" s="2">
        <f>COUNTIF(contact[[#This Row],[Bagossy]:[Szo
03:00 - 10:00]],"=x")</f>
        <v>0</v>
      </c>
      <c r="F3067" s="2">
        <f>SUM(contact[[#This Row],[?]:[x]])</f>
        <v>0</v>
      </c>
      <c r="G306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7" s="3" t="s">
        <v>3814</v>
      </c>
      <c r="K3067" s="1" t="s">
        <v>955</v>
      </c>
      <c r="L3067" s="1" t="s">
        <v>2</v>
      </c>
      <c r="M3067" s="1" t="s">
        <v>2</v>
      </c>
      <c r="O3067" s="2"/>
      <c r="P3067" s="2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</row>
    <row r="3068" spans="1:32" s="1" customFormat="1" ht="20.25" customHeight="1" x14ac:dyDescent="0.25">
      <c r="A3068" s="2"/>
      <c r="B3068" s="2"/>
      <c r="C3068" s="2"/>
      <c r="D3068" s="2">
        <f>COUNTIF(contact[[#This Row],[Bagossy]:[Szo
03:00 - 10:00]],"=~?")</f>
        <v>0</v>
      </c>
      <c r="E3068" s="2">
        <f>COUNTIF(contact[[#This Row],[Bagossy]:[Szo
03:00 - 10:00]],"=x")</f>
        <v>0</v>
      </c>
      <c r="F3068" s="2">
        <f>SUM(contact[[#This Row],[?]:[x]])</f>
        <v>0</v>
      </c>
      <c r="G306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8" s="3" t="s">
        <v>2736</v>
      </c>
      <c r="K3068" s="1" t="s">
        <v>2</v>
      </c>
      <c r="L3068" s="1" t="s">
        <v>2</v>
      </c>
      <c r="M3068" s="1" t="s">
        <v>2</v>
      </c>
      <c r="O3068" s="2"/>
      <c r="P3068" s="2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</row>
    <row r="3069" spans="1:32" s="1" customFormat="1" ht="20.25" customHeight="1" x14ac:dyDescent="0.25">
      <c r="A3069" s="2"/>
      <c r="B3069" s="2"/>
      <c r="C3069" s="2"/>
      <c r="D3069" s="2">
        <f>COUNTIF(contact[[#This Row],[Bagossy]:[Szo
03:00 - 10:00]],"=~?")</f>
        <v>0</v>
      </c>
      <c r="E3069" s="2">
        <f>COUNTIF(contact[[#This Row],[Bagossy]:[Szo
03:00 - 10:00]],"=x")</f>
        <v>0</v>
      </c>
      <c r="F3069" s="2">
        <f>SUM(contact[[#This Row],[?]:[x]])</f>
        <v>0</v>
      </c>
      <c r="G306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69" s="3" t="s">
        <v>2464</v>
      </c>
      <c r="K3069" s="1" t="s">
        <v>2</v>
      </c>
      <c r="L3069" s="1" t="s">
        <v>2</v>
      </c>
      <c r="M3069" s="1" t="s">
        <v>2</v>
      </c>
      <c r="O3069" s="2"/>
      <c r="P3069" s="2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</row>
    <row r="3070" spans="1:32" s="1" customFormat="1" ht="20.25" customHeight="1" x14ac:dyDescent="0.25">
      <c r="A3070" s="2"/>
      <c r="B3070" s="2"/>
      <c r="C3070" s="2"/>
      <c r="D3070" s="2">
        <f>COUNTIF(contact[[#This Row],[Bagossy]:[Szo
03:00 - 10:00]],"=~?")</f>
        <v>0</v>
      </c>
      <c r="E3070" s="2">
        <f>COUNTIF(contact[[#This Row],[Bagossy]:[Szo
03:00 - 10:00]],"=x")</f>
        <v>0</v>
      </c>
      <c r="F3070" s="2">
        <f>SUM(contact[[#This Row],[?]:[x]])</f>
        <v>0</v>
      </c>
      <c r="G307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0" s="3" t="s">
        <v>2251</v>
      </c>
      <c r="K3070" s="1" t="s">
        <v>2</v>
      </c>
      <c r="L3070" s="1" t="s">
        <v>2</v>
      </c>
      <c r="M3070" s="1" t="s">
        <v>2</v>
      </c>
      <c r="O3070" s="2"/>
      <c r="P3070" s="2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</row>
    <row r="3071" spans="1:32" s="1" customFormat="1" ht="20.25" customHeight="1" x14ac:dyDescent="0.25">
      <c r="A3071" s="2"/>
      <c r="B3071" s="2"/>
      <c r="C3071" s="2"/>
      <c r="D3071" s="2">
        <f>COUNTIF(contact[[#This Row],[Bagossy]:[Szo
03:00 - 10:00]],"=~?")</f>
        <v>0</v>
      </c>
      <c r="E3071" s="2">
        <f>COUNTIF(contact[[#This Row],[Bagossy]:[Szo
03:00 - 10:00]],"=x")</f>
        <v>0</v>
      </c>
      <c r="F3071" s="2">
        <f>SUM(contact[[#This Row],[?]:[x]])</f>
        <v>0</v>
      </c>
      <c r="G307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1" s="3" t="s">
        <v>3973</v>
      </c>
      <c r="K3071" s="1" t="s">
        <v>1044</v>
      </c>
      <c r="L3071" s="1" t="s">
        <v>2</v>
      </c>
      <c r="M3071" s="1" t="s">
        <v>2</v>
      </c>
      <c r="O3071" s="2"/>
      <c r="P3071" s="2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</row>
    <row r="3072" spans="1:32" s="1" customFormat="1" ht="20.25" customHeight="1" x14ac:dyDescent="0.25">
      <c r="A3072" s="2"/>
      <c r="B3072" s="2"/>
      <c r="C3072" s="2"/>
      <c r="D3072" s="2">
        <f>COUNTIF(contact[[#This Row],[Bagossy]:[Szo
03:00 - 10:00]],"=~?")</f>
        <v>0</v>
      </c>
      <c r="E3072" s="2">
        <f>COUNTIF(contact[[#This Row],[Bagossy]:[Szo
03:00 - 10:00]],"=x")</f>
        <v>0</v>
      </c>
      <c r="F3072" s="2">
        <f>SUM(contact[[#This Row],[?]:[x]])</f>
        <v>0</v>
      </c>
      <c r="G307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72" s="2"/>
      <c r="I3072" s="2"/>
      <c r="J3072" s="3" t="s">
        <v>4575</v>
      </c>
      <c r="K3072" s="1" t="s">
        <v>556</v>
      </c>
      <c r="L3072" s="1" t="s">
        <v>2</v>
      </c>
      <c r="M3072" s="1" t="s">
        <v>2</v>
      </c>
      <c r="O3072" s="2"/>
      <c r="P3072" s="2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</row>
    <row r="3073" spans="1:32" s="1" customFormat="1" ht="20.25" customHeight="1" x14ac:dyDescent="0.25">
      <c r="A3073" s="2"/>
      <c r="B3073" s="2"/>
      <c r="C3073" s="2"/>
      <c r="D3073" s="2">
        <f>COUNTIF(contact[[#This Row],[Bagossy]:[Szo
03:00 - 10:00]],"=~?")</f>
        <v>0</v>
      </c>
      <c r="E3073" s="2">
        <f>COUNTIF(contact[[#This Row],[Bagossy]:[Szo
03:00 - 10:00]],"=x")</f>
        <v>0</v>
      </c>
      <c r="F3073" s="2">
        <f>SUM(contact[[#This Row],[?]:[x]])</f>
        <v>0</v>
      </c>
      <c r="G3073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3" s="3" t="s">
        <v>2513</v>
      </c>
      <c r="K3073" s="1" t="s">
        <v>348</v>
      </c>
      <c r="L3073" s="1" t="s">
        <v>2</v>
      </c>
      <c r="M3073" s="1" t="s">
        <v>2</v>
      </c>
      <c r="O3073" s="2"/>
      <c r="P3073" s="2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</row>
    <row r="3074" spans="1:32" s="1" customFormat="1" ht="20.25" customHeight="1" x14ac:dyDescent="0.25">
      <c r="A3074" s="2"/>
      <c r="B3074" s="2"/>
      <c r="C3074" s="2"/>
      <c r="D3074" s="2">
        <f>COUNTIF(contact[[#This Row],[Bagossy]:[Szo
03:00 - 10:00]],"=~?")</f>
        <v>0</v>
      </c>
      <c r="E3074" s="2">
        <f>COUNTIF(contact[[#This Row],[Bagossy]:[Szo
03:00 - 10:00]],"=x")</f>
        <v>0</v>
      </c>
      <c r="F3074" s="2">
        <f>SUM(contact[[#This Row],[?]:[x]])</f>
        <v>0</v>
      </c>
      <c r="G3074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4" s="3" t="s">
        <v>1258</v>
      </c>
      <c r="K3074" s="1" t="s">
        <v>1259</v>
      </c>
      <c r="L3074" s="1" t="s">
        <v>2</v>
      </c>
      <c r="M3074" s="1" t="s">
        <v>2</v>
      </c>
      <c r="O3074" s="2"/>
      <c r="P3074" s="2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</row>
    <row r="3075" spans="1:32" s="1" customFormat="1" ht="20.25" customHeight="1" x14ac:dyDescent="0.25">
      <c r="A3075" s="2"/>
      <c r="B3075" s="2"/>
      <c r="C3075" s="2"/>
      <c r="D3075" s="2">
        <f>COUNTIF(contact[[#This Row],[Bagossy]:[Szo
03:00 - 10:00]],"=~?")</f>
        <v>0</v>
      </c>
      <c r="E3075" s="2">
        <f>COUNTIF(contact[[#This Row],[Bagossy]:[Szo
03:00 - 10:00]],"=x")</f>
        <v>0</v>
      </c>
      <c r="F3075" s="2">
        <f>SUM(contact[[#This Row],[?]:[x]])</f>
        <v>0</v>
      </c>
      <c r="G3075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5" s="3" t="s">
        <v>3505</v>
      </c>
      <c r="K3075" s="1" t="s">
        <v>1662</v>
      </c>
      <c r="L3075" s="1" t="s">
        <v>2</v>
      </c>
      <c r="M3075" s="1" t="s">
        <v>2</v>
      </c>
      <c r="O3075" s="2"/>
      <c r="P3075" s="2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</row>
    <row r="3076" spans="1:32" s="1" customFormat="1" ht="20.25" customHeight="1" x14ac:dyDescent="0.25">
      <c r="A3076" s="2"/>
      <c r="B3076" s="2"/>
      <c r="C3076" s="2"/>
      <c r="D3076" s="2">
        <f>COUNTIF(contact[[#This Row],[Bagossy]:[Szo
03:00 - 10:00]],"=~?")</f>
        <v>0</v>
      </c>
      <c r="E3076" s="2">
        <f>COUNTIF(contact[[#This Row],[Bagossy]:[Szo
03:00 - 10:00]],"=x")</f>
        <v>0</v>
      </c>
      <c r="F3076" s="2">
        <f>SUM(contact[[#This Row],[?]:[x]])</f>
        <v>0</v>
      </c>
      <c r="G3076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6" s="3" t="s">
        <v>2980</v>
      </c>
      <c r="K3076" s="1" t="s">
        <v>589</v>
      </c>
      <c r="L3076" s="1" t="s">
        <v>2</v>
      </c>
      <c r="M3076" s="1" t="s">
        <v>2</v>
      </c>
      <c r="O3076" s="2"/>
      <c r="P3076" s="2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</row>
    <row r="3077" spans="1:32" s="1" customFormat="1" ht="20.25" customHeight="1" x14ac:dyDescent="0.25">
      <c r="A3077" s="2"/>
      <c r="B3077" s="2"/>
      <c r="C3077" s="2"/>
      <c r="D3077" s="2">
        <f>COUNTIF(contact[[#This Row],[Bagossy]:[Szo
03:00 - 10:00]],"=~?")</f>
        <v>0</v>
      </c>
      <c r="E3077" s="2">
        <f>COUNTIF(contact[[#This Row],[Bagossy]:[Szo
03:00 - 10:00]],"=x")</f>
        <v>0</v>
      </c>
      <c r="F3077" s="2">
        <f>SUM(contact[[#This Row],[?]:[x]])</f>
        <v>0</v>
      </c>
      <c r="G3077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7" s="3" t="s">
        <v>3184</v>
      </c>
      <c r="K3077" s="1" t="s">
        <v>1583</v>
      </c>
      <c r="L3077" s="1" t="s">
        <v>2</v>
      </c>
      <c r="M3077" s="1" t="s">
        <v>2</v>
      </c>
      <c r="O3077" s="2"/>
      <c r="P3077" s="2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</row>
    <row r="3078" spans="1:32" s="1" customFormat="1" ht="20.25" customHeight="1" x14ac:dyDescent="0.25">
      <c r="A3078" s="2"/>
      <c r="B3078" s="2"/>
      <c r="C3078" s="2"/>
      <c r="D3078" s="2">
        <f>COUNTIF(contact[[#This Row],[Bagossy]:[Szo
03:00 - 10:00]],"=~?")</f>
        <v>0</v>
      </c>
      <c r="E3078" s="2">
        <f>COUNTIF(contact[[#This Row],[Bagossy]:[Szo
03:00 - 10:00]],"=x")</f>
        <v>0</v>
      </c>
      <c r="F3078" s="2">
        <f>SUM(contact[[#This Row],[?]:[x]])</f>
        <v>0</v>
      </c>
      <c r="G3078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H3078" s="2"/>
      <c r="I3078" s="2"/>
      <c r="J3078" s="3" t="s">
        <v>4577</v>
      </c>
      <c r="K3078" s="1" t="s">
        <v>1895</v>
      </c>
      <c r="L3078" s="1" t="s">
        <v>2</v>
      </c>
      <c r="M3078" s="1" t="s">
        <v>2</v>
      </c>
      <c r="O3078" s="2"/>
      <c r="P3078" s="2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</row>
    <row r="3079" spans="1:32" s="1" customFormat="1" ht="20.25" customHeight="1" x14ac:dyDescent="0.25">
      <c r="A3079" s="2"/>
      <c r="B3079" s="2"/>
      <c r="C3079" s="2"/>
      <c r="D3079" s="2">
        <f>COUNTIF(contact[[#This Row],[Bagossy]:[Szo
03:00 - 10:00]],"=~?")</f>
        <v>0</v>
      </c>
      <c r="E3079" s="2">
        <f>COUNTIF(contact[[#This Row],[Bagossy]:[Szo
03:00 - 10:00]],"=x")</f>
        <v>0</v>
      </c>
      <c r="F3079" s="2">
        <f>SUM(contact[[#This Row],[?]:[x]])</f>
        <v>0</v>
      </c>
      <c r="G3079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79" s="3" t="s">
        <v>2788</v>
      </c>
      <c r="K3079" s="1" t="s">
        <v>494</v>
      </c>
      <c r="L3079" s="1" t="s">
        <v>2</v>
      </c>
      <c r="M3079" s="1" t="s">
        <v>2</v>
      </c>
      <c r="O3079" s="2"/>
      <c r="P3079" s="2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</row>
    <row r="3080" spans="1:32" s="1" customFormat="1" ht="20.25" customHeight="1" x14ac:dyDescent="0.25">
      <c r="A3080" s="2"/>
      <c r="B3080" s="2"/>
      <c r="C3080" s="2"/>
      <c r="D3080" s="2">
        <f>COUNTIF(contact[[#This Row],[Bagossy]:[Szo
03:00 - 10:00]],"=~?")</f>
        <v>0</v>
      </c>
      <c r="E3080" s="2">
        <f>COUNTIF(contact[[#This Row],[Bagossy]:[Szo
03:00 - 10:00]],"=x")</f>
        <v>0</v>
      </c>
      <c r="F3080" s="2">
        <f>SUM(contact[[#This Row],[?]:[x]])</f>
        <v>0</v>
      </c>
      <c r="G3080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80" s="3" t="s">
        <v>4355</v>
      </c>
      <c r="K3080" s="1" t="s">
        <v>2</v>
      </c>
      <c r="L3080" s="1" t="s">
        <v>2</v>
      </c>
      <c r="M3080" s="1" t="s">
        <v>2</v>
      </c>
      <c r="O3080" s="2"/>
      <c r="P3080" s="2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</row>
    <row r="3081" spans="1:32" s="1" customFormat="1" ht="20.25" customHeight="1" x14ac:dyDescent="0.25">
      <c r="A3081" s="2"/>
      <c r="B3081" s="2"/>
      <c r="C3081" s="2"/>
      <c r="D3081" s="2">
        <f>COUNTIF(contact[[#This Row],[Bagossy]:[Szo
03:00 - 10:00]],"=~?")</f>
        <v>0</v>
      </c>
      <c r="E3081" s="2">
        <f>COUNTIF(contact[[#This Row],[Bagossy]:[Szo
03:00 - 10:00]],"=x")</f>
        <v>0</v>
      </c>
      <c r="F3081" s="2">
        <f>SUM(contact[[#This Row],[?]:[x]])</f>
        <v>0</v>
      </c>
      <c r="G3081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81" s="3" t="s">
        <v>3815</v>
      </c>
      <c r="K3081" s="1" t="s">
        <v>1720</v>
      </c>
      <c r="L3081" s="1" t="s">
        <v>2</v>
      </c>
      <c r="M3081" s="1" t="s">
        <v>2</v>
      </c>
      <c r="O3081" s="2"/>
      <c r="P3081" s="2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</row>
    <row r="3082" spans="1:32" s="1" customFormat="1" ht="20.25" customHeight="1" x14ac:dyDescent="0.25">
      <c r="A3082" s="2"/>
      <c r="B3082" s="2"/>
      <c r="C3082" s="2"/>
      <c r="D3082" s="2">
        <f>COUNTIF(contact[[#This Row],[Bagossy]:[Szo
03:00 - 10:00]],"=~?")</f>
        <v>0</v>
      </c>
      <c r="E3082" s="2">
        <f>COUNTIF(contact[[#This Row],[Bagossy]:[Szo
03:00 - 10:00]],"=x")</f>
        <v>0</v>
      </c>
      <c r="F3082" s="2">
        <f>SUM(contact[[#This Row],[?]:[x]])</f>
        <v>0</v>
      </c>
      <c r="G3082" s="2">
        <f>COUNTIF(contact[[#This Row],[Sze
10:00 - 22:00]:[Cs
03:00 - 08:00]],"=x")+COUNTIF(contact[[#This Row],[P
08:00 - 12:00]:[P
03:00 - 08:00]],"=x")+COUNTIF(contact[[#This Row],[Szo
08:00 - 12:00]:[Szo
03:00 - 10:00]],"=x")</f>
        <v>0</v>
      </c>
      <c r="J3082" s="3" t="s">
        <v>4593</v>
      </c>
      <c r="K3082" s="1" t="s">
        <v>1897</v>
      </c>
      <c r="L3082" s="1" t="s">
        <v>2</v>
      </c>
      <c r="M3082" s="1" t="s">
        <v>2</v>
      </c>
      <c r="O3082" s="2"/>
      <c r="P3082" s="2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</row>
    <row r="3083" spans="1:32" x14ac:dyDescent="0.25">
      <c r="T3083" s="6"/>
    </row>
  </sheetData>
  <phoneticPr fontId="1" type="noConversion"/>
  <conditionalFormatting sqref="O6:AF3033 O3034:V3034 X3034:AF3034 O3035:AF3082">
    <cfRule type="containsText" dxfId="39" priority="5" operator="containsText" text="~?">
      <formula>NOT(ISERROR(SEARCH("~?",O6)))</formula>
    </cfRule>
    <cfRule type="containsText" dxfId="38" priority="6" operator="containsText" text="x">
      <formula>NOT(ISERROR(SEARCH("x",O6)))</formula>
    </cfRule>
  </conditionalFormatting>
  <conditionalFormatting sqref="T3083:T3094">
    <cfRule type="containsText" dxfId="37" priority="2" operator="containsText" text="~?">
      <formula>NOT(ISERROR(SEARCH("~?",T3083)))</formula>
    </cfRule>
    <cfRule type="containsText" dxfId="36" priority="3" operator="containsText" text="x">
      <formula>NOT(ISERROR(SEARCH("x",T3083)))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862DDAF2-806E-41AB-A092-86D3ACD4F725}">
            <xm:f>NOT(ISERROR(SEARCH("-",O6)))</xm:f>
            <xm:f>"-"</xm:f>
            <x14:dxf>
              <fill>
                <patternFill>
                  <bgColor rgb="FFFFCCCC"/>
                </patternFill>
              </fill>
            </x14:dxf>
          </x14:cfRule>
          <xm:sqref>O6:AF3082</xm:sqref>
        </x14:conditionalFormatting>
        <x14:conditionalFormatting xmlns:xm="http://schemas.microsoft.com/office/excel/2006/main">
          <x14:cfRule type="containsText" priority="1" operator="containsText" id="{D70A0E4B-E970-4874-AFF8-30345AFB97FE}">
            <xm:f>NOT(ISERROR(SEARCH("-",T3083)))</xm:f>
            <xm:f>"-"</xm:f>
            <x14:dxf>
              <fill>
                <patternFill>
                  <bgColor rgb="FFFFCCCC"/>
                </patternFill>
              </fill>
            </x14:dxf>
          </x14:cfRule>
          <xm:sqref>T3083:T3094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85DE-228B-4C5D-B3A7-A9CB6EE3A7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E6931D-D8D9-4209-9EC9-7C272D6537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Pászthy</dc:creator>
  <cp:lastModifiedBy>Tamás Pászthy</cp:lastModifiedBy>
  <dcterms:created xsi:type="dcterms:W3CDTF">2026-07-14T11:55:18Z</dcterms:created>
  <dcterms:modified xsi:type="dcterms:W3CDTF">2026-07-24T07:50:59Z</dcterms:modified>
</cp:coreProperties>
</file>